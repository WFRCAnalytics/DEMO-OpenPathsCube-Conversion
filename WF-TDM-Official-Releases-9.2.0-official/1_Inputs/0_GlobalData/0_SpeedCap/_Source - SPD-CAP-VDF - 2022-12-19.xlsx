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ml.chartshapes+xml"/>
  <Override PartName="/xl/charts/chart7.xml" ContentType="application/vnd.openxmlformats-officedocument.drawingml.chart+xml"/>
  <Override PartName="/xl/drawings/drawing6.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comments2.xml" ContentType="application/vnd.openxmlformats-officedocument.spreadsheetml.comments+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9.xml" ContentType="application/vnd.openxmlformats-officedocument.drawingml.chartshapes+xml"/>
  <Override PartName="/xl/charts/chart20.xml" ContentType="application/vnd.openxmlformats-officedocument.drawingml.chart+xml"/>
  <Override PartName="/xl/drawings/drawing10.xml" ContentType="application/vnd.openxmlformats-officedocument.drawingml.chartshape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1.xml" ContentType="application/vnd.openxmlformats-officedocument.drawing+xml"/>
  <Override PartName="/xl/charts/chart28.xml" ContentType="application/vnd.openxmlformats-officedocument.drawingml.chart+xml"/>
  <Override PartName="/xl/drawings/drawing12.xml" ContentType="application/vnd.openxmlformats-officedocument.drawing+xml"/>
  <Override PartName="/xl/charts/chart29.xml" ContentType="application/vnd.openxmlformats-officedocument.drawingml.chart+xml"/>
  <Override PartName="/xl/drawings/drawing13.xml" ContentType="application/vnd.openxmlformats-officedocument.drawing+xml"/>
  <Override PartName="/xl/comments3.xml" ContentType="application/vnd.openxmlformats-officedocument.spreadsheetml.comments+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14.xml" ContentType="application/vnd.openxmlformats-officedocument.drawingml.chartshapes+xml"/>
  <Override PartName="/xl/charts/chart33.xml" ContentType="application/vnd.openxmlformats-officedocument.drawingml.chart+xml"/>
  <Override PartName="/xl/drawings/drawing15.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drawings/drawing16.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17.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18.xml" ContentType="application/vnd.openxmlformats-officedocument.drawing+xml"/>
  <Override PartName="/xl/comments4.xml" ContentType="application/vnd.openxmlformats-officedocument.spreadsheetml.comments+xml"/>
  <Override PartName="/xl/charts/chart43.xml" ContentType="application/vnd.openxmlformats-officedocument.drawingml.chart+xml"/>
  <Override PartName="/xl/charts/chart44.xml" ContentType="application/vnd.openxmlformats-officedocument.drawingml.chart+xml"/>
  <Override PartName="/xl/drawings/drawing19.xml" ContentType="application/vnd.openxmlformats-officedocument.drawingml.chartshapes+xml"/>
  <Override PartName="/xl/charts/chart45.xml" ContentType="application/vnd.openxmlformats-officedocument.drawingml.chart+xml"/>
  <Override PartName="/xl/drawings/drawing20.xml" ContentType="application/vnd.openxmlformats-officedocument.drawingml.chartshapes+xml"/>
  <Override PartName="/xl/charts/chart46.xml" ContentType="application/vnd.openxmlformats-officedocument.drawingml.chart+xml"/>
  <Override PartName="/xl/drawings/drawing21.xml" ContentType="application/vnd.openxmlformats-officedocument.drawingml.chartshapes+xml"/>
  <Override PartName="/xl/charts/chart47.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omments5.xml" ContentType="application/vnd.openxmlformats-officedocument.spreadsheetml.comments+xml"/>
  <Override PartName="/xl/drawings/drawing24.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C:\_Coordination\1 - Models\1 - TDM\2 - Estimate Param\_General Parameters\8 - Spd-Cap Update for Reduce MM\"/>
    </mc:Choice>
  </mc:AlternateContent>
  <xr:revisionPtr revIDLastSave="0" documentId="13_ncr:1_{47AFB09D-32D7-4892-BFF4-A980CFEDEBAF}" xr6:coauthVersionLast="47" xr6:coauthVersionMax="47" xr10:uidLastSave="{00000000-0000-0000-0000-000000000000}"/>
  <bookViews>
    <workbookView xWindow="10140" yWindow="150" windowWidth="18495" windowHeight="14595" tabRatio="703" activeTab="2" xr2:uid="{00000000-000D-0000-FFFF-FFFF00000000}"/>
  </bookViews>
  <sheets>
    <sheet name="Export" sheetId="22" r:id="rId1"/>
    <sheet name="SFF 8.3" sheetId="19" r:id="rId2"/>
    <sheet name="Cap1hr1ln V8.32b" sheetId="30" r:id="rId3"/>
    <sheet name="VDF V8.3x" sheetId="21" r:id="rId4"/>
    <sheet name="Cap1hr1ln V8.3x" sheetId="29" r:id="rId5"/>
    <sheet name="SFF 8.1" sheetId="26" r:id="rId6"/>
    <sheet name="Cap1hr1ln V8.1" sheetId="27" r:id="rId7"/>
    <sheet name="VDF V8.1" sheetId="28" r:id="rId8"/>
    <sheet name="VDF V8" sheetId="25" r:id="rId9"/>
    <sheet name="Cap1hr1ln V8" sheetId="24" r:id="rId10"/>
    <sheet name="SFF 8" sheetId="23" r:id="rId11"/>
    <sheet name="SFF 7.0" sheetId="17" r:id="rId12"/>
    <sheet name="Cap1hr1ln V7.0" sheetId="11" r:id="rId13"/>
    <sheet name="VDF V7.0" sheetId="15" r:id="rId14"/>
    <sheet name="Zones-V7" sheetId="16" r:id="rId15"/>
    <sheet name="SFF V6.1" sheetId="13" r:id="rId16"/>
    <sheet name="Cap1hr1ln V6.0" sheetId="14" r:id="rId17"/>
    <sheet name="VDF V6.x" sheetId="12" r:id="rId18"/>
    <sheet name="Zones-V3.x" sheetId="5" r:id="rId19"/>
  </sheets>
  <definedNames>
    <definedName name="ArtExpFactors" localSheetId="9">'Cap1hr1ln V8'!$B$43:$E$52</definedName>
    <definedName name="ArtExpFactors" localSheetId="4">'Cap1hr1ln V8.3x'!$B$55:$E$64</definedName>
    <definedName name="ArtExpFactors">#REF!</definedName>
    <definedName name="ATypeCap" localSheetId="9">'Cap1hr1ln V8'!$B$65:$G$66</definedName>
    <definedName name="ATypeCap" localSheetId="4">'Cap1hr1ln V8.3x'!$B$77:$G$78</definedName>
    <definedName name="ATypeCap">#REF!</definedName>
    <definedName name="Export_SpdCap">Export!$A$3:$M$37</definedName>
    <definedName name="Export_VDF">Export!$P$3:$T$9</definedName>
    <definedName name="FwyCapFactors" localSheetId="9">'Cap1hr1ln V8'!$B$73:$D$84</definedName>
    <definedName name="FwyCapFactors" localSheetId="4">'Cap1hr1ln V8.3x'!$B$85:$D$97</definedName>
    <definedName name="FwyCapFactors">#REF!</definedName>
    <definedName name="FwyFleLookup" localSheetId="9">'Cap1hr1ln V8'!$F$73:$G$80</definedName>
    <definedName name="FwyFleLookup" localSheetId="4">'Cap1hr1ln V8.3x'!$F$85:$G$92</definedName>
    <definedName name="FwyFleLookup">#REF!</definedName>
    <definedName name="_xlnm.Print_Area" localSheetId="6">'Cap1hr1ln V8.1'!$A$1:$I$106</definedName>
    <definedName name="_xlnm.Print_Area" localSheetId="4">'Cap1hr1ln V8.3x'!$A$1:$I$106</definedName>
    <definedName name="_xlnm.Print_Area" localSheetId="5">'SFF 8.1'!$C$1:$J$82</definedName>
    <definedName name="_xlnm.Print_Area" localSheetId="1">'SFF 8.3'!$A$1:$H$82</definedName>
    <definedName name="_xlnm.Print_Titles" localSheetId="6">'Cap1hr1ln V8.1'!$1:$1</definedName>
    <definedName name="_xlnm.Print_Titles" localSheetId="4">'Cap1hr1ln V8.3x'!$1:$1</definedName>
    <definedName name="_xlnm.Print_Titles" localSheetId="5">'SFF 8.1'!$1:$1</definedName>
    <definedName name="_xlnm.Print_Titles" localSheetId="1">'SFF 8.3'!$1:$1</definedName>
  </definedNames>
  <calcPr calcId="191029"/>
</workbook>
</file>

<file path=xl/calcChain.xml><?xml version="1.0" encoding="utf-8"?>
<calcChain xmlns="http://schemas.openxmlformats.org/spreadsheetml/2006/main">
  <c r="B37" i="22" l="1"/>
  <c r="B36" i="22"/>
  <c r="B35" i="22"/>
  <c r="B34" i="22"/>
  <c r="B33" i="22"/>
  <c r="B32" i="22"/>
  <c r="B31" i="22"/>
  <c r="B30" i="22"/>
  <c r="B29" i="22"/>
  <c r="B28" i="22"/>
  <c r="B27" i="22"/>
  <c r="B26" i="22"/>
  <c r="B25" i="22"/>
  <c r="B16" i="22"/>
  <c r="B17" i="22"/>
  <c r="B18" i="22"/>
  <c r="B19" i="22"/>
  <c r="B20" i="22"/>
  <c r="B21" i="22"/>
  <c r="B22" i="22"/>
  <c r="B23" i="22"/>
  <c r="B24" i="22"/>
  <c r="B15" i="22"/>
  <c r="B14" i="22"/>
  <c r="B13" i="22"/>
  <c r="B12" i="22"/>
  <c r="B11" i="22"/>
  <c r="F10" i="22"/>
  <c r="E10" i="22"/>
  <c r="D10" i="22"/>
  <c r="C10" i="22"/>
  <c r="B10" i="22"/>
  <c r="F9" i="22"/>
  <c r="E9" i="22"/>
  <c r="D9" i="22"/>
  <c r="C9" i="22"/>
  <c r="B9" i="22"/>
  <c r="F8" i="22"/>
  <c r="E8" i="22"/>
  <c r="D8" i="22"/>
  <c r="C8" i="22"/>
  <c r="B8" i="22"/>
  <c r="F7" i="22"/>
  <c r="E7" i="22"/>
  <c r="D7" i="22"/>
  <c r="C7" i="22"/>
  <c r="B7" i="22"/>
  <c r="F6" i="22"/>
  <c r="E6" i="22"/>
  <c r="D6" i="22"/>
  <c r="C6" i="22"/>
  <c r="B6" i="22"/>
  <c r="F5" i="22"/>
  <c r="E5" i="22"/>
  <c r="D5" i="22"/>
  <c r="C5" i="22"/>
  <c r="B5" i="22"/>
  <c r="F4" i="22"/>
  <c r="E4" i="22"/>
  <c r="D4" i="22"/>
  <c r="C4" i="22"/>
  <c r="C11" i="22"/>
  <c r="B4" i="22"/>
  <c r="S107" i="30"/>
  <c r="R107" i="30"/>
  <c r="Q107" i="30"/>
  <c r="P107" i="30"/>
  <c r="O107" i="30"/>
  <c r="N107" i="30"/>
  <c r="M107" i="30"/>
  <c r="S106" i="30"/>
  <c r="R106" i="30"/>
  <c r="Q106" i="30"/>
  <c r="P106" i="30"/>
  <c r="O106" i="30"/>
  <c r="N106" i="30"/>
  <c r="M106" i="30"/>
  <c r="S105" i="30"/>
  <c r="R105" i="30"/>
  <c r="Q105" i="30"/>
  <c r="P105" i="30"/>
  <c r="O105" i="30"/>
  <c r="N105" i="30"/>
  <c r="M105" i="30"/>
  <c r="S104" i="30"/>
  <c r="R104" i="30"/>
  <c r="Q104" i="30"/>
  <c r="P104" i="30"/>
  <c r="O104" i="30"/>
  <c r="N104" i="30"/>
  <c r="M104" i="30"/>
  <c r="S103" i="30"/>
  <c r="R103" i="30"/>
  <c r="Q103" i="30"/>
  <c r="P103" i="30"/>
  <c r="O103" i="30"/>
  <c r="N103" i="30"/>
  <c r="M103" i="30"/>
  <c r="S102" i="30"/>
  <c r="R102" i="30"/>
  <c r="Q102" i="30"/>
  <c r="P102" i="30"/>
  <c r="O102" i="30"/>
  <c r="N102" i="30"/>
  <c r="M102" i="30"/>
  <c r="S101" i="30"/>
  <c r="R101" i="30"/>
  <c r="Q101" i="30"/>
  <c r="P101" i="30"/>
  <c r="O101" i="30"/>
  <c r="N101" i="30"/>
  <c r="M101" i="30"/>
  <c r="O97" i="30"/>
  <c r="O110" i="30" s="1"/>
  <c r="S94" i="30"/>
  <c r="R94" i="30"/>
  <c r="Q94" i="30"/>
  <c r="P94" i="30"/>
  <c r="O94" i="30"/>
  <c r="N94" i="30"/>
  <c r="M94" i="30"/>
  <c r="S93" i="30"/>
  <c r="R93" i="30"/>
  <c r="Q93" i="30"/>
  <c r="P93" i="30"/>
  <c r="O93" i="30"/>
  <c r="N93" i="30"/>
  <c r="M93" i="30"/>
  <c r="S92" i="30"/>
  <c r="R92" i="30"/>
  <c r="Q92" i="30"/>
  <c r="P92" i="30"/>
  <c r="O92" i="30"/>
  <c r="N92" i="30"/>
  <c r="M92" i="30"/>
  <c r="S91" i="30"/>
  <c r="R91" i="30"/>
  <c r="Q91" i="30"/>
  <c r="P91" i="30"/>
  <c r="O91" i="30"/>
  <c r="N91" i="30"/>
  <c r="M91" i="30"/>
  <c r="S90" i="30"/>
  <c r="R90" i="30"/>
  <c r="Q90" i="30"/>
  <c r="P90" i="30"/>
  <c r="O90" i="30"/>
  <c r="N90" i="30"/>
  <c r="M90" i="30"/>
  <c r="S89" i="30"/>
  <c r="R89" i="30"/>
  <c r="Q89" i="30"/>
  <c r="P89" i="30"/>
  <c r="O89" i="30"/>
  <c r="N89" i="30"/>
  <c r="M89" i="30"/>
  <c r="S88" i="30"/>
  <c r="R88" i="30"/>
  <c r="Q88" i="30"/>
  <c r="P88" i="30"/>
  <c r="O88" i="30"/>
  <c r="N88" i="30"/>
  <c r="M88" i="30"/>
  <c r="M62" i="30"/>
  <c r="M56" i="30"/>
  <c r="E36" i="30"/>
  <c r="I36" i="22" s="1"/>
  <c r="D36" i="30"/>
  <c r="H36" i="22" s="1"/>
  <c r="C36" i="30"/>
  <c r="G36" i="22" s="1"/>
  <c r="E10" i="30"/>
  <c r="I10" i="22" s="1"/>
  <c r="C10" i="30"/>
  <c r="G10" i="22" s="1"/>
  <c r="E6" i="30"/>
  <c r="I6" i="22" s="1"/>
  <c r="C4" i="30"/>
  <c r="G4" i="22" s="1"/>
  <c r="AC100" i="30"/>
  <c r="AB100" i="30"/>
  <c r="AA100" i="30"/>
  <c r="Z100" i="30"/>
  <c r="Y100" i="30"/>
  <c r="X100" i="30"/>
  <c r="W100" i="30"/>
  <c r="AC99" i="30"/>
  <c r="AB99" i="30"/>
  <c r="AA99" i="30"/>
  <c r="Z99" i="30"/>
  <c r="Y99" i="30"/>
  <c r="X99" i="30"/>
  <c r="W99" i="30"/>
  <c r="AC98" i="30"/>
  <c r="AB98" i="30"/>
  <c r="AA98" i="30"/>
  <c r="Z98" i="30"/>
  <c r="Y98" i="30"/>
  <c r="X98" i="30"/>
  <c r="W98" i="30"/>
  <c r="AC97" i="30"/>
  <c r="AB97" i="30"/>
  <c r="AA97" i="30"/>
  <c r="Z97" i="30"/>
  <c r="Y97" i="30"/>
  <c r="X97" i="30"/>
  <c r="W97" i="30"/>
  <c r="AC96" i="30"/>
  <c r="AB96" i="30"/>
  <c r="AA96" i="30"/>
  <c r="Z96" i="30"/>
  <c r="Y96" i="30"/>
  <c r="X96" i="30"/>
  <c r="W96" i="30"/>
  <c r="X56" i="30"/>
  <c r="Y56" i="30" s="1"/>
  <c r="X55" i="30"/>
  <c r="Y55" i="30" s="1"/>
  <c r="X54" i="30"/>
  <c r="Y54" i="30" s="1"/>
  <c r="X53" i="30"/>
  <c r="Y53" i="30" s="1"/>
  <c r="W52" i="30"/>
  <c r="X52" i="30" s="1"/>
  <c r="Y52" i="30" s="1"/>
  <c r="X51" i="30"/>
  <c r="Y51" i="30" s="1"/>
  <c r="W50" i="30"/>
  <c r="X50" i="30" s="1"/>
  <c r="Y50" i="30" s="1"/>
  <c r="X49" i="30"/>
  <c r="Y49" i="30" s="1"/>
  <c r="X48" i="30"/>
  <c r="Y48" i="30" s="1"/>
  <c r="X47" i="30"/>
  <c r="Y47" i="30" s="1"/>
  <c r="X46" i="30"/>
  <c r="Y46" i="30" s="1"/>
  <c r="W23" i="30" s="1"/>
  <c r="C25" i="30" s="1"/>
  <c r="G25" i="22" s="1"/>
  <c r="O42" i="30"/>
  <c r="P23" i="30" s="1"/>
  <c r="F14" i="30" s="1"/>
  <c r="J14" i="22" s="1"/>
  <c r="O41" i="30"/>
  <c r="P22" i="30" s="1"/>
  <c r="P66" i="30" s="1"/>
  <c r="P98" i="30" s="1"/>
  <c r="P111" i="30" s="1"/>
  <c r="O40" i="30"/>
  <c r="O21" i="30" s="1"/>
  <c r="O65" i="30" s="1"/>
  <c r="O39" i="30"/>
  <c r="O20" i="30" s="1"/>
  <c r="O64" i="30" s="1"/>
  <c r="O96" i="30" s="1"/>
  <c r="O109" i="30" s="1"/>
  <c r="O37" i="30"/>
  <c r="N16" i="30" s="1"/>
  <c r="N17" i="30" s="1"/>
  <c r="D9" i="30" s="1"/>
  <c r="H9" i="22" s="1"/>
  <c r="AG36" i="30"/>
  <c r="AF36" i="30"/>
  <c r="O36" i="30"/>
  <c r="P15" i="30" s="1"/>
  <c r="P59" i="30" s="1"/>
  <c r="AG35" i="30"/>
  <c r="AF35" i="30"/>
  <c r="O35" i="30"/>
  <c r="O14" i="30" s="1"/>
  <c r="O58" i="30" s="1"/>
  <c r="AG34" i="30"/>
  <c r="AF34" i="30"/>
  <c r="Z34" i="30"/>
  <c r="AA34" i="30" s="1"/>
  <c r="G36" i="30" s="1"/>
  <c r="K36" i="22" s="1"/>
  <c r="O34" i="30"/>
  <c r="P13" i="30" s="1"/>
  <c r="P57" i="30" s="1"/>
  <c r="AG33" i="30"/>
  <c r="AF33" i="30"/>
  <c r="AG29" i="30"/>
  <c r="AF29" i="30"/>
  <c r="AG28" i="30"/>
  <c r="AF28" i="30"/>
  <c r="AG27" i="30"/>
  <c r="AF27" i="30"/>
  <c r="AG26" i="30"/>
  <c r="AF26" i="30"/>
  <c r="AH20" i="30"/>
  <c r="AI20" i="30" s="1"/>
  <c r="Y20" i="30"/>
  <c r="E23" i="30" s="1"/>
  <c r="I23" i="22" s="1"/>
  <c r="X20" i="30"/>
  <c r="D23" i="30" s="1"/>
  <c r="H23" i="22" s="1"/>
  <c r="W20" i="30"/>
  <c r="C23" i="30" s="1"/>
  <c r="G23" i="22" s="1"/>
  <c r="AH19" i="30"/>
  <c r="AI19" i="30" s="1"/>
  <c r="AH18" i="30"/>
  <c r="AI18" i="30" s="1"/>
  <c r="N18" i="30"/>
  <c r="O18" i="30" s="1"/>
  <c r="P18" i="30" s="1"/>
  <c r="Q18" i="30" s="1"/>
  <c r="R18" i="30" s="1"/>
  <c r="S18" i="30" s="1"/>
  <c r="I10" i="30" s="1"/>
  <c r="M10" i="22" s="1"/>
  <c r="AH17" i="30"/>
  <c r="AI17" i="30" s="1"/>
  <c r="AH14" i="30"/>
  <c r="AI14" i="30" s="1"/>
  <c r="AH13" i="30"/>
  <c r="AI13" i="30" s="1"/>
  <c r="O13" i="30"/>
  <c r="O57" i="30" s="1"/>
  <c r="M13" i="30"/>
  <c r="M57" i="30" s="1"/>
  <c r="AH12" i="30"/>
  <c r="AI12" i="30" s="1"/>
  <c r="N12" i="30"/>
  <c r="O12" i="30" s="1"/>
  <c r="P12" i="30" s="1"/>
  <c r="Q12" i="30" s="1"/>
  <c r="Q56" i="30" s="1"/>
  <c r="AH11" i="30"/>
  <c r="AI11" i="30" s="1"/>
  <c r="C97" i="29"/>
  <c r="C96" i="29"/>
  <c r="C95" i="29"/>
  <c r="C94" i="29"/>
  <c r="B94" i="29"/>
  <c r="C93" i="29"/>
  <c r="B93" i="29"/>
  <c r="C92" i="29"/>
  <c r="B92" i="29"/>
  <c r="G40" i="29" s="1"/>
  <c r="C91" i="29"/>
  <c r="B91" i="29"/>
  <c r="C90" i="29"/>
  <c r="B90" i="29"/>
  <c r="H38" i="29" s="1"/>
  <c r="AK39" i="29" s="1"/>
  <c r="AK48" i="29" s="1"/>
  <c r="AK57" i="29" s="1"/>
  <c r="C89" i="29"/>
  <c r="B89" i="29"/>
  <c r="C88" i="29"/>
  <c r="B88" i="29"/>
  <c r="C87" i="29"/>
  <c r="B87" i="29"/>
  <c r="H40" i="29" s="1"/>
  <c r="B64" i="29"/>
  <c r="E19" i="29" s="1"/>
  <c r="AK19" i="29" s="1"/>
  <c r="B63" i="29"/>
  <c r="B62" i="29"/>
  <c r="B61" i="29"/>
  <c r="F17" i="29" s="1"/>
  <c r="AI58" i="29"/>
  <c r="AI57" i="29"/>
  <c r="AJ53" i="29"/>
  <c r="AI49" i="29"/>
  <c r="AI48" i="29"/>
  <c r="AI47" i="29"/>
  <c r="AI56" i="29" s="1"/>
  <c r="AI46" i="29"/>
  <c r="AJ46" i="29" s="1"/>
  <c r="AJ55" i="29" s="1"/>
  <c r="AI45" i="29"/>
  <c r="AJ45" i="29" s="1"/>
  <c r="AJ54" i="29" s="1"/>
  <c r="F45" i="29"/>
  <c r="G45" i="29" s="1"/>
  <c r="AJ44" i="29"/>
  <c r="AI44" i="29"/>
  <c r="AI53" i="29" s="1"/>
  <c r="I40" i="29"/>
  <c r="I39" i="29"/>
  <c r="G38" i="29"/>
  <c r="AK38" i="29" s="1"/>
  <c r="AK47" i="29" s="1"/>
  <c r="AK56" i="29" s="1"/>
  <c r="E38" i="29"/>
  <c r="AK36" i="29" s="1"/>
  <c r="AK45" i="29" s="1"/>
  <c r="AK54" i="29" s="1"/>
  <c r="D38" i="29"/>
  <c r="C38" i="29" s="1"/>
  <c r="AJ37" i="29"/>
  <c r="AJ38" i="29" s="1"/>
  <c r="I37" i="29"/>
  <c r="H37" i="29"/>
  <c r="G37" i="29"/>
  <c r="C37" i="29"/>
  <c r="AJ36" i="29"/>
  <c r="I36" i="29"/>
  <c r="F36" i="29"/>
  <c r="E36" i="29"/>
  <c r="C36" i="29"/>
  <c r="AJ35" i="29"/>
  <c r="I35" i="29"/>
  <c r="I24" i="29" s="1"/>
  <c r="H35" i="29"/>
  <c r="H24" i="29" s="1"/>
  <c r="G35" i="29"/>
  <c r="G24" i="29" s="1"/>
  <c r="F35" i="29"/>
  <c r="F24" i="29" s="1"/>
  <c r="E35" i="29"/>
  <c r="E24" i="29" s="1"/>
  <c r="F31" i="29"/>
  <c r="E31" i="29"/>
  <c r="D31" i="29"/>
  <c r="C31" i="29"/>
  <c r="I30" i="29"/>
  <c r="H30" i="29"/>
  <c r="G30" i="29"/>
  <c r="F30" i="29"/>
  <c r="E30" i="29"/>
  <c r="D30" i="29"/>
  <c r="C30" i="29"/>
  <c r="I29" i="29"/>
  <c r="H29" i="29"/>
  <c r="G29" i="29"/>
  <c r="F29" i="29"/>
  <c r="E29" i="29"/>
  <c r="D29" i="29"/>
  <c r="C29" i="29" s="1"/>
  <c r="I28" i="29"/>
  <c r="H28" i="29"/>
  <c r="G28" i="29"/>
  <c r="F28" i="29"/>
  <c r="E28" i="29"/>
  <c r="D28" i="29"/>
  <c r="C28" i="29"/>
  <c r="I27" i="29"/>
  <c r="H27" i="29"/>
  <c r="G27" i="29"/>
  <c r="F27" i="29"/>
  <c r="E27" i="29"/>
  <c r="D27" i="29"/>
  <c r="C27" i="29"/>
  <c r="I26" i="29"/>
  <c r="H26" i="29"/>
  <c r="G26" i="29"/>
  <c r="F26" i="29"/>
  <c r="E26" i="29"/>
  <c r="D26" i="29"/>
  <c r="C26" i="29"/>
  <c r="I25" i="29"/>
  <c r="H25" i="29"/>
  <c r="G25" i="29"/>
  <c r="F25" i="29"/>
  <c r="E25" i="29"/>
  <c r="D25" i="29"/>
  <c r="C25" i="29"/>
  <c r="B19" i="29"/>
  <c r="F19" i="29" s="1"/>
  <c r="F18" i="29"/>
  <c r="E18" i="29"/>
  <c r="AK18" i="29" s="1"/>
  <c r="D18" i="29"/>
  <c r="AJ18" i="29" s="1"/>
  <c r="C18" i="29"/>
  <c r="AI18" i="29" s="1"/>
  <c r="B18" i="29"/>
  <c r="E17" i="29"/>
  <c r="AK17" i="29" s="1"/>
  <c r="D17" i="29"/>
  <c r="AJ17" i="29" s="1"/>
  <c r="C17" i="29"/>
  <c r="AI17" i="29" s="1"/>
  <c r="B17" i="29"/>
  <c r="F16" i="29"/>
  <c r="G16" i="29" s="1"/>
  <c r="H16" i="29" s="1"/>
  <c r="I16" i="29" s="1"/>
  <c r="E16" i="29"/>
  <c r="AK16" i="29" s="1"/>
  <c r="B16" i="29"/>
  <c r="D16" i="29" s="1"/>
  <c r="AJ16" i="29" s="1"/>
  <c r="AD13" i="29"/>
  <c r="AC13" i="29"/>
  <c r="AB13" i="29"/>
  <c r="AA13" i="29"/>
  <c r="Z13" i="29"/>
  <c r="W13" i="29"/>
  <c r="F13" i="29"/>
  <c r="G13" i="29" s="1"/>
  <c r="H13" i="29" s="1"/>
  <c r="I13" i="29" s="1"/>
  <c r="E13" i="29"/>
  <c r="D13" i="29"/>
  <c r="AD12" i="29"/>
  <c r="AC12" i="29"/>
  <c r="AB12" i="29"/>
  <c r="AA12" i="29"/>
  <c r="Z12" i="29"/>
  <c r="W12" i="29"/>
  <c r="E12" i="29"/>
  <c r="AD11" i="29"/>
  <c r="AC11" i="29"/>
  <c r="AB11" i="29"/>
  <c r="AA11" i="29"/>
  <c r="Z11" i="29"/>
  <c r="W11" i="29"/>
  <c r="F11" i="29"/>
  <c r="G11" i="29" s="1"/>
  <c r="E11" i="29"/>
  <c r="AK11" i="29" s="1"/>
  <c r="D11" i="29"/>
  <c r="D12" i="29" s="1"/>
  <c r="C11" i="29"/>
  <c r="AI11" i="29" s="1"/>
  <c r="AD10" i="29"/>
  <c r="AC10" i="29"/>
  <c r="AB10" i="29"/>
  <c r="AA10" i="29"/>
  <c r="Z10" i="29"/>
  <c r="W10" i="29"/>
  <c r="F10" i="29"/>
  <c r="E10" i="29"/>
  <c r="AK10" i="29" s="1"/>
  <c r="D10" i="29"/>
  <c r="AJ10" i="29" s="1"/>
  <c r="C10" i="29"/>
  <c r="AI10" i="29" s="1"/>
  <c r="AD9" i="29"/>
  <c r="AC9" i="29"/>
  <c r="AB9" i="29"/>
  <c r="AA9" i="29"/>
  <c r="Z9" i="29"/>
  <c r="W9" i="29"/>
  <c r="F9" i="29"/>
  <c r="G9" i="29" s="1"/>
  <c r="E9" i="29"/>
  <c r="AK9" i="29" s="1"/>
  <c r="D9" i="29"/>
  <c r="AJ9" i="29" s="1"/>
  <c r="C9" i="29"/>
  <c r="AI9" i="29" s="1"/>
  <c r="AD8" i="29"/>
  <c r="AC8" i="29"/>
  <c r="AB8" i="29"/>
  <c r="AA8" i="29"/>
  <c r="Z8" i="29"/>
  <c r="W8" i="29"/>
  <c r="F8" i="29"/>
  <c r="E8" i="29"/>
  <c r="AK8" i="29" s="1"/>
  <c r="D8" i="29"/>
  <c r="AJ8" i="29" s="1"/>
  <c r="C8" i="29"/>
  <c r="AI8" i="29" s="1"/>
  <c r="AD7" i="29"/>
  <c r="AC7" i="29"/>
  <c r="AB7" i="29"/>
  <c r="AA7" i="29"/>
  <c r="Z7" i="29"/>
  <c r="W7" i="29"/>
  <c r="C15" i="19"/>
  <c r="J27" i="28"/>
  <c r="I27" i="28"/>
  <c r="H27" i="28"/>
  <c r="F27" i="28"/>
  <c r="E27" i="28"/>
  <c r="D27" i="28"/>
  <c r="C27" i="28"/>
  <c r="B27" i="28"/>
  <c r="J26" i="28"/>
  <c r="I26" i="28"/>
  <c r="H26" i="28"/>
  <c r="F26" i="28"/>
  <c r="E26" i="28"/>
  <c r="D26" i="28"/>
  <c r="C26" i="28"/>
  <c r="B26" i="28"/>
  <c r="A14" i="28"/>
  <c r="E14" i="28" s="1"/>
  <c r="J13" i="28"/>
  <c r="I13" i="28"/>
  <c r="H13" i="28"/>
  <c r="F13" i="28"/>
  <c r="E13" i="28"/>
  <c r="D13" i="28"/>
  <c r="C13" i="28"/>
  <c r="B13" i="28"/>
  <c r="J12" i="28"/>
  <c r="I12" i="28"/>
  <c r="H12" i="28"/>
  <c r="F12" i="28"/>
  <c r="E12" i="28"/>
  <c r="D12" i="28"/>
  <c r="C12" i="28"/>
  <c r="B12" i="28"/>
  <c r="J11" i="28"/>
  <c r="I11" i="28"/>
  <c r="H11" i="28"/>
  <c r="F11" i="28"/>
  <c r="E11" i="28"/>
  <c r="D11" i="28"/>
  <c r="C11" i="28"/>
  <c r="B11" i="28"/>
  <c r="J10" i="28"/>
  <c r="I10" i="28"/>
  <c r="H10" i="28"/>
  <c r="F10" i="28"/>
  <c r="E10" i="28"/>
  <c r="D10" i="28"/>
  <c r="C10" i="28"/>
  <c r="B10" i="28"/>
  <c r="G6" i="28"/>
  <c r="G5" i="28"/>
  <c r="G10" i="28" s="1"/>
  <c r="G4" i="28"/>
  <c r="G27" i="28" s="1"/>
  <c r="C97" i="27"/>
  <c r="C96" i="27"/>
  <c r="C95" i="27"/>
  <c r="C94" i="27"/>
  <c r="B94" i="27"/>
  <c r="C93" i="27"/>
  <c r="B93" i="27"/>
  <c r="C92" i="27"/>
  <c r="B92" i="27"/>
  <c r="C91" i="27"/>
  <c r="AJ35" i="27" s="1"/>
  <c r="AJ36" i="27" s="1"/>
  <c r="AJ37" i="27" s="1"/>
  <c r="B91" i="27"/>
  <c r="C90" i="27"/>
  <c r="B90" i="27"/>
  <c r="C89" i="27"/>
  <c r="B89" i="27"/>
  <c r="C88" i="27"/>
  <c r="B88" i="27"/>
  <c r="C87" i="27"/>
  <c r="B87" i="27"/>
  <c r="B64" i="27"/>
  <c r="B63" i="27"/>
  <c r="B62" i="27"/>
  <c r="B61" i="27"/>
  <c r="AI57" i="27"/>
  <c r="AI53" i="27"/>
  <c r="AI49" i="27"/>
  <c r="AI58" i="27" s="1"/>
  <c r="AI48" i="27"/>
  <c r="AI47" i="27"/>
  <c r="AI56" i="27" s="1"/>
  <c r="AI46" i="27"/>
  <c r="AI45" i="27"/>
  <c r="AI54" i="27" s="1"/>
  <c r="F45" i="27"/>
  <c r="F31" i="27" s="1"/>
  <c r="AI44" i="27"/>
  <c r="AJ44" i="27" s="1"/>
  <c r="AJ53" i="27" s="1"/>
  <c r="AJ38" i="27"/>
  <c r="AJ39" i="27" s="1"/>
  <c r="AJ40" i="27" s="1"/>
  <c r="E31" i="27"/>
  <c r="D31" i="27"/>
  <c r="C31" i="27"/>
  <c r="I30" i="27"/>
  <c r="H30" i="27"/>
  <c r="G30" i="27"/>
  <c r="F30" i="27"/>
  <c r="E30" i="27"/>
  <c r="D30" i="27"/>
  <c r="C30" i="27"/>
  <c r="I29" i="27"/>
  <c r="H29" i="27"/>
  <c r="G29" i="27"/>
  <c r="F29" i="27"/>
  <c r="E29" i="27"/>
  <c r="D29" i="27"/>
  <c r="C29" i="27" s="1"/>
  <c r="I28" i="27"/>
  <c r="H28" i="27"/>
  <c r="G28" i="27"/>
  <c r="F28" i="27"/>
  <c r="E28" i="27"/>
  <c r="D28" i="27"/>
  <c r="C28" i="27"/>
  <c r="I27" i="27"/>
  <c r="H27" i="27"/>
  <c r="G27" i="27"/>
  <c r="F27" i="27"/>
  <c r="E27" i="27"/>
  <c r="D27" i="27"/>
  <c r="C27" i="27" s="1"/>
  <c r="I26" i="27"/>
  <c r="H26" i="27"/>
  <c r="G26" i="27"/>
  <c r="F26" i="27"/>
  <c r="E26" i="27"/>
  <c r="D26" i="27"/>
  <c r="C26" i="27"/>
  <c r="I25" i="27"/>
  <c r="H25" i="27"/>
  <c r="G25" i="27"/>
  <c r="F25" i="27"/>
  <c r="E25" i="27"/>
  <c r="D25" i="27"/>
  <c r="C25" i="27"/>
  <c r="B19" i="27"/>
  <c r="B18" i="27"/>
  <c r="B17" i="27"/>
  <c r="B16" i="27"/>
  <c r="AD13" i="27"/>
  <c r="AC13" i="27"/>
  <c r="AB13" i="27"/>
  <c r="AA13" i="27"/>
  <c r="Z13" i="27"/>
  <c r="W13" i="27"/>
  <c r="D13" i="27"/>
  <c r="E13" i="27" s="1"/>
  <c r="F13" i="27" s="1"/>
  <c r="G13" i="27" s="1"/>
  <c r="H13" i="27" s="1"/>
  <c r="I13" i="27" s="1"/>
  <c r="AD12" i="27"/>
  <c r="AC12" i="27"/>
  <c r="AB12" i="27"/>
  <c r="AA12" i="27"/>
  <c r="Z12" i="27"/>
  <c r="W12" i="27"/>
  <c r="AD11" i="27"/>
  <c r="AC11" i="27"/>
  <c r="AB11" i="27"/>
  <c r="AA11" i="27"/>
  <c r="Z11" i="27"/>
  <c r="W11" i="27"/>
  <c r="F11" i="27"/>
  <c r="E11" i="27"/>
  <c r="AK11" i="27" s="1"/>
  <c r="D11" i="27"/>
  <c r="AJ11" i="27" s="1"/>
  <c r="C11" i="27"/>
  <c r="AI11" i="27" s="1"/>
  <c r="AD10" i="27"/>
  <c r="AC10" i="27"/>
  <c r="AB10" i="27"/>
  <c r="AA10" i="27"/>
  <c r="Z10" i="27"/>
  <c r="W10" i="27"/>
  <c r="F10" i="27"/>
  <c r="E10" i="27"/>
  <c r="AK10" i="27" s="1"/>
  <c r="D10" i="27"/>
  <c r="AJ10" i="27" s="1"/>
  <c r="C10" i="27"/>
  <c r="AI10" i="27" s="1"/>
  <c r="AD9" i="27"/>
  <c r="AC9" i="27"/>
  <c r="AB9" i="27"/>
  <c r="AA9" i="27"/>
  <c r="Z9" i="27"/>
  <c r="W9" i="27"/>
  <c r="F9" i="27"/>
  <c r="F46" i="27" s="1"/>
  <c r="F32" i="27" s="1"/>
  <c r="E9" i="27"/>
  <c r="AK9" i="27" s="1"/>
  <c r="D9" i="27"/>
  <c r="C9" i="27"/>
  <c r="C46" i="27" s="1"/>
  <c r="C32" i="27" s="1"/>
  <c r="AD8" i="27"/>
  <c r="AC8" i="27"/>
  <c r="AB8" i="27"/>
  <c r="AA8" i="27"/>
  <c r="Z8" i="27"/>
  <c r="W8" i="27"/>
  <c r="F8" i="27"/>
  <c r="E8" i="27"/>
  <c r="AK8" i="27" s="1"/>
  <c r="D8" i="27"/>
  <c r="AJ8" i="27" s="1"/>
  <c r="C8" i="27"/>
  <c r="AI8" i="27" s="1"/>
  <c r="AD7" i="27"/>
  <c r="AC7" i="27"/>
  <c r="AB7" i="27"/>
  <c r="AA7" i="27"/>
  <c r="Z7" i="27"/>
  <c r="W7" i="27"/>
  <c r="D61" i="26"/>
  <c r="D73" i="26" s="1"/>
  <c r="D82" i="26" s="1"/>
  <c r="D60" i="26"/>
  <c r="D72" i="26" s="1"/>
  <c r="D81" i="26" s="1"/>
  <c r="D59" i="26"/>
  <c r="D71" i="26" s="1"/>
  <c r="D80" i="26" s="1"/>
  <c r="D58" i="26"/>
  <c r="D70" i="26" s="1"/>
  <c r="D79" i="26" s="1"/>
  <c r="D43" i="26"/>
  <c r="D42" i="26"/>
  <c r="D41" i="26"/>
  <c r="D40" i="26"/>
  <c r="D39" i="26"/>
  <c r="D38" i="26"/>
  <c r="D37" i="26"/>
  <c r="D36" i="26"/>
  <c r="D35" i="26"/>
  <c r="D34" i="26"/>
  <c r="D33" i="26"/>
  <c r="D32" i="26"/>
  <c r="D31" i="26"/>
  <c r="E29" i="26"/>
  <c r="D29" i="26"/>
  <c r="E28" i="26"/>
  <c r="D28" i="26"/>
  <c r="E27" i="26"/>
  <c r="D27" i="26"/>
  <c r="E26" i="26"/>
  <c r="D26" i="26"/>
  <c r="E25" i="26"/>
  <c r="D25" i="26"/>
  <c r="E24" i="26"/>
  <c r="D24" i="26"/>
  <c r="E23" i="26"/>
  <c r="D23" i="26"/>
  <c r="E22" i="26"/>
  <c r="D22" i="26"/>
  <c r="E21" i="26"/>
  <c r="D21" i="26"/>
  <c r="E20" i="26"/>
  <c r="D20" i="26"/>
  <c r="E18" i="26"/>
  <c r="E17" i="26"/>
  <c r="E16" i="26"/>
  <c r="E15" i="26"/>
  <c r="F11" i="26"/>
  <c r="G11" i="26" s="1"/>
  <c r="H11" i="26" s="1"/>
  <c r="I11" i="26" s="1"/>
  <c r="F9" i="26"/>
  <c r="I8" i="26"/>
  <c r="I9" i="26" s="1"/>
  <c r="H8" i="26"/>
  <c r="H9" i="26" s="1"/>
  <c r="G8" i="26"/>
  <c r="G9" i="26" s="1"/>
  <c r="F8" i="26"/>
  <c r="E8" i="26"/>
  <c r="E9" i="26" s="1"/>
  <c r="I7" i="26"/>
  <c r="H7" i="26"/>
  <c r="G7" i="26"/>
  <c r="F7" i="26"/>
  <c r="E7" i="26"/>
  <c r="I6" i="26"/>
  <c r="H6" i="26"/>
  <c r="G6" i="26"/>
  <c r="F6" i="26"/>
  <c r="E6" i="26"/>
  <c r="I5" i="26"/>
  <c r="I10" i="26" s="1"/>
  <c r="H5" i="26"/>
  <c r="H10" i="26" s="1"/>
  <c r="G5" i="26"/>
  <c r="G10" i="26" s="1"/>
  <c r="F5" i="26"/>
  <c r="F10" i="26" s="1"/>
  <c r="E5" i="26"/>
  <c r="E10" i="26" s="1"/>
  <c r="N56" i="30" l="1"/>
  <c r="O56" i="30"/>
  <c r="O62" i="30"/>
  <c r="E5" i="30"/>
  <c r="I5" i="22" s="1"/>
  <c r="P56" i="30"/>
  <c r="N62" i="30"/>
  <c r="F7" i="30"/>
  <c r="J7" i="22" s="1"/>
  <c r="P62" i="30"/>
  <c r="Q62" i="30"/>
  <c r="R62" i="30"/>
  <c r="H10" i="30"/>
  <c r="L10" i="22" s="1"/>
  <c r="S62" i="30"/>
  <c r="E12" i="30"/>
  <c r="I12" i="22" s="1"/>
  <c r="N60" i="30"/>
  <c r="F36" i="30"/>
  <c r="J36" i="22" s="1"/>
  <c r="N61" i="30"/>
  <c r="P67" i="30"/>
  <c r="P99" i="30" s="1"/>
  <c r="P112" i="30" s="1"/>
  <c r="E4" i="30"/>
  <c r="I4" i="22" s="1"/>
  <c r="F4" i="30"/>
  <c r="J4" i="22" s="1"/>
  <c r="D10" i="30"/>
  <c r="H10" i="22" s="1"/>
  <c r="P14" i="30"/>
  <c r="P58" i="30" s="1"/>
  <c r="F10" i="30"/>
  <c r="J10" i="22" s="1"/>
  <c r="G4" i="30"/>
  <c r="K4" i="22" s="1"/>
  <c r="G10" i="30"/>
  <c r="K10" i="22" s="1"/>
  <c r="F13" i="30"/>
  <c r="J13" i="22" s="1"/>
  <c r="D4" i="30"/>
  <c r="H4" i="22" s="1"/>
  <c r="F5" i="30"/>
  <c r="J5" i="22" s="1"/>
  <c r="D8" i="30"/>
  <c r="H8" i="22" s="1"/>
  <c r="E11" i="30"/>
  <c r="I11" i="22" s="1"/>
  <c r="C5" i="30"/>
  <c r="G5" i="22" s="1"/>
  <c r="P20" i="30"/>
  <c r="P64" i="30" s="1"/>
  <c r="P96" i="30" s="1"/>
  <c r="P109" i="30" s="1"/>
  <c r="AH36" i="30"/>
  <c r="AI36" i="30" s="1"/>
  <c r="AH27" i="30"/>
  <c r="AI27" i="30" s="1"/>
  <c r="R12" i="30"/>
  <c r="R56" i="30" s="1"/>
  <c r="Z20" i="30"/>
  <c r="F23" i="30" s="1"/>
  <c r="J23" i="22" s="1"/>
  <c r="AH34" i="30"/>
  <c r="AI34" i="30" s="1"/>
  <c r="N13" i="30"/>
  <c r="N57" i="30" s="1"/>
  <c r="N22" i="30"/>
  <c r="N66" i="30" s="1"/>
  <c r="N98" i="30" s="1"/>
  <c r="N111" i="30" s="1"/>
  <c r="M15" i="30"/>
  <c r="M59" i="30" s="1"/>
  <c r="N15" i="30"/>
  <c r="N59" i="30" s="1"/>
  <c r="AH26" i="30"/>
  <c r="AI26" i="30" s="1"/>
  <c r="P21" i="30"/>
  <c r="P65" i="30" s="1"/>
  <c r="P97" i="30" s="1"/>
  <c r="P110" i="30" s="1"/>
  <c r="M22" i="30"/>
  <c r="M66" i="30" s="1"/>
  <c r="M98" i="30" s="1"/>
  <c r="M111" i="30" s="1"/>
  <c r="O15" i="30"/>
  <c r="O59" i="30" s="1"/>
  <c r="Q13" i="30"/>
  <c r="Q57" i="30" s="1"/>
  <c r="Y35" i="30"/>
  <c r="AH28" i="30"/>
  <c r="AI28" i="30" s="1"/>
  <c r="AH29" i="30"/>
  <c r="AI29" i="30" s="1"/>
  <c r="M16" i="30"/>
  <c r="M60" i="30" s="1"/>
  <c r="O16" i="30"/>
  <c r="O60" i="30" s="1"/>
  <c r="M21" i="30"/>
  <c r="M65" i="30" s="1"/>
  <c r="M97" i="30" s="1"/>
  <c r="M110" i="30" s="1"/>
  <c r="AH33" i="30"/>
  <c r="AI33" i="30" s="1"/>
  <c r="P16" i="30"/>
  <c r="P60" i="30" s="1"/>
  <c r="N21" i="30"/>
  <c r="N65" i="30" s="1"/>
  <c r="N97" i="30" s="1"/>
  <c r="N110" i="30" s="1"/>
  <c r="O22" i="30"/>
  <c r="O66" i="30" s="1"/>
  <c r="O98" i="30" s="1"/>
  <c r="O111" i="30" s="1"/>
  <c r="AH35" i="30"/>
  <c r="AI35" i="30" s="1"/>
  <c r="M14" i="30"/>
  <c r="M58" i="30" s="1"/>
  <c r="M20" i="30"/>
  <c r="M64" i="30" s="1"/>
  <c r="M96" i="30" s="1"/>
  <c r="M109" i="30" s="1"/>
  <c r="N14" i="30"/>
  <c r="N58" i="30" s="1"/>
  <c r="N20" i="30"/>
  <c r="N64" i="30" s="1"/>
  <c r="N96" i="30" s="1"/>
  <c r="N109" i="30" s="1"/>
  <c r="AC30" i="30"/>
  <c r="AB30" i="30"/>
  <c r="AA30" i="30"/>
  <c r="Z30" i="30"/>
  <c r="Y30" i="30"/>
  <c r="X30" i="30"/>
  <c r="W30" i="30"/>
  <c r="W12" i="30"/>
  <c r="C15" i="30" s="1"/>
  <c r="G15" i="22" s="1"/>
  <c r="X23" i="30"/>
  <c r="D25" i="30" s="1"/>
  <c r="H25" i="22" s="1"/>
  <c r="AB34" i="30"/>
  <c r="H36" i="30" s="1"/>
  <c r="L36" i="22" s="1"/>
  <c r="AA20" i="30"/>
  <c r="G23" i="30" s="1"/>
  <c r="K23" i="22" s="1"/>
  <c r="AC24" i="30"/>
  <c r="AB24" i="30"/>
  <c r="AA24" i="30"/>
  <c r="Z24" i="30"/>
  <c r="Y24" i="30"/>
  <c r="X24" i="30"/>
  <c r="W24" i="30"/>
  <c r="AC25" i="30"/>
  <c r="AB25" i="30"/>
  <c r="Z48" i="30"/>
  <c r="AA25" i="30"/>
  <c r="Z25" i="30"/>
  <c r="Y25" i="30"/>
  <c r="X25" i="30"/>
  <c r="W25" i="30"/>
  <c r="W26" i="30"/>
  <c r="AC26" i="30"/>
  <c r="AB26" i="30"/>
  <c r="Z49" i="30"/>
  <c r="AA26" i="30"/>
  <c r="Z26" i="30"/>
  <c r="Y26" i="30"/>
  <c r="X26" i="30"/>
  <c r="AC27" i="30"/>
  <c r="AB27" i="30"/>
  <c r="AA27" i="30"/>
  <c r="Z27" i="30"/>
  <c r="Y27" i="30"/>
  <c r="X27" i="30"/>
  <c r="W27" i="30"/>
  <c r="Z50" i="30"/>
  <c r="AC28" i="30"/>
  <c r="Z51" i="30"/>
  <c r="AB28" i="30"/>
  <c r="AA28" i="30"/>
  <c r="Z28" i="30"/>
  <c r="Y28" i="30"/>
  <c r="X28" i="30"/>
  <c r="W28" i="30"/>
  <c r="AC29" i="30"/>
  <c r="AB29" i="30"/>
  <c r="AA29" i="30"/>
  <c r="Z29" i="30"/>
  <c r="Y29" i="30"/>
  <c r="X29" i="30"/>
  <c r="W29" i="30"/>
  <c r="Z52" i="30"/>
  <c r="G8" i="29"/>
  <c r="H8" i="29" s="1"/>
  <c r="I8" i="29" s="1"/>
  <c r="AJ11" i="29"/>
  <c r="G10" i="29"/>
  <c r="H10" i="29" s="1"/>
  <c r="I10" i="29" s="1"/>
  <c r="AK35" i="29"/>
  <c r="AK44" i="29" s="1"/>
  <c r="AK53" i="29" s="1"/>
  <c r="M23" i="30"/>
  <c r="N23" i="30"/>
  <c r="O23" i="30"/>
  <c r="O67" i="30" s="1"/>
  <c r="O99" i="30" s="1"/>
  <c r="O112" i="30" s="1"/>
  <c r="G18" i="29"/>
  <c r="H18" i="29" s="1"/>
  <c r="I18" i="29" s="1"/>
  <c r="G17" i="29"/>
  <c r="H17" i="29" s="1"/>
  <c r="I17" i="29" s="1"/>
  <c r="H45" i="29"/>
  <c r="G31" i="29"/>
  <c r="G19" i="29"/>
  <c r="H19" i="29" s="1"/>
  <c r="I19" i="29" s="1"/>
  <c r="H9" i="29"/>
  <c r="G46" i="29"/>
  <c r="G32" i="29" s="1"/>
  <c r="G12" i="29"/>
  <c r="H11" i="29"/>
  <c r="AJ39" i="29"/>
  <c r="AJ40" i="29" s="1"/>
  <c r="AJ49" i="29" s="1"/>
  <c r="AJ58" i="29" s="1"/>
  <c r="AJ47" i="29"/>
  <c r="AJ56" i="29" s="1"/>
  <c r="D46" i="29"/>
  <c r="D32" i="29" s="1"/>
  <c r="C46" i="29"/>
  <c r="C32" i="29" s="1"/>
  <c r="C12" i="29"/>
  <c r="AI12" i="29" s="1"/>
  <c r="C19" i="29"/>
  <c r="AI19" i="29" s="1"/>
  <c r="C34" i="29"/>
  <c r="G36" i="29"/>
  <c r="I38" i="29"/>
  <c r="AK40" i="29" s="1"/>
  <c r="AK49" i="29" s="1"/>
  <c r="AK58" i="29" s="1"/>
  <c r="E46" i="29"/>
  <c r="E32" i="29" s="1"/>
  <c r="AI54" i="29"/>
  <c r="D19" i="29"/>
  <c r="AJ19" i="29" s="1"/>
  <c r="H36" i="29"/>
  <c r="C41" i="29"/>
  <c r="C42" i="29" s="1"/>
  <c r="C43" i="29" s="1"/>
  <c r="F46" i="29"/>
  <c r="F32" i="29" s="1"/>
  <c r="D41" i="29"/>
  <c r="D42" i="29" s="1"/>
  <c r="D43" i="29" s="1"/>
  <c r="F12" i="29"/>
  <c r="C39" i="29"/>
  <c r="E41" i="29"/>
  <c r="E42" i="29" s="1"/>
  <c r="E43" i="29" s="1"/>
  <c r="AI55" i="29"/>
  <c r="D39" i="29"/>
  <c r="F41" i="29"/>
  <c r="F42" i="29" s="1"/>
  <c r="F43" i="29" s="1"/>
  <c r="E39" i="29"/>
  <c r="G41" i="29"/>
  <c r="G42" i="29" s="1"/>
  <c r="G43" i="29" s="1"/>
  <c r="D37" i="29"/>
  <c r="F39" i="29"/>
  <c r="H41" i="29"/>
  <c r="H42" i="29" s="1"/>
  <c r="H43" i="29" s="1"/>
  <c r="C16" i="29"/>
  <c r="AI16" i="29" s="1"/>
  <c r="C35" i="29"/>
  <c r="C24" i="29" s="1"/>
  <c r="E37" i="29"/>
  <c r="G39" i="29"/>
  <c r="I41" i="29"/>
  <c r="I42" i="29" s="1"/>
  <c r="I43" i="29" s="1"/>
  <c r="D35" i="29"/>
  <c r="D24" i="29" s="1"/>
  <c r="F37" i="29"/>
  <c r="H39" i="29"/>
  <c r="D40" i="29"/>
  <c r="C40" i="29" s="1"/>
  <c r="E40" i="29"/>
  <c r="F40" i="29"/>
  <c r="D36" i="29"/>
  <c r="F38" i="29"/>
  <c r="AK37" i="29" s="1"/>
  <c r="AK46" i="29" s="1"/>
  <c r="AK55" i="29" s="1"/>
  <c r="G13" i="28"/>
  <c r="G45" i="27"/>
  <c r="G31" i="27" s="1"/>
  <c r="I14" i="28"/>
  <c r="G10" i="27"/>
  <c r="H10" i="27" s="1"/>
  <c r="I10" i="27" s="1"/>
  <c r="E46" i="27"/>
  <c r="E32" i="27" s="1"/>
  <c r="D12" i="27"/>
  <c r="G9" i="27"/>
  <c r="G11" i="27"/>
  <c r="C12" i="27"/>
  <c r="AI12" i="27" s="1"/>
  <c r="AI55" i="27"/>
  <c r="AJ46" i="27"/>
  <c r="AJ55" i="27" s="1"/>
  <c r="AJ47" i="27"/>
  <c r="AJ56" i="27" s="1"/>
  <c r="H45" i="27"/>
  <c r="AJ48" i="27"/>
  <c r="AJ57" i="27" s="1"/>
  <c r="AJ49" i="27"/>
  <c r="AJ58" i="27" s="1"/>
  <c r="G8" i="27"/>
  <c r="H8" i="27" s="1"/>
  <c r="I8" i="27" s="1"/>
  <c r="D46" i="27"/>
  <c r="D32" i="27" s="1"/>
  <c r="AJ9" i="27"/>
  <c r="G14" i="28"/>
  <c r="F14" i="28"/>
  <c r="D14" i="28"/>
  <c r="J14" i="28"/>
  <c r="A15" i="28"/>
  <c r="C14" i="28"/>
  <c r="B14" i="28"/>
  <c r="AI9" i="27"/>
  <c r="H14" i="28"/>
  <c r="F12" i="27"/>
  <c r="G11" i="28"/>
  <c r="E12" i="27"/>
  <c r="AJ45" i="27"/>
  <c r="AJ54" i="27" s="1"/>
  <c r="G12" i="28"/>
  <c r="G26" i="28"/>
  <c r="C27" i="19"/>
  <c r="C24" i="19"/>
  <c r="C23" i="19"/>
  <c r="C22" i="19"/>
  <c r="C21" i="19"/>
  <c r="C20" i="19"/>
  <c r="C14" i="30" l="1"/>
  <c r="G14" i="22" s="1"/>
  <c r="M67" i="30"/>
  <c r="M99" i="30" s="1"/>
  <c r="M112" i="30" s="1"/>
  <c r="D14" i="30"/>
  <c r="H14" i="22" s="1"/>
  <c r="N67" i="30"/>
  <c r="N99" i="30" s="1"/>
  <c r="N112" i="30" s="1"/>
  <c r="X72" i="30"/>
  <c r="X114" i="30" s="1"/>
  <c r="X126" i="30" s="1"/>
  <c r="D30" i="30"/>
  <c r="H30" i="22" s="1"/>
  <c r="AB70" i="30"/>
  <c r="AB112" i="30" s="1"/>
  <c r="AB124" i="30" s="1"/>
  <c r="H28" i="30"/>
  <c r="L28" i="22" s="1"/>
  <c r="C12" i="30"/>
  <c r="G12" i="22" s="1"/>
  <c r="F11" i="30"/>
  <c r="J11" i="22" s="1"/>
  <c r="Y72" i="30"/>
  <c r="Y114" i="30" s="1"/>
  <c r="Y126" i="30" s="1"/>
  <c r="E30" i="30"/>
  <c r="I30" i="22" s="1"/>
  <c r="W70" i="30"/>
  <c r="W112" i="30" s="1"/>
  <c r="W124" i="30" s="1"/>
  <c r="C28" i="30"/>
  <c r="G28" i="22" s="1"/>
  <c r="W31" i="30"/>
  <c r="C32" i="30"/>
  <c r="G32" i="22" s="1"/>
  <c r="C8" i="30"/>
  <c r="G8" i="22" s="1"/>
  <c r="AA72" i="30"/>
  <c r="AA114" i="30" s="1"/>
  <c r="AA126" i="30" s="1"/>
  <c r="G30" i="30"/>
  <c r="K30" i="22" s="1"/>
  <c r="W69" i="30"/>
  <c r="W111" i="30" s="1"/>
  <c r="W123" i="30" s="1"/>
  <c r="C27" i="30"/>
  <c r="G27" i="22" s="1"/>
  <c r="X31" i="30"/>
  <c r="D32" i="30"/>
  <c r="H32" i="22" s="1"/>
  <c r="Q23" i="30"/>
  <c r="Q67" i="30" s="1"/>
  <c r="Q99" i="30" s="1"/>
  <c r="Q112" i="30" s="1"/>
  <c r="E14" i="30"/>
  <c r="I14" i="22" s="1"/>
  <c r="AB72" i="30"/>
  <c r="AB114" i="30" s="1"/>
  <c r="AB126" i="30" s="1"/>
  <c r="H30" i="30"/>
  <c r="L30" i="22" s="1"/>
  <c r="X69" i="30"/>
  <c r="X111" i="30" s="1"/>
  <c r="X123" i="30" s="1"/>
  <c r="D27" i="30"/>
  <c r="H27" i="22" s="1"/>
  <c r="Y31" i="30"/>
  <c r="E32" i="30"/>
  <c r="I32" i="22" s="1"/>
  <c r="AC70" i="30"/>
  <c r="AC112" i="30" s="1"/>
  <c r="AC124" i="30" s="1"/>
  <c r="I28" i="30"/>
  <c r="M28" i="22" s="1"/>
  <c r="Y69" i="30"/>
  <c r="Y111" i="30" s="1"/>
  <c r="Y123" i="30" s="1"/>
  <c r="E27" i="30"/>
  <c r="I27" i="22" s="1"/>
  <c r="Z31" i="30"/>
  <c r="F32" i="30"/>
  <c r="J32" i="22" s="1"/>
  <c r="Y21" i="30"/>
  <c r="E24" i="30" s="1"/>
  <c r="I24" i="22" s="1"/>
  <c r="E37" i="30"/>
  <c r="I37" i="22" s="1"/>
  <c r="E8" i="30"/>
  <c r="I8" i="22" s="1"/>
  <c r="Z72" i="30"/>
  <c r="Z114" i="30" s="1"/>
  <c r="Z126" i="30" s="1"/>
  <c r="F30" i="30"/>
  <c r="J30" i="22" s="1"/>
  <c r="AC72" i="30"/>
  <c r="AC114" i="30" s="1"/>
  <c r="AC126" i="30" s="1"/>
  <c r="I30" i="30"/>
  <c r="M30" i="22" s="1"/>
  <c r="Z69" i="30"/>
  <c r="Z111" i="30" s="1"/>
  <c r="Z123" i="30" s="1"/>
  <c r="F27" i="30"/>
  <c r="J27" i="22" s="1"/>
  <c r="AA31" i="30"/>
  <c r="G32" i="30"/>
  <c r="K32" i="22" s="1"/>
  <c r="G5" i="30"/>
  <c r="K5" i="22" s="1"/>
  <c r="AA69" i="30"/>
  <c r="AA111" i="30" s="1"/>
  <c r="AA123" i="30" s="1"/>
  <c r="G27" i="30"/>
  <c r="K27" i="22" s="1"/>
  <c r="W71" i="30"/>
  <c r="W113" i="30" s="1"/>
  <c r="W125" i="30" s="1"/>
  <c r="C29" i="30"/>
  <c r="G29" i="22" s="1"/>
  <c r="AC31" i="30"/>
  <c r="I32" i="30"/>
  <c r="M32" i="22" s="1"/>
  <c r="C13" i="30"/>
  <c r="G13" i="22" s="1"/>
  <c r="X71" i="30"/>
  <c r="X113" i="30" s="1"/>
  <c r="X125" i="30" s="1"/>
  <c r="D29" i="30"/>
  <c r="H29" i="22" s="1"/>
  <c r="AB69" i="30"/>
  <c r="AB111" i="30" s="1"/>
  <c r="AB123" i="30" s="1"/>
  <c r="H27" i="30"/>
  <c r="L27" i="22" s="1"/>
  <c r="D11" i="30"/>
  <c r="H11" i="22" s="1"/>
  <c r="Q21" i="30"/>
  <c r="Q65" i="30" s="1"/>
  <c r="Q97" i="30" s="1"/>
  <c r="Q110" i="30" s="1"/>
  <c r="F12" i="30"/>
  <c r="J12" i="22" s="1"/>
  <c r="AB31" i="30"/>
  <c r="H32" i="30"/>
  <c r="L32" i="22" s="1"/>
  <c r="E7" i="30"/>
  <c r="I7" i="22" s="1"/>
  <c r="Y71" i="30"/>
  <c r="Y113" i="30" s="1"/>
  <c r="Y125" i="30" s="1"/>
  <c r="E29" i="30"/>
  <c r="I29" i="22" s="1"/>
  <c r="AC69" i="30"/>
  <c r="AC111" i="30" s="1"/>
  <c r="AC123" i="30" s="1"/>
  <c r="I27" i="30"/>
  <c r="M27" i="22" s="1"/>
  <c r="D6" i="30"/>
  <c r="H6" i="22" s="1"/>
  <c r="Z35" i="30"/>
  <c r="F6" i="30"/>
  <c r="J6" i="22" s="1"/>
  <c r="Z71" i="30"/>
  <c r="Z113" i="30" s="1"/>
  <c r="Z125" i="30" s="1"/>
  <c r="F29" i="30"/>
  <c r="J29" i="22" s="1"/>
  <c r="W13" i="30"/>
  <c r="C16" i="30" s="1"/>
  <c r="G16" i="22" s="1"/>
  <c r="C26" i="30"/>
  <c r="G26" i="22" s="1"/>
  <c r="C11" i="30"/>
  <c r="G11" i="22" s="1"/>
  <c r="D7" i="30"/>
  <c r="H7" i="22" s="1"/>
  <c r="W73" i="30"/>
  <c r="W115" i="30" s="1"/>
  <c r="W127" i="30" s="1"/>
  <c r="C31" i="30"/>
  <c r="G31" i="22" s="1"/>
  <c r="AA71" i="30"/>
  <c r="AA113" i="30" s="1"/>
  <c r="AA125" i="30" s="1"/>
  <c r="G29" i="30"/>
  <c r="K29" i="22" s="1"/>
  <c r="X13" i="30"/>
  <c r="D16" i="30" s="1"/>
  <c r="H16" i="22" s="1"/>
  <c r="D26" i="30"/>
  <c r="H26" i="22" s="1"/>
  <c r="C6" i="30"/>
  <c r="G6" i="22" s="1"/>
  <c r="C7" i="30"/>
  <c r="G7" i="22" s="1"/>
  <c r="X73" i="30"/>
  <c r="X115" i="30" s="1"/>
  <c r="X127" i="30" s="1"/>
  <c r="D31" i="30"/>
  <c r="H31" i="22" s="1"/>
  <c r="AB71" i="30"/>
  <c r="AB113" i="30" s="1"/>
  <c r="AB125" i="30" s="1"/>
  <c r="H29" i="30"/>
  <c r="L29" i="22" s="1"/>
  <c r="D13" i="30"/>
  <c r="H13" i="22" s="1"/>
  <c r="Y73" i="30"/>
  <c r="Y115" i="30" s="1"/>
  <c r="Y127" i="30" s="1"/>
  <c r="E31" i="30"/>
  <c r="I31" i="22" s="1"/>
  <c r="Z13" i="30"/>
  <c r="F16" i="30" s="1"/>
  <c r="J16" i="22" s="1"/>
  <c r="F26" i="30"/>
  <c r="J26" i="22" s="1"/>
  <c r="D5" i="30"/>
  <c r="H5" i="22" s="1"/>
  <c r="Z73" i="30"/>
  <c r="Z115" i="30" s="1"/>
  <c r="Z127" i="30" s="1"/>
  <c r="F31" i="30"/>
  <c r="J31" i="22" s="1"/>
  <c r="AA13" i="30"/>
  <c r="G16" i="30" s="1"/>
  <c r="K16" i="22" s="1"/>
  <c r="G26" i="30"/>
  <c r="K26" i="22" s="1"/>
  <c r="AA73" i="30"/>
  <c r="AA115" i="30" s="1"/>
  <c r="AA127" i="30" s="1"/>
  <c r="G31" i="30"/>
  <c r="K31" i="22" s="1"/>
  <c r="AB73" i="30"/>
  <c r="AB115" i="30" s="1"/>
  <c r="AB127" i="30" s="1"/>
  <c r="H31" i="30"/>
  <c r="L31" i="22" s="1"/>
  <c r="Z70" i="30"/>
  <c r="Z112" i="30" s="1"/>
  <c r="Z124" i="30" s="1"/>
  <c r="F28" i="30"/>
  <c r="J28" i="22" s="1"/>
  <c r="AC13" i="30"/>
  <c r="I16" i="30" s="1"/>
  <c r="M16" i="22" s="1"/>
  <c r="I26" i="30"/>
  <c r="M26" i="22" s="1"/>
  <c r="Q14" i="30"/>
  <c r="Q58" i="30" s="1"/>
  <c r="H4" i="30"/>
  <c r="L4" i="22" s="1"/>
  <c r="Y13" i="30"/>
  <c r="E16" i="30" s="1"/>
  <c r="I16" i="22" s="1"/>
  <c r="E26" i="30"/>
  <c r="I26" i="22" s="1"/>
  <c r="AC71" i="30"/>
  <c r="AC113" i="30" s="1"/>
  <c r="AC125" i="30" s="1"/>
  <c r="I29" i="30"/>
  <c r="M29" i="22" s="1"/>
  <c r="Q22" i="30"/>
  <c r="Q66" i="30" s="1"/>
  <c r="Q98" i="30" s="1"/>
  <c r="Q111" i="30" s="1"/>
  <c r="E13" i="30"/>
  <c r="I13" i="22" s="1"/>
  <c r="X70" i="30"/>
  <c r="X112" i="30" s="1"/>
  <c r="X124" i="30" s="1"/>
  <c r="D28" i="30"/>
  <c r="H28" i="22" s="1"/>
  <c r="D12" i="30"/>
  <c r="H12" i="22" s="1"/>
  <c r="Y70" i="30"/>
  <c r="Y112" i="30" s="1"/>
  <c r="Y124" i="30" s="1"/>
  <c r="E28" i="30"/>
  <c r="I28" i="22" s="1"/>
  <c r="AC73" i="30"/>
  <c r="AC115" i="30" s="1"/>
  <c r="AC127" i="30" s="1"/>
  <c r="I31" i="30"/>
  <c r="M31" i="22" s="1"/>
  <c r="AA70" i="30"/>
  <c r="AA112" i="30" s="1"/>
  <c r="AA124" i="30" s="1"/>
  <c r="G28" i="30"/>
  <c r="K28" i="22" s="1"/>
  <c r="Q20" i="30"/>
  <c r="Q64" i="30" s="1"/>
  <c r="Q96" i="30" s="1"/>
  <c r="Q109" i="30" s="1"/>
  <c r="AB13" i="30"/>
  <c r="H16" i="30" s="1"/>
  <c r="L16" i="22" s="1"/>
  <c r="H26" i="30"/>
  <c r="L26" i="22" s="1"/>
  <c r="F8" i="30"/>
  <c r="J8" i="22" s="1"/>
  <c r="W72" i="30"/>
  <c r="W114" i="30" s="1"/>
  <c r="W126" i="30" s="1"/>
  <c r="C30" i="30"/>
  <c r="G30" i="22" s="1"/>
  <c r="Q15" i="30"/>
  <c r="Q16" i="30"/>
  <c r="Q60" i="30" s="1"/>
  <c r="S12" i="30"/>
  <c r="S56" i="30" s="1"/>
  <c r="W35" i="30"/>
  <c r="P17" i="30"/>
  <c r="X35" i="30"/>
  <c r="M17" i="30"/>
  <c r="R13" i="30"/>
  <c r="R57" i="30" s="1"/>
  <c r="O17" i="30"/>
  <c r="AC15" i="30"/>
  <c r="AB15" i="30"/>
  <c r="AA15" i="30"/>
  <c r="Z15" i="30"/>
  <c r="Y15" i="30"/>
  <c r="X15" i="30"/>
  <c r="W15" i="30"/>
  <c r="AC34" i="30"/>
  <c r="AB20" i="30"/>
  <c r="H23" i="30" s="1"/>
  <c r="L23" i="22" s="1"/>
  <c r="X12" i="30"/>
  <c r="D15" i="30" s="1"/>
  <c r="H15" i="22" s="1"/>
  <c r="Y23" i="30"/>
  <c r="E25" i="30" s="1"/>
  <c r="I25" i="22" s="1"/>
  <c r="X17" i="30"/>
  <c r="W17" i="30"/>
  <c r="Y17" i="30"/>
  <c r="AC17" i="30"/>
  <c r="AB17" i="30"/>
  <c r="AA17" i="30"/>
  <c r="Z17" i="30"/>
  <c r="AC16" i="30"/>
  <c r="I19" i="30" s="1"/>
  <c r="M19" i="22" s="1"/>
  <c r="AB16" i="30"/>
  <c r="H19" i="30" s="1"/>
  <c r="L19" i="22" s="1"/>
  <c r="AA16" i="30"/>
  <c r="G19" i="30" s="1"/>
  <c r="K19" i="22" s="1"/>
  <c r="Z16" i="30"/>
  <c r="F19" i="30" s="1"/>
  <c r="J19" i="22" s="1"/>
  <c r="Y16" i="30"/>
  <c r="E19" i="30" s="1"/>
  <c r="I19" i="22" s="1"/>
  <c r="X16" i="30"/>
  <c r="D19" i="30" s="1"/>
  <c r="H19" i="22" s="1"/>
  <c r="W16" i="30"/>
  <c r="C19" i="30" s="1"/>
  <c r="G19" i="22" s="1"/>
  <c r="AB14" i="30"/>
  <c r="AA14" i="30"/>
  <c r="Z14" i="30"/>
  <c r="Y14" i="30"/>
  <c r="X14" i="30"/>
  <c r="W14" i="30"/>
  <c r="AC14" i="30"/>
  <c r="AC18" i="30"/>
  <c r="I21" i="30" s="1"/>
  <c r="M21" i="22" s="1"/>
  <c r="AB18" i="30"/>
  <c r="H21" i="30" s="1"/>
  <c r="L21" i="22" s="1"/>
  <c r="AA18" i="30"/>
  <c r="G21" i="30" s="1"/>
  <c r="K21" i="22" s="1"/>
  <c r="Z18" i="30"/>
  <c r="F21" i="30" s="1"/>
  <c r="J21" i="22" s="1"/>
  <c r="Y18" i="30"/>
  <c r="E21" i="30" s="1"/>
  <c r="I21" i="22" s="1"/>
  <c r="X18" i="30"/>
  <c r="D21" i="30" s="1"/>
  <c r="H21" i="22" s="1"/>
  <c r="W18" i="30"/>
  <c r="C21" i="30" s="1"/>
  <c r="G21" i="22" s="1"/>
  <c r="C23" i="29"/>
  <c r="D34" i="29"/>
  <c r="I45" i="29"/>
  <c r="I31" i="29" s="1"/>
  <c r="H31" i="29"/>
  <c r="I9" i="29"/>
  <c r="I46" i="29" s="1"/>
  <c r="I32" i="29" s="1"/>
  <c r="H46" i="29"/>
  <c r="H32" i="29" s="1"/>
  <c r="D44" i="29"/>
  <c r="E44" i="29" s="1"/>
  <c r="F44" i="29" s="1"/>
  <c r="G44" i="29" s="1"/>
  <c r="H44" i="29" s="1"/>
  <c r="I44" i="29" s="1"/>
  <c r="I11" i="29"/>
  <c r="I12" i="29" s="1"/>
  <c r="H12" i="29"/>
  <c r="AJ48" i="29"/>
  <c r="AJ57" i="29" s="1"/>
  <c r="G46" i="27"/>
  <c r="G32" i="27" s="1"/>
  <c r="H9" i="27"/>
  <c r="G12" i="27"/>
  <c r="H11" i="27"/>
  <c r="H31" i="27"/>
  <c r="I45" i="27"/>
  <c r="I31" i="27" s="1"/>
  <c r="E15" i="28"/>
  <c r="D15" i="28"/>
  <c r="J15" i="28"/>
  <c r="B15" i="28"/>
  <c r="I15" i="28"/>
  <c r="H15" i="28"/>
  <c r="F15" i="28"/>
  <c r="C15" i="28"/>
  <c r="A16" i="28"/>
  <c r="G15" i="28"/>
  <c r="R14" i="30" l="1"/>
  <c r="R58" i="30" s="1"/>
  <c r="F9" i="30"/>
  <c r="J9" i="22" s="1"/>
  <c r="P61" i="30"/>
  <c r="R16" i="30"/>
  <c r="R60" i="30" s="1"/>
  <c r="AA35" i="30"/>
  <c r="E9" i="30"/>
  <c r="I9" i="22" s="1"/>
  <c r="O61" i="30"/>
  <c r="C9" i="30"/>
  <c r="G9" i="22" s="1"/>
  <c r="M61" i="30"/>
  <c r="R15" i="30"/>
  <c r="R59" i="30" s="1"/>
  <c r="Q59" i="30"/>
  <c r="H7" i="30"/>
  <c r="L7" i="22" s="1"/>
  <c r="W64" i="30"/>
  <c r="W76" i="30" s="1"/>
  <c r="C18" i="30"/>
  <c r="G18" i="22" s="1"/>
  <c r="AB63" i="30"/>
  <c r="AB75" i="30" s="1"/>
  <c r="H17" i="30"/>
  <c r="L17" i="22" s="1"/>
  <c r="X64" i="30"/>
  <c r="X76" i="30" s="1"/>
  <c r="D18" i="30"/>
  <c r="H18" i="22" s="1"/>
  <c r="Z63" i="30"/>
  <c r="Z75" i="30" s="1"/>
  <c r="F17" i="30"/>
  <c r="J17" i="22" s="1"/>
  <c r="R22" i="30"/>
  <c r="R66" i="30" s="1"/>
  <c r="R98" i="30" s="1"/>
  <c r="R111" i="30" s="1"/>
  <c r="G13" i="30"/>
  <c r="K13" i="22" s="1"/>
  <c r="Y64" i="30"/>
  <c r="Y76" i="30" s="1"/>
  <c r="E18" i="30"/>
  <c r="I18" i="22" s="1"/>
  <c r="W32" i="30"/>
  <c r="C34" i="30" s="1"/>
  <c r="G34" i="22" s="1"/>
  <c r="C33" i="30"/>
  <c r="G33" i="22" s="1"/>
  <c r="Z64" i="30"/>
  <c r="Z106" i="30" s="1"/>
  <c r="Z118" i="30" s="1"/>
  <c r="F18" i="30"/>
  <c r="J18" i="22" s="1"/>
  <c r="AA64" i="30"/>
  <c r="AA106" i="30" s="1"/>
  <c r="AA118" i="30" s="1"/>
  <c r="G18" i="30"/>
  <c r="K18" i="22" s="1"/>
  <c r="AB32" i="30"/>
  <c r="H34" i="30" s="1"/>
  <c r="L34" i="22" s="1"/>
  <c r="H33" i="30"/>
  <c r="L33" i="22" s="1"/>
  <c r="Y32" i="30"/>
  <c r="E34" i="30" s="1"/>
  <c r="I34" i="22" s="1"/>
  <c r="E33" i="30"/>
  <c r="I33" i="22" s="1"/>
  <c r="Y63" i="30"/>
  <c r="Y75" i="30" s="1"/>
  <c r="E17" i="30"/>
  <c r="I17" i="22" s="1"/>
  <c r="AA63" i="30"/>
  <c r="AA75" i="30" s="1"/>
  <c r="G17" i="30"/>
  <c r="K17" i="22" s="1"/>
  <c r="R20" i="30"/>
  <c r="R64" i="30" s="1"/>
  <c r="R96" i="30" s="1"/>
  <c r="R109" i="30" s="1"/>
  <c r="G11" i="30"/>
  <c r="K11" i="22" s="1"/>
  <c r="G6" i="30"/>
  <c r="K6" i="22" s="1"/>
  <c r="R21" i="30"/>
  <c r="R65" i="30" s="1"/>
  <c r="R97" i="30" s="1"/>
  <c r="R110" i="30" s="1"/>
  <c r="G12" i="30"/>
  <c r="K12" i="22" s="1"/>
  <c r="AA32" i="30"/>
  <c r="G34" i="30" s="1"/>
  <c r="K34" i="22" s="1"/>
  <c r="G33" i="30"/>
  <c r="K33" i="22" s="1"/>
  <c r="AC64" i="30"/>
  <c r="AC106" i="30" s="1"/>
  <c r="AC118" i="30" s="1"/>
  <c r="I18" i="30"/>
  <c r="M18" i="22" s="1"/>
  <c r="H5" i="30"/>
  <c r="L5" i="22" s="1"/>
  <c r="AC20" i="30"/>
  <c r="I23" i="30" s="1"/>
  <c r="M23" i="22" s="1"/>
  <c r="I36" i="30"/>
  <c r="M36" i="22" s="1"/>
  <c r="AB64" i="30"/>
  <c r="AB106" i="30" s="1"/>
  <c r="AB118" i="30" s="1"/>
  <c r="H18" i="30"/>
  <c r="L18" i="22" s="1"/>
  <c r="Z66" i="30"/>
  <c r="Z78" i="30" s="1"/>
  <c r="F20" i="30"/>
  <c r="J20" i="22" s="1"/>
  <c r="AA66" i="30"/>
  <c r="G20" i="30"/>
  <c r="K20" i="22" s="1"/>
  <c r="X21" i="30"/>
  <c r="D24" i="30" s="1"/>
  <c r="H24" i="22" s="1"/>
  <c r="D37" i="30"/>
  <c r="H37" i="22" s="1"/>
  <c r="R23" i="30"/>
  <c r="R67" i="30" s="1"/>
  <c r="R99" i="30" s="1"/>
  <c r="R112" i="30" s="1"/>
  <c r="G14" i="30"/>
  <c r="K14" i="22" s="1"/>
  <c r="AB66" i="30"/>
  <c r="AB78" i="30" s="1"/>
  <c r="H20" i="30"/>
  <c r="L20" i="22" s="1"/>
  <c r="H6" i="30"/>
  <c r="L6" i="22" s="1"/>
  <c r="AA21" i="30"/>
  <c r="G24" i="30" s="1"/>
  <c r="K24" i="22" s="1"/>
  <c r="G37" i="30"/>
  <c r="K37" i="22" s="1"/>
  <c r="AC66" i="30"/>
  <c r="AC78" i="30" s="1"/>
  <c r="I20" i="30"/>
  <c r="M20" i="22" s="1"/>
  <c r="W21" i="30"/>
  <c r="C24" i="30" s="1"/>
  <c r="G24" i="22" s="1"/>
  <c r="C37" i="30"/>
  <c r="G37" i="22" s="1"/>
  <c r="Z21" i="30"/>
  <c r="F24" i="30" s="1"/>
  <c r="J24" i="22" s="1"/>
  <c r="F37" i="30"/>
  <c r="J37" i="22" s="1"/>
  <c r="AC63" i="30"/>
  <c r="AC75" i="30" s="1"/>
  <c r="I17" i="30"/>
  <c r="M17" i="22" s="1"/>
  <c r="X66" i="30"/>
  <c r="X108" i="30" s="1"/>
  <c r="X120" i="30" s="1"/>
  <c r="D20" i="30"/>
  <c r="H20" i="22" s="1"/>
  <c r="I4" i="30"/>
  <c r="M4" i="22" s="1"/>
  <c r="G7" i="30"/>
  <c r="K7" i="22" s="1"/>
  <c r="Y66" i="30"/>
  <c r="Y108" i="30" s="1"/>
  <c r="Y120" i="30" s="1"/>
  <c r="E20" i="30"/>
  <c r="I20" i="22" s="1"/>
  <c r="W66" i="30"/>
  <c r="W108" i="30" s="1"/>
  <c r="W120" i="30" s="1"/>
  <c r="C20" i="30"/>
  <c r="G20" i="22" s="1"/>
  <c r="H8" i="30"/>
  <c r="L8" i="22" s="1"/>
  <c r="X32" i="30"/>
  <c r="D34" i="30" s="1"/>
  <c r="H34" i="22" s="1"/>
  <c r="D33" i="30"/>
  <c r="H33" i="22" s="1"/>
  <c r="W63" i="30"/>
  <c r="W75" i="30" s="1"/>
  <c r="C17" i="30"/>
  <c r="G17" i="22" s="1"/>
  <c r="X63" i="30"/>
  <c r="D17" i="30"/>
  <c r="H17" i="22" s="1"/>
  <c r="G8" i="30"/>
  <c r="K8" i="22" s="1"/>
  <c r="AC32" i="30"/>
  <c r="I34" i="30" s="1"/>
  <c r="M34" i="22" s="1"/>
  <c r="I33" i="30"/>
  <c r="M33" i="22" s="1"/>
  <c r="Z32" i="30"/>
  <c r="F34" i="30" s="1"/>
  <c r="J34" i="22" s="1"/>
  <c r="F33" i="30"/>
  <c r="J33" i="22" s="1"/>
  <c r="S15" i="30"/>
  <c r="S59" i="30" s="1"/>
  <c r="S13" i="30"/>
  <c r="S57" i="30" s="1"/>
  <c r="Q17" i="30"/>
  <c r="S14" i="30"/>
  <c r="S58" i="30" s="1"/>
  <c r="AB35" i="30"/>
  <c r="S16" i="30"/>
  <c r="S60" i="30" s="1"/>
  <c r="W67" i="30"/>
  <c r="W19" i="30"/>
  <c r="C22" i="30" s="1"/>
  <c r="G22" i="22" s="1"/>
  <c r="AC65" i="30"/>
  <c r="AC33" i="30"/>
  <c r="I35" i="30" s="1"/>
  <c r="M35" i="22" s="1"/>
  <c r="X67" i="30"/>
  <c r="X19" i="30"/>
  <c r="D22" i="30" s="1"/>
  <c r="H22" i="22" s="1"/>
  <c r="Y67" i="30"/>
  <c r="Y19" i="30"/>
  <c r="E22" i="30" s="1"/>
  <c r="I22" i="22" s="1"/>
  <c r="AA78" i="30"/>
  <c r="AA108" i="30"/>
  <c r="AA120" i="30" s="1"/>
  <c r="Z67" i="30"/>
  <c r="Z19" i="30"/>
  <c r="F22" i="30" s="1"/>
  <c r="J22" i="22" s="1"/>
  <c r="AA67" i="30"/>
  <c r="AA19" i="30"/>
  <c r="G22" i="30" s="1"/>
  <c r="K22" i="22" s="1"/>
  <c r="AB67" i="30"/>
  <c r="AB19" i="30"/>
  <c r="H22" i="30" s="1"/>
  <c r="L22" i="22" s="1"/>
  <c r="Y78" i="30"/>
  <c r="AC67" i="30"/>
  <c r="AC19" i="30"/>
  <c r="I22" i="30" s="1"/>
  <c r="M22" i="22" s="1"/>
  <c r="Y12" i="30"/>
  <c r="E15" i="30" s="1"/>
  <c r="I15" i="22" s="1"/>
  <c r="Z23" i="30"/>
  <c r="F25" i="30" s="1"/>
  <c r="J25" i="22" s="1"/>
  <c r="AA105" i="30"/>
  <c r="AA117" i="30" s="1"/>
  <c r="W65" i="30"/>
  <c r="W33" i="30"/>
  <c r="C35" i="30" s="1"/>
  <c r="G35" i="22" s="1"/>
  <c r="AB65" i="30"/>
  <c r="AB33" i="30"/>
  <c r="H35" i="30" s="1"/>
  <c r="L35" i="22" s="1"/>
  <c r="X65" i="30"/>
  <c r="X33" i="30"/>
  <c r="D35" i="30" s="1"/>
  <c r="H35" i="22" s="1"/>
  <c r="Y65" i="30"/>
  <c r="Y33" i="30"/>
  <c r="E35" i="30" s="1"/>
  <c r="I35" i="22" s="1"/>
  <c r="Z65" i="30"/>
  <c r="Z33" i="30"/>
  <c r="F35" i="30" s="1"/>
  <c r="J35" i="22" s="1"/>
  <c r="X75" i="30"/>
  <c r="X105" i="30"/>
  <c r="X117" i="30" s="1"/>
  <c r="AA65" i="30"/>
  <c r="AA33" i="30"/>
  <c r="G35" i="30" s="1"/>
  <c r="K35" i="22" s="1"/>
  <c r="D23" i="29"/>
  <c r="E34" i="29"/>
  <c r="I9" i="27"/>
  <c r="I46" i="27" s="1"/>
  <c r="I32" i="27" s="1"/>
  <c r="H46" i="27"/>
  <c r="H32" i="27" s="1"/>
  <c r="I11" i="27"/>
  <c r="I12" i="27" s="1"/>
  <c r="H12" i="27"/>
  <c r="A17" i="28"/>
  <c r="C16" i="28"/>
  <c r="J16" i="28"/>
  <c r="B16" i="28"/>
  <c r="H16" i="28"/>
  <c r="F16" i="28"/>
  <c r="G16" i="28"/>
  <c r="I16" i="28"/>
  <c r="E16" i="28"/>
  <c r="D16" i="28"/>
  <c r="G4" i="21"/>
  <c r="Z108" i="30" l="1"/>
  <c r="Z120" i="30" s="1"/>
  <c r="AB76" i="30"/>
  <c r="W78" i="30"/>
  <c r="G9" i="30"/>
  <c r="K9" i="22" s="1"/>
  <c r="Q61" i="30"/>
  <c r="AB105" i="30"/>
  <c r="AB117" i="30" s="1"/>
  <c r="AC76" i="30"/>
  <c r="W106" i="30"/>
  <c r="W118" i="30" s="1"/>
  <c r="W105" i="30"/>
  <c r="W117" i="30" s="1"/>
  <c r="Y106" i="30"/>
  <c r="Y118" i="30" s="1"/>
  <c r="X78" i="30"/>
  <c r="AC105" i="30"/>
  <c r="AC117" i="30" s="1"/>
  <c r="S22" i="30"/>
  <c r="S66" i="30" s="1"/>
  <c r="S98" i="30" s="1"/>
  <c r="S111" i="30" s="1"/>
  <c r="H13" i="30"/>
  <c r="L13" i="22" s="1"/>
  <c r="X106" i="30"/>
  <c r="X118" i="30" s="1"/>
  <c r="S23" i="30"/>
  <c r="H14" i="30"/>
  <c r="L14" i="22" s="1"/>
  <c r="Y105" i="30"/>
  <c r="Y117" i="30" s="1"/>
  <c r="AA76" i="30"/>
  <c r="AC108" i="30"/>
  <c r="AC120" i="30" s="1"/>
  <c r="AB21" i="30"/>
  <c r="H24" i="30" s="1"/>
  <c r="L24" i="22" s="1"/>
  <c r="H37" i="30"/>
  <c r="L37" i="22" s="1"/>
  <c r="Z105" i="30"/>
  <c r="Z117" i="30" s="1"/>
  <c r="I6" i="30"/>
  <c r="M6" i="22" s="1"/>
  <c r="S20" i="30"/>
  <c r="S64" i="30" s="1"/>
  <c r="S96" i="30" s="1"/>
  <c r="S109" i="30" s="1"/>
  <c r="H11" i="30"/>
  <c r="L11" i="22" s="1"/>
  <c r="I8" i="30"/>
  <c r="M8" i="22" s="1"/>
  <c r="Z76" i="30"/>
  <c r="AB108" i="30"/>
  <c r="AB120" i="30" s="1"/>
  <c r="I5" i="30"/>
  <c r="M5" i="22" s="1"/>
  <c r="S21" i="30"/>
  <c r="S65" i="30" s="1"/>
  <c r="S97" i="30" s="1"/>
  <c r="S110" i="30" s="1"/>
  <c r="H12" i="30"/>
  <c r="L12" i="22" s="1"/>
  <c r="I7" i="30"/>
  <c r="M7" i="22" s="1"/>
  <c r="AC35" i="30"/>
  <c r="R17" i="30"/>
  <c r="Z109" i="30"/>
  <c r="Z121" i="30" s="1"/>
  <c r="Z79" i="30"/>
  <c r="Y107" i="30"/>
  <c r="Y119" i="30" s="1"/>
  <c r="Y77" i="30"/>
  <c r="Z12" i="30"/>
  <c r="F15" i="30" s="1"/>
  <c r="J15" i="22" s="1"/>
  <c r="AA23" i="30"/>
  <c r="G25" i="30" s="1"/>
  <c r="K25" i="22" s="1"/>
  <c r="X107" i="30"/>
  <c r="X119" i="30" s="1"/>
  <c r="X77" i="30"/>
  <c r="AC109" i="30"/>
  <c r="AC121" i="30" s="1"/>
  <c r="AC79" i="30"/>
  <c r="X79" i="30"/>
  <c r="X109" i="30"/>
  <c r="X121" i="30" s="1"/>
  <c r="AA109" i="30"/>
  <c r="AA121" i="30" s="1"/>
  <c r="AA79" i="30"/>
  <c r="AB107" i="30"/>
  <c r="AB119" i="30" s="1"/>
  <c r="AB77" i="30"/>
  <c r="W107" i="30"/>
  <c r="W119" i="30" s="1"/>
  <c r="W77" i="30"/>
  <c r="AA107" i="30"/>
  <c r="AA119" i="30" s="1"/>
  <c r="AA77" i="30"/>
  <c r="Z107" i="30"/>
  <c r="Z119" i="30" s="1"/>
  <c r="Z77" i="30"/>
  <c r="AC77" i="30"/>
  <c r="AC107" i="30"/>
  <c r="AC119" i="30" s="1"/>
  <c r="Y79" i="30"/>
  <c r="Y109" i="30"/>
  <c r="Y121" i="30" s="1"/>
  <c r="AB109" i="30"/>
  <c r="AB121" i="30" s="1"/>
  <c r="AB79" i="30"/>
  <c r="W79" i="30"/>
  <c r="W109" i="30"/>
  <c r="W121" i="30" s="1"/>
  <c r="E23" i="29"/>
  <c r="F34" i="29"/>
  <c r="I17" i="28"/>
  <c r="H17" i="28"/>
  <c r="F17" i="28"/>
  <c r="D17" i="28"/>
  <c r="E17" i="28"/>
  <c r="G17" i="28"/>
  <c r="C17" i="28"/>
  <c r="B17" i="28"/>
  <c r="A18" i="28"/>
  <c r="J17" i="28"/>
  <c r="S9" i="22"/>
  <c r="C11" i="21"/>
  <c r="D11" i="21"/>
  <c r="E11" i="21"/>
  <c r="F11" i="21"/>
  <c r="C12" i="21"/>
  <c r="D12" i="21"/>
  <c r="E12" i="21"/>
  <c r="F12" i="21"/>
  <c r="C13" i="21"/>
  <c r="D13" i="21"/>
  <c r="E13" i="21"/>
  <c r="F13" i="21"/>
  <c r="C26" i="21"/>
  <c r="D26" i="21"/>
  <c r="E26" i="21"/>
  <c r="F26" i="21"/>
  <c r="C27" i="21"/>
  <c r="D27" i="21"/>
  <c r="E27" i="21"/>
  <c r="F27" i="21"/>
  <c r="B12" i="21"/>
  <c r="B13" i="21"/>
  <c r="B26" i="21"/>
  <c r="B27" i="21"/>
  <c r="B11" i="21"/>
  <c r="G6" i="21"/>
  <c r="R9" i="22" s="1"/>
  <c r="G5" i="21"/>
  <c r="Q9" i="22" s="1"/>
  <c r="C16" i="22"/>
  <c r="D16" i="22" s="1"/>
  <c r="E16" i="22" s="1"/>
  <c r="F16" i="22" s="1"/>
  <c r="C17" i="22"/>
  <c r="D17" i="22" s="1"/>
  <c r="E17" i="22" s="1"/>
  <c r="F17" i="22" s="1"/>
  <c r="C18" i="22"/>
  <c r="D18" i="22" s="1"/>
  <c r="E18" i="22" s="1"/>
  <c r="F18" i="22" s="1"/>
  <c r="C19" i="22"/>
  <c r="D19" i="22" s="1"/>
  <c r="E19" i="22" s="1"/>
  <c r="F19" i="22" s="1"/>
  <c r="C20" i="22"/>
  <c r="D20" i="22" s="1"/>
  <c r="E20" i="22" s="1"/>
  <c r="F20" i="22" s="1"/>
  <c r="C21" i="22"/>
  <c r="D21" i="22" s="1"/>
  <c r="E21" i="22" s="1"/>
  <c r="F21" i="22" s="1"/>
  <c r="C22" i="22"/>
  <c r="D22" i="22" s="1"/>
  <c r="E22" i="22" s="1"/>
  <c r="F22" i="22" s="1"/>
  <c r="C29" i="19"/>
  <c r="C24" i="22" s="1"/>
  <c r="D24" i="22" s="1"/>
  <c r="E24" i="22" s="1"/>
  <c r="F24" i="22" s="1"/>
  <c r="C28" i="19"/>
  <c r="C23" i="22" s="1"/>
  <c r="D23" i="22" s="1"/>
  <c r="E23" i="22" s="1"/>
  <c r="F23" i="22" s="1"/>
  <c r="C15" i="22"/>
  <c r="D15" i="22" s="1"/>
  <c r="E15" i="22" s="1"/>
  <c r="F15" i="22" s="1"/>
  <c r="B29" i="19"/>
  <c r="B28" i="19"/>
  <c r="B27" i="19"/>
  <c r="B26" i="19"/>
  <c r="B25" i="19"/>
  <c r="B24" i="19"/>
  <c r="B23" i="19"/>
  <c r="B22" i="19"/>
  <c r="B21" i="19"/>
  <c r="B20" i="19"/>
  <c r="J27" i="25"/>
  <c r="I27" i="25"/>
  <c r="H27" i="25"/>
  <c r="G27" i="25"/>
  <c r="F27" i="25"/>
  <c r="E27" i="25"/>
  <c r="D27" i="25"/>
  <c r="C27" i="25"/>
  <c r="B27" i="25"/>
  <c r="J26" i="25"/>
  <c r="I26" i="25"/>
  <c r="H26" i="25"/>
  <c r="G26" i="25"/>
  <c r="F26" i="25"/>
  <c r="E26" i="25"/>
  <c r="D26" i="25"/>
  <c r="C26" i="25"/>
  <c r="B26" i="25"/>
  <c r="A14" i="25"/>
  <c r="J14" i="25" s="1"/>
  <c r="J13" i="25"/>
  <c r="I13" i="25"/>
  <c r="H13" i="25"/>
  <c r="G13" i="25"/>
  <c r="F13" i="25"/>
  <c r="E13" i="25"/>
  <c r="D13" i="25"/>
  <c r="C13" i="25"/>
  <c r="B13" i="25"/>
  <c r="J12" i="25"/>
  <c r="I12" i="25"/>
  <c r="H12" i="25"/>
  <c r="G12" i="25"/>
  <c r="F12" i="25"/>
  <c r="E12" i="25"/>
  <c r="D12" i="25"/>
  <c r="C12" i="25"/>
  <c r="B12" i="25"/>
  <c r="J11" i="25"/>
  <c r="I11" i="25"/>
  <c r="H11" i="25"/>
  <c r="G11" i="25"/>
  <c r="F11" i="25"/>
  <c r="E11" i="25"/>
  <c r="D11" i="25"/>
  <c r="C11" i="25"/>
  <c r="B11" i="25"/>
  <c r="J10" i="25"/>
  <c r="I10" i="25"/>
  <c r="H10" i="25"/>
  <c r="G10" i="25"/>
  <c r="F10" i="25"/>
  <c r="E10" i="25"/>
  <c r="D10" i="25"/>
  <c r="C10" i="25"/>
  <c r="B10" i="25"/>
  <c r="E190" i="24"/>
  <c r="G190" i="24" s="1"/>
  <c r="E189" i="24"/>
  <c r="E188" i="24"/>
  <c r="E187" i="24"/>
  <c r="AC167" i="24"/>
  <c r="AC171" i="24" s="1"/>
  <c r="AB167" i="24"/>
  <c r="AB171" i="24" s="1"/>
  <c r="AA167" i="24"/>
  <c r="AA171" i="24" s="1"/>
  <c r="Z167" i="24"/>
  <c r="Z171" i="24" s="1"/>
  <c r="Z165" i="24"/>
  <c r="C84" i="24"/>
  <c r="C83" i="24"/>
  <c r="C82" i="24"/>
  <c r="C81" i="24"/>
  <c r="B81" i="24"/>
  <c r="C80" i="24"/>
  <c r="B80" i="24"/>
  <c r="C79" i="24"/>
  <c r="B79" i="24"/>
  <c r="C78" i="24"/>
  <c r="AJ24" i="24" s="1"/>
  <c r="AJ25" i="24" s="1"/>
  <c r="AJ26" i="24" s="1"/>
  <c r="AJ27" i="24" s="1"/>
  <c r="AJ28" i="24" s="1"/>
  <c r="AJ29" i="24" s="1"/>
  <c r="B78" i="24"/>
  <c r="C77" i="24"/>
  <c r="B77" i="24"/>
  <c r="C76" i="24"/>
  <c r="B76" i="24"/>
  <c r="C75" i="24"/>
  <c r="B75" i="24"/>
  <c r="C74" i="24"/>
  <c r="B74" i="24"/>
  <c r="B52" i="24"/>
  <c r="B51" i="24"/>
  <c r="B50" i="24"/>
  <c r="B49" i="24"/>
  <c r="AI38" i="24"/>
  <c r="AI47" i="24" s="1"/>
  <c r="AI37" i="24"/>
  <c r="AI46" i="24" s="1"/>
  <c r="AI36" i="24"/>
  <c r="AI45" i="24" s="1"/>
  <c r="AI35" i="24"/>
  <c r="AI44" i="24" s="1"/>
  <c r="AI34" i="24"/>
  <c r="AI43" i="24" s="1"/>
  <c r="F34" i="24"/>
  <c r="G34" i="24" s="1"/>
  <c r="H34" i="24" s="1"/>
  <c r="I34" i="24" s="1"/>
  <c r="AI33" i="24"/>
  <c r="G23" i="24"/>
  <c r="H23" i="24" s="1"/>
  <c r="I23" i="24" s="1"/>
  <c r="B19" i="24"/>
  <c r="B18" i="24"/>
  <c r="B17" i="24"/>
  <c r="B16" i="24"/>
  <c r="AD13" i="24"/>
  <c r="AC13" i="24"/>
  <c r="AB13" i="24"/>
  <c r="AA13" i="24"/>
  <c r="Z13" i="24"/>
  <c r="W13" i="24"/>
  <c r="D13" i="24"/>
  <c r="E13" i="24" s="1"/>
  <c r="F13" i="24" s="1"/>
  <c r="G13" i="24" s="1"/>
  <c r="H13" i="24" s="1"/>
  <c r="I13" i="24" s="1"/>
  <c r="AD12" i="24"/>
  <c r="AC12" i="24"/>
  <c r="AB12" i="24"/>
  <c r="AA12" i="24"/>
  <c r="Z12" i="24"/>
  <c r="W12" i="24"/>
  <c r="AD11" i="24"/>
  <c r="AC11" i="24"/>
  <c r="AB11" i="24"/>
  <c r="AA11" i="24"/>
  <c r="Z11" i="24"/>
  <c r="W11" i="24"/>
  <c r="F11" i="24"/>
  <c r="E11" i="24"/>
  <c r="E12" i="24" s="1"/>
  <c r="D11" i="24"/>
  <c r="D12" i="24" s="1"/>
  <c r="C11" i="24"/>
  <c r="C12" i="24" s="1"/>
  <c r="AI12" i="24" s="1"/>
  <c r="AD10" i="24"/>
  <c r="AC10" i="24"/>
  <c r="AB10" i="24"/>
  <c r="AA10" i="24"/>
  <c r="Z10" i="24"/>
  <c r="W10" i="24"/>
  <c r="F10" i="24"/>
  <c r="E10" i="24"/>
  <c r="AK10" i="24" s="1"/>
  <c r="D10" i="24"/>
  <c r="AJ10" i="24" s="1"/>
  <c r="C10" i="24"/>
  <c r="AI10" i="24" s="1"/>
  <c r="AD9" i="24"/>
  <c r="AC9" i="24"/>
  <c r="AB9" i="24"/>
  <c r="AA9" i="24"/>
  <c r="Z9" i="24"/>
  <c r="W9" i="24"/>
  <c r="F9" i="24"/>
  <c r="E9" i="24"/>
  <c r="AK9" i="24" s="1"/>
  <c r="D9" i="24"/>
  <c r="AJ9" i="24" s="1"/>
  <c r="C9" i="24"/>
  <c r="C35" i="24" s="1"/>
  <c r="AD8" i="24"/>
  <c r="AC8" i="24"/>
  <c r="AB8" i="24"/>
  <c r="AA8" i="24"/>
  <c r="Z8" i="24"/>
  <c r="W8" i="24"/>
  <c r="F8" i="24"/>
  <c r="E8" i="24"/>
  <c r="AK8" i="24" s="1"/>
  <c r="D8" i="24"/>
  <c r="AJ8" i="24" s="1"/>
  <c r="C8" i="24"/>
  <c r="AI8" i="24" s="1"/>
  <c r="AD7" i="24"/>
  <c r="AC7" i="24"/>
  <c r="AB7" i="24"/>
  <c r="AA7" i="24"/>
  <c r="Z7" i="24"/>
  <c r="W7" i="24"/>
  <c r="D50" i="23"/>
  <c r="D62" i="23" s="1"/>
  <c r="D71" i="23" s="1"/>
  <c r="D49" i="23"/>
  <c r="D61" i="23" s="1"/>
  <c r="D70" i="23" s="1"/>
  <c r="D48" i="23"/>
  <c r="D60" i="23" s="1"/>
  <c r="D69" i="23" s="1"/>
  <c r="D47" i="23"/>
  <c r="D59" i="23" s="1"/>
  <c r="D68" i="23" s="1"/>
  <c r="D32" i="23"/>
  <c r="D31" i="23"/>
  <c r="D30" i="23"/>
  <c r="D29" i="23"/>
  <c r="D28" i="23"/>
  <c r="D27" i="23"/>
  <c r="D26" i="23"/>
  <c r="D25" i="23"/>
  <c r="D24" i="23"/>
  <c r="D23" i="23"/>
  <c r="D22" i="23"/>
  <c r="D21" i="23"/>
  <c r="D20" i="23"/>
  <c r="E18" i="23"/>
  <c r="E17" i="23"/>
  <c r="E16" i="23"/>
  <c r="E15" i="23"/>
  <c r="F11" i="23"/>
  <c r="G11" i="23" s="1"/>
  <c r="H11" i="23" s="1"/>
  <c r="I11" i="23" s="1"/>
  <c r="I8" i="23"/>
  <c r="I9" i="23" s="1"/>
  <c r="H8" i="23"/>
  <c r="H9" i="23" s="1"/>
  <c r="G8" i="23"/>
  <c r="G9" i="23" s="1"/>
  <c r="F8" i="23"/>
  <c r="F9" i="23" s="1"/>
  <c r="E8" i="23"/>
  <c r="E9" i="23" s="1"/>
  <c r="I7" i="23"/>
  <c r="H7" i="23"/>
  <c r="G7" i="23"/>
  <c r="F7" i="23"/>
  <c r="E7" i="23"/>
  <c r="I6" i="23"/>
  <c r="H6" i="23"/>
  <c r="G6" i="23"/>
  <c r="F6" i="23"/>
  <c r="E6" i="23"/>
  <c r="I5" i="23"/>
  <c r="I10" i="23" s="1"/>
  <c r="H5" i="23"/>
  <c r="H10" i="23" s="1"/>
  <c r="G5" i="23"/>
  <c r="G10" i="23" s="1"/>
  <c r="F5" i="23"/>
  <c r="F10" i="23" s="1"/>
  <c r="E5" i="23"/>
  <c r="E10" i="23" s="1"/>
  <c r="I14" i="30" l="1"/>
  <c r="M14" i="22" s="1"/>
  <c r="S67" i="30"/>
  <c r="S99" i="30" s="1"/>
  <c r="S112" i="30" s="1"/>
  <c r="H9" i="30"/>
  <c r="L9" i="22" s="1"/>
  <c r="R61" i="30"/>
  <c r="I11" i="30"/>
  <c r="M11" i="22" s="1"/>
  <c r="I13" i="30"/>
  <c r="M13" i="22" s="1"/>
  <c r="AC21" i="30"/>
  <c r="I24" i="30" s="1"/>
  <c r="M24" i="22" s="1"/>
  <c r="I37" i="30"/>
  <c r="M37" i="22" s="1"/>
  <c r="I12" i="30"/>
  <c r="M12" i="22" s="1"/>
  <c r="S17" i="30"/>
  <c r="AA12" i="30"/>
  <c r="G15" i="30" s="1"/>
  <c r="K15" i="22" s="1"/>
  <c r="AB23" i="30"/>
  <c r="H25" i="30" s="1"/>
  <c r="L25" i="22" s="1"/>
  <c r="F23" i="29"/>
  <c r="G34" i="29"/>
  <c r="E26" i="24"/>
  <c r="E19" i="24"/>
  <c r="AK19" i="24" s="1"/>
  <c r="C28" i="24"/>
  <c r="D27" i="24"/>
  <c r="AK24" i="24" s="1"/>
  <c r="AK33" i="24" s="1"/>
  <c r="AK42" i="24" s="1"/>
  <c r="G18" i="28"/>
  <c r="F18" i="28"/>
  <c r="D18" i="28"/>
  <c r="B18" i="28"/>
  <c r="A19" i="28"/>
  <c r="C18" i="28"/>
  <c r="J18" i="28"/>
  <c r="I18" i="28"/>
  <c r="E18" i="28"/>
  <c r="H18" i="28"/>
  <c r="I30" i="24"/>
  <c r="I31" i="24" s="1"/>
  <c r="I32" i="24" s="1"/>
  <c r="G24" i="24"/>
  <c r="H24" i="24"/>
  <c r="F25" i="24"/>
  <c r="G25" i="24"/>
  <c r="D14" i="25"/>
  <c r="F14" i="25"/>
  <c r="G27" i="21"/>
  <c r="G11" i="21"/>
  <c r="G14" i="25"/>
  <c r="A15" i="25"/>
  <c r="H15" i="25" s="1"/>
  <c r="G12" i="21"/>
  <c r="G26" i="21"/>
  <c r="G11" i="24"/>
  <c r="G12" i="24" s="1"/>
  <c r="AJ38" i="24"/>
  <c r="AJ47" i="24" s="1"/>
  <c r="C14" i="25"/>
  <c r="G13" i="21"/>
  <c r="F19" i="24"/>
  <c r="G10" i="24"/>
  <c r="H10" i="24" s="1"/>
  <c r="I10" i="24" s="1"/>
  <c r="D16" i="24"/>
  <c r="AJ16" i="24" s="1"/>
  <c r="E16" i="24"/>
  <c r="AK16" i="24" s="1"/>
  <c r="F16" i="24"/>
  <c r="G8" i="24"/>
  <c r="H8" i="24" s="1"/>
  <c r="I8" i="24" s="1"/>
  <c r="F18" i="24"/>
  <c r="C19" i="24"/>
  <c r="AI19" i="24" s="1"/>
  <c r="D19" i="24"/>
  <c r="AJ19" i="24" s="1"/>
  <c r="AI9" i="24"/>
  <c r="D35" i="24"/>
  <c r="E14" i="25"/>
  <c r="A16" i="25"/>
  <c r="E15" i="25"/>
  <c r="AI11" i="24"/>
  <c r="H14" i="25"/>
  <c r="F15" i="25"/>
  <c r="G9" i="24"/>
  <c r="G35" i="24" s="1"/>
  <c r="E35" i="24"/>
  <c r="AJ11" i="24"/>
  <c r="I14" i="25"/>
  <c r="AK11" i="24"/>
  <c r="B14" i="25"/>
  <c r="AJ35" i="24"/>
  <c r="AJ44" i="24" s="1"/>
  <c r="Z172" i="24"/>
  <c r="F17" i="24"/>
  <c r="E17" i="24"/>
  <c r="AK17" i="24" s="1"/>
  <c r="D17" i="24"/>
  <c r="AJ17" i="24" s="1"/>
  <c r="C27" i="24"/>
  <c r="AJ33" i="24"/>
  <c r="AJ42" i="24" s="1"/>
  <c r="C17" i="24"/>
  <c r="AI17" i="24" s="1"/>
  <c r="H30" i="24"/>
  <c r="H31" i="24" s="1"/>
  <c r="H32" i="24" s="1"/>
  <c r="I29" i="24"/>
  <c r="D26" i="24"/>
  <c r="E25" i="24"/>
  <c r="F24" i="24"/>
  <c r="F30" i="24"/>
  <c r="F31" i="24" s="1"/>
  <c r="F32" i="24" s="1"/>
  <c r="H28" i="24"/>
  <c r="C25" i="24"/>
  <c r="D24" i="24"/>
  <c r="E30" i="24"/>
  <c r="E31" i="24" s="1"/>
  <c r="E32" i="24" s="1"/>
  <c r="G28" i="24"/>
  <c r="I26" i="24"/>
  <c r="C24" i="24"/>
  <c r="D30" i="24"/>
  <c r="D31" i="24" s="1"/>
  <c r="D32" i="24" s="1"/>
  <c r="E29" i="24"/>
  <c r="G27" i="24"/>
  <c r="AK27" i="24" s="1"/>
  <c r="AK36" i="24" s="1"/>
  <c r="AK45" i="24" s="1"/>
  <c r="I25" i="24"/>
  <c r="D28" i="24"/>
  <c r="F26" i="24"/>
  <c r="G30" i="24"/>
  <c r="G31" i="24" s="1"/>
  <c r="G32" i="24" s="1"/>
  <c r="H29" i="24"/>
  <c r="I28" i="24"/>
  <c r="C26" i="24"/>
  <c r="D25" i="24"/>
  <c r="E24" i="24"/>
  <c r="G29" i="24"/>
  <c r="I27" i="24"/>
  <c r="AK29" i="24" s="1"/>
  <c r="AK38" i="24" s="1"/>
  <c r="AK47" i="24" s="1"/>
  <c r="F29" i="24"/>
  <c r="H27" i="24"/>
  <c r="AK28" i="24" s="1"/>
  <c r="AK37" i="24" s="1"/>
  <c r="AK46" i="24" s="1"/>
  <c r="F28" i="24"/>
  <c r="H26" i="24"/>
  <c r="E27" i="24"/>
  <c r="AK25" i="24" s="1"/>
  <c r="AK34" i="24" s="1"/>
  <c r="AK43" i="24" s="1"/>
  <c r="C30" i="24"/>
  <c r="C31" i="24" s="1"/>
  <c r="C32" i="24" s="1"/>
  <c r="D29" i="24"/>
  <c r="C29" i="24" s="1"/>
  <c r="E28" i="24"/>
  <c r="F27" i="24"/>
  <c r="AK26" i="24" s="1"/>
  <c r="AK35" i="24" s="1"/>
  <c r="AK44" i="24" s="1"/>
  <c r="G26" i="24"/>
  <c r="H25" i="24"/>
  <c r="I24" i="24"/>
  <c r="F35" i="24"/>
  <c r="AJ36" i="24"/>
  <c r="AJ45" i="24" s="1"/>
  <c r="AI42" i="24"/>
  <c r="C18" i="24"/>
  <c r="AI18" i="24" s="1"/>
  <c r="AA165" i="24"/>
  <c r="AJ34" i="24"/>
  <c r="AJ43" i="24" s="1"/>
  <c r="AJ37" i="24"/>
  <c r="AJ46" i="24" s="1"/>
  <c r="F12" i="24"/>
  <c r="C16" i="24"/>
  <c r="AI16" i="24" s="1"/>
  <c r="E18" i="24"/>
  <c r="AK18" i="24" s="1"/>
  <c r="D18" i="24"/>
  <c r="AJ18" i="24" s="1"/>
  <c r="Z166" i="24"/>
  <c r="Z168" i="24" s="1"/>
  <c r="I9" i="30" l="1"/>
  <c r="M9" i="22" s="1"/>
  <c r="S61" i="30"/>
  <c r="AB12" i="30"/>
  <c r="H15" i="30" s="1"/>
  <c r="L15" i="22" s="1"/>
  <c r="AC23" i="30"/>
  <c r="G19" i="24"/>
  <c r="H19" i="24" s="1"/>
  <c r="I19" i="24" s="1"/>
  <c r="G23" i="29"/>
  <c r="H34" i="29"/>
  <c r="H11" i="24"/>
  <c r="E19" i="28"/>
  <c r="D19" i="28"/>
  <c r="J19" i="28"/>
  <c r="B19" i="28"/>
  <c r="H19" i="28"/>
  <c r="I19" i="28"/>
  <c r="G19" i="28"/>
  <c r="F19" i="28"/>
  <c r="C19" i="28"/>
  <c r="A20" i="28"/>
  <c r="G16" i="24"/>
  <c r="H16" i="24" s="1"/>
  <c r="I16" i="24" s="1"/>
  <c r="J15" i="25"/>
  <c r="C15" i="25"/>
  <c r="B15" i="25"/>
  <c r="G15" i="25"/>
  <c r="I15" i="25"/>
  <c r="D15" i="25"/>
  <c r="H9" i="24"/>
  <c r="H35" i="24" s="1"/>
  <c r="F16" i="25"/>
  <c r="E16" i="25"/>
  <c r="J16" i="25"/>
  <c r="D16" i="25"/>
  <c r="A17" i="25"/>
  <c r="C16" i="25"/>
  <c r="B16" i="25"/>
  <c r="H16" i="25"/>
  <c r="G16" i="25"/>
  <c r="I16" i="25"/>
  <c r="G17" i="24"/>
  <c r="H17" i="24" s="1"/>
  <c r="I17" i="24" s="1"/>
  <c r="D33" i="24"/>
  <c r="E33" i="24" s="1"/>
  <c r="F33" i="24" s="1"/>
  <c r="G33" i="24" s="1"/>
  <c r="H33" i="24" s="1"/>
  <c r="I33" i="24" s="1"/>
  <c r="Z170" i="24"/>
  <c r="Z169" i="24"/>
  <c r="H12" i="24"/>
  <c r="I11" i="24"/>
  <c r="I12" i="24" s="1"/>
  <c r="AB165" i="24"/>
  <c r="AA166" i="24"/>
  <c r="AA168" i="24" s="1"/>
  <c r="AA172" i="24"/>
  <c r="G18" i="24"/>
  <c r="H18" i="24" s="1"/>
  <c r="I18" i="24" s="1"/>
  <c r="S5" i="22"/>
  <c r="S6" i="22"/>
  <c r="S7" i="22"/>
  <c r="S8" i="22"/>
  <c r="S4" i="22"/>
  <c r="R5" i="22"/>
  <c r="R6" i="22"/>
  <c r="R7" i="22"/>
  <c r="R8" i="22"/>
  <c r="R4" i="22"/>
  <c r="Q8" i="22"/>
  <c r="Q5" i="22"/>
  <c r="Q6" i="22"/>
  <c r="Q7" i="22"/>
  <c r="Q4" i="22"/>
  <c r="C26" i="22"/>
  <c r="D26" i="22" s="1"/>
  <c r="E26" i="22" s="1"/>
  <c r="F26" i="22" s="1"/>
  <c r="C27" i="22"/>
  <c r="D27" i="22" s="1"/>
  <c r="E27" i="22" s="1"/>
  <c r="F27" i="22" s="1"/>
  <c r="C28" i="22"/>
  <c r="D28" i="22" s="1"/>
  <c r="E28" i="22" s="1"/>
  <c r="F28" i="22" s="1"/>
  <c r="C29" i="22"/>
  <c r="D29" i="22" s="1"/>
  <c r="E29" i="22" s="1"/>
  <c r="F29" i="22" s="1"/>
  <c r="C30" i="22"/>
  <c r="D30" i="22" s="1"/>
  <c r="E30" i="22" s="1"/>
  <c r="F30" i="22" s="1"/>
  <c r="C31" i="22"/>
  <c r="D31" i="22" s="1"/>
  <c r="E31" i="22" s="1"/>
  <c r="F31" i="22" s="1"/>
  <c r="C32" i="22"/>
  <c r="D32" i="22" s="1"/>
  <c r="E32" i="22" s="1"/>
  <c r="F32" i="22" s="1"/>
  <c r="C33" i="22"/>
  <c r="D33" i="22" s="1"/>
  <c r="E33" i="22" s="1"/>
  <c r="F33" i="22" s="1"/>
  <c r="C34" i="22"/>
  <c r="D34" i="22" s="1"/>
  <c r="E34" i="22" s="1"/>
  <c r="F34" i="22" s="1"/>
  <c r="C35" i="22"/>
  <c r="D35" i="22" s="1"/>
  <c r="E35" i="22" s="1"/>
  <c r="F35" i="22" s="1"/>
  <c r="C36" i="22"/>
  <c r="D36" i="22" s="1"/>
  <c r="E36" i="22" s="1"/>
  <c r="F36" i="22" s="1"/>
  <c r="C37" i="22"/>
  <c r="D37" i="22" s="1"/>
  <c r="E37" i="22" s="1"/>
  <c r="F37" i="22" s="1"/>
  <c r="C25" i="22"/>
  <c r="D25" i="22" s="1"/>
  <c r="E25" i="22" s="1"/>
  <c r="F25" i="22" s="1"/>
  <c r="H26" i="21"/>
  <c r="I26" i="21"/>
  <c r="J26" i="21"/>
  <c r="H27" i="21"/>
  <c r="I27" i="21"/>
  <c r="J27" i="21"/>
  <c r="D11" i="22"/>
  <c r="E11" i="22" s="1"/>
  <c r="F11" i="22" s="1"/>
  <c r="C18" i="19"/>
  <c r="C14" i="22" s="1"/>
  <c r="D14" i="22" s="1"/>
  <c r="E14" i="22" s="1"/>
  <c r="F14" i="22" s="1"/>
  <c r="AC12" i="30" l="1"/>
  <c r="I15" i="30" s="1"/>
  <c r="M15" i="22" s="1"/>
  <c r="I25" i="30"/>
  <c r="M25" i="22" s="1"/>
  <c r="H23" i="29"/>
  <c r="I34" i="29"/>
  <c r="I23" i="29" s="1"/>
  <c r="A21" i="28"/>
  <c r="C20" i="28"/>
  <c r="J20" i="28"/>
  <c r="B20" i="28"/>
  <c r="H20" i="28"/>
  <c r="F20" i="28"/>
  <c r="G20" i="28"/>
  <c r="I20" i="28"/>
  <c r="E20" i="28"/>
  <c r="D20" i="28"/>
  <c r="I9" i="24"/>
  <c r="I35" i="24" s="1"/>
  <c r="D17" i="25"/>
  <c r="A18" i="25"/>
  <c r="C17" i="25"/>
  <c r="H17" i="25"/>
  <c r="F17" i="25"/>
  <c r="J17" i="25"/>
  <c r="B17" i="25"/>
  <c r="I17" i="25"/>
  <c r="E17" i="25"/>
  <c r="G17" i="25"/>
  <c r="Z174" i="24"/>
  <c r="Z179" i="24" s="1"/>
  <c r="Z176" i="24"/>
  <c r="AA169" i="24"/>
  <c r="AA173" i="24" s="1"/>
  <c r="AA170" i="24"/>
  <c r="AB172" i="24"/>
  <c r="AC165" i="24"/>
  <c r="AB166" i="24"/>
  <c r="AB168" i="24" s="1"/>
  <c r="Z173" i="24"/>
  <c r="Z175" i="24"/>
  <c r="J13" i="21"/>
  <c r="I13" i="21"/>
  <c r="H13" i="21"/>
  <c r="J12" i="21"/>
  <c r="I12" i="21"/>
  <c r="H12" i="21"/>
  <c r="J11" i="21"/>
  <c r="I11" i="21"/>
  <c r="H11" i="21"/>
  <c r="C10" i="21"/>
  <c r="G10" i="21"/>
  <c r="I21" i="28" l="1"/>
  <c r="H21" i="28"/>
  <c r="F21" i="28"/>
  <c r="D21" i="28"/>
  <c r="E21" i="28"/>
  <c r="B21" i="28"/>
  <c r="J21" i="28"/>
  <c r="G21" i="28"/>
  <c r="C21" i="28"/>
  <c r="A22" i="28"/>
  <c r="J18" i="25"/>
  <c r="B18" i="25"/>
  <c r="I18" i="25"/>
  <c r="D18" i="25"/>
  <c r="C18" i="25"/>
  <c r="H18" i="25"/>
  <c r="G18" i="25"/>
  <c r="F18" i="25"/>
  <c r="A19" i="25"/>
  <c r="E18" i="25"/>
  <c r="AB169" i="24"/>
  <c r="AB173" i="24" s="1"/>
  <c r="AB170" i="24"/>
  <c r="AC172" i="24"/>
  <c r="AC166" i="24"/>
  <c r="AC168" i="24" s="1"/>
  <c r="A14" i="21"/>
  <c r="F10" i="21"/>
  <c r="E10" i="21"/>
  <c r="D10" i="21"/>
  <c r="B10" i="21"/>
  <c r="J10" i="21"/>
  <c r="I10" i="21"/>
  <c r="H10" i="21"/>
  <c r="G22" i="28" l="1"/>
  <c r="F22" i="28"/>
  <c r="D22" i="28"/>
  <c r="J22" i="28"/>
  <c r="B22" i="28"/>
  <c r="A23" i="28"/>
  <c r="C22" i="28"/>
  <c r="H22" i="28"/>
  <c r="I22" i="28"/>
  <c r="E22" i="28"/>
  <c r="A15" i="21"/>
  <c r="J15" i="21" s="1"/>
  <c r="C14" i="21"/>
  <c r="B14" i="21"/>
  <c r="D14" i="21"/>
  <c r="E14" i="21"/>
  <c r="F14" i="21"/>
  <c r="G14" i="21"/>
  <c r="H19" i="25"/>
  <c r="G19" i="25"/>
  <c r="D19" i="25"/>
  <c r="J19" i="25"/>
  <c r="B19" i="25"/>
  <c r="F19" i="25"/>
  <c r="E19" i="25"/>
  <c r="I19" i="25"/>
  <c r="A20" i="25"/>
  <c r="C19" i="25"/>
  <c r="AC169" i="24"/>
  <c r="AC173" i="24" s="1"/>
  <c r="AC170" i="24"/>
  <c r="J14" i="21"/>
  <c r="I14" i="21"/>
  <c r="H14" i="21"/>
  <c r="B42" i="19"/>
  <c r="B43" i="19"/>
  <c r="B41" i="19"/>
  <c r="B40" i="19"/>
  <c r="B39" i="19"/>
  <c r="B38" i="19"/>
  <c r="B37" i="19"/>
  <c r="B36" i="19"/>
  <c r="B35" i="19"/>
  <c r="B34" i="19"/>
  <c r="B33" i="19"/>
  <c r="B32" i="19"/>
  <c r="B31" i="19"/>
  <c r="C34" i="27" l="1"/>
  <c r="E23" i="28"/>
  <c r="D23" i="28"/>
  <c r="J23" i="28"/>
  <c r="B23" i="28"/>
  <c r="H23" i="28"/>
  <c r="I23" i="28"/>
  <c r="C23" i="28"/>
  <c r="G23" i="28"/>
  <c r="F23" i="28"/>
  <c r="A24" i="28"/>
  <c r="H15" i="21"/>
  <c r="I15" i="21"/>
  <c r="A16" i="21"/>
  <c r="B16" i="21" s="1"/>
  <c r="G16" i="21"/>
  <c r="E16" i="21"/>
  <c r="D15" i="21"/>
  <c r="E15" i="21"/>
  <c r="F15" i="21"/>
  <c r="G15" i="21"/>
  <c r="B15" i="21"/>
  <c r="C15" i="21"/>
  <c r="F20" i="25"/>
  <c r="E20" i="25"/>
  <c r="J20" i="25"/>
  <c r="H20" i="25"/>
  <c r="D20" i="25"/>
  <c r="A21" i="25"/>
  <c r="C20" i="25"/>
  <c r="B20" i="25"/>
  <c r="G20" i="25"/>
  <c r="I20" i="25"/>
  <c r="D11" i="19"/>
  <c r="A17" i="21" l="1"/>
  <c r="I16" i="21"/>
  <c r="J16" i="21"/>
  <c r="H16" i="21"/>
  <c r="F16" i="21"/>
  <c r="C23" i="27"/>
  <c r="D34" i="27"/>
  <c r="A25" i="28"/>
  <c r="C24" i="28"/>
  <c r="J24" i="28"/>
  <c r="B24" i="28"/>
  <c r="I24" i="28"/>
  <c r="H24" i="28"/>
  <c r="F24" i="28"/>
  <c r="G24" i="28"/>
  <c r="E24" i="28"/>
  <c r="D24" i="28"/>
  <c r="C16" i="21"/>
  <c r="D16" i="21"/>
  <c r="C17" i="21"/>
  <c r="D17" i="21"/>
  <c r="E17" i="21"/>
  <c r="F17" i="21"/>
  <c r="G17" i="21"/>
  <c r="B17" i="21"/>
  <c r="D21" i="25"/>
  <c r="A22" i="25"/>
  <c r="C21" i="25"/>
  <c r="F21" i="25"/>
  <c r="J21" i="25"/>
  <c r="B21" i="25"/>
  <c r="I21" i="25"/>
  <c r="H21" i="25"/>
  <c r="E21" i="25"/>
  <c r="G21" i="25"/>
  <c r="E11" i="19"/>
  <c r="J17" i="21"/>
  <c r="I17" i="21"/>
  <c r="H17" i="21"/>
  <c r="A18" i="21"/>
  <c r="E34" i="27" l="1"/>
  <c r="D23" i="27"/>
  <c r="I25" i="28"/>
  <c r="H25" i="28"/>
  <c r="G25" i="28"/>
  <c r="F25" i="28"/>
  <c r="D25" i="28"/>
  <c r="E25" i="28"/>
  <c r="J25" i="28"/>
  <c r="C25" i="28"/>
  <c r="B25" i="28"/>
  <c r="E18" i="21"/>
  <c r="F18" i="21"/>
  <c r="G18" i="21"/>
  <c r="C18" i="21"/>
  <c r="B18" i="21"/>
  <c r="D18" i="21"/>
  <c r="J22" i="25"/>
  <c r="B22" i="25"/>
  <c r="I22" i="25"/>
  <c r="F22" i="25"/>
  <c r="D22" i="25"/>
  <c r="H22" i="25"/>
  <c r="G22" i="25"/>
  <c r="A23" i="25"/>
  <c r="C22" i="25"/>
  <c r="E22" i="25"/>
  <c r="F11" i="19"/>
  <c r="J18" i="21"/>
  <c r="I18" i="21"/>
  <c r="H18" i="21"/>
  <c r="A19" i="21"/>
  <c r="E23" i="27" l="1"/>
  <c r="F34" i="27"/>
  <c r="I38" i="27"/>
  <c r="AK40" i="27" s="1"/>
  <c r="AK49" i="27" s="1"/>
  <c r="AK58" i="27" s="1"/>
  <c r="I40" i="27"/>
  <c r="E41" i="27"/>
  <c r="E42" i="27" s="1"/>
  <c r="E43" i="27" s="1"/>
  <c r="F36" i="27"/>
  <c r="F41" i="27"/>
  <c r="F42" i="27" s="1"/>
  <c r="F43" i="27" s="1"/>
  <c r="I35" i="27"/>
  <c r="I24" i="27" s="1"/>
  <c r="I36" i="27"/>
  <c r="G37" i="27"/>
  <c r="I37" i="27"/>
  <c r="H39" i="27"/>
  <c r="D38" i="27"/>
  <c r="F35" i="27"/>
  <c r="F24" i="27" s="1"/>
  <c r="G41" i="27"/>
  <c r="G42" i="27" s="1"/>
  <c r="G43" i="27" s="1"/>
  <c r="E38" i="27"/>
  <c r="AK36" i="27" s="1"/>
  <c r="AK45" i="27" s="1"/>
  <c r="AK54" i="27" s="1"/>
  <c r="C35" i="27"/>
  <c r="C24" i="27" s="1"/>
  <c r="H40" i="27"/>
  <c r="D39" i="27"/>
  <c r="F38" i="27"/>
  <c r="AK37" i="27" s="1"/>
  <c r="AK46" i="27" s="1"/>
  <c r="AK55" i="27" s="1"/>
  <c r="G38" i="27"/>
  <c r="AK38" i="27" s="1"/>
  <c r="AK47" i="27" s="1"/>
  <c r="AK56" i="27" s="1"/>
  <c r="E36" i="27"/>
  <c r="I39" i="27"/>
  <c r="C41" i="27"/>
  <c r="C42" i="27" s="1"/>
  <c r="C43" i="27" s="1"/>
  <c r="H36" i="27"/>
  <c r="H38" i="27"/>
  <c r="AK39" i="27" s="1"/>
  <c r="AK48" i="27" s="1"/>
  <c r="AK57" i="27" s="1"/>
  <c r="D40" i="27"/>
  <c r="C40" i="27" s="1"/>
  <c r="E39" i="27"/>
  <c r="G40" i="27"/>
  <c r="D35" i="27"/>
  <c r="D24" i="27" s="1"/>
  <c r="C36" i="27"/>
  <c r="C39" i="27"/>
  <c r="I41" i="27"/>
  <c r="I42" i="27" s="1"/>
  <c r="I43" i="27" s="1"/>
  <c r="E35" i="27"/>
  <c r="E24" i="27" s="1"/>
  <c r="H35" i="27"/>
  <c r="H24" i="27" s="1"/>
  <c r="H37" i="27"/>
  <c r="H41" i="27"/>
  <c r="H42" i="27" s="1"/>
  <c r="H43" i="27" s="1"/>
  <c r="E37" i="27"/>
  <c r="F39" i="27"/>
  <c r="E40" i="27"/>
  <c r="G36" i="27"/>
  <c r="F40" i="27"/>
  <c r="D36" i="27"/>
  <c r="D41" i="27"/>
  <c r="D42" i="27" s="1"/>
  <c r="D43" i="27" s="1"/>
  <c r="D44" i="27" s="1"/>
  <c r="E44" i="27" s="1"/>
  <c r="G35" i="27"/>
  <c r="G24" i="27" s="1"/>
  <c r="G39" i="27"/>
  <c r="D37" i="27"/>
  <c r="F37" i="27"/>
  <c r="C37" i="27"/>
  <c r="E17" i="27"/>
  <c r="AK17" i="27" s="1"/>
  <c r="E16" i="27"/>
  <c r="AK16" i="27" s="1"/>
  <c r="F17" i="27"/>
  <c r="E19" i="27"/>
  <c r="AK19" i="27" s="1"/>
  <c r="E18" i="27"/>
  <c r="AK18" i="27" s="1"/>
  <c r="F19" i="27"/>
  <c r="G19" i="27" s="1"/>
  <c r="H19" i="27" s="1"/>
  <c r="I19" i="27" s="1"/>
  <c r="D17" i="27"/>
  <c r="AJ17" i="27" s="1"/>
  <c r="F16" i="27"/>
  <c r="D18" i="27"/>
  <c r="AJ18" i="27" s="1"/>
  <c r="C18" i="27"/>
  <c r="AI18" i="27" s="1"/>
  <c r="C16" i="27"/>
  <c r="AI16" i="27" s="1"/>
  <c r="C19" i="27"/>
  <c r="AI19" i="27" s="1"/>
  <c r="D19" i="27"/>
  <c r="AJ19" i="27" s="1"/>
  <c r="C17" i="27"/>
  <c r="AI17" i="27" s="1"/>
  <c r="D16" i="27"/>
  <c r="AJ16" i="27" s="1"/>
  <c r="F18" i="27"/>
  <c r="C19" i="21"/>
  <c r="D19" i="21"/>
  <c r="E19" i="21"/>
  <c r="F19" i="21"/>
  <c r="G19" i="21"/>
  <c r="B19" i="21"/>
  <c r="H23" i="25"/>
  <c r="G23" i="25"/>
  <c r="J23" i="25"/>
  <c r="B23" i="25"/>
  <c r="F23" i="25"/>
  <c r="E23" i="25"/>
  <c r="D23" i="25"/>
  <c r="I23" i="25"/>
  <c r="A24" i="25"/>
  <c r="C23" i="25"/>
  <c r="G11" i="19"/>
  <c r="J19" i="21"/>
  <c r="I19" i="21"/>
  <c r="H19" i="21"/>
  <c r="A20" i="21"/>
  <c r="G17" i="27" l="1"/>
  <c r="H17" i="27" s="1"/>
  <c r="I17" i="27" s="1"/>
  <c r="F44" i="27"/>
  <c r="G44" i="27" s="1"/>
  <c r="H44" i="27" s="1"/>
  <c r="I44" i="27" s="1"/>
  <c r="AK35" i="27"/>
  <c r="AK44" i="27" s="1"/>
  <c r="AK53" i="27" s="1"/>
  <c r="C38" i="27"/>
  <c r="F23" i="27"/>
  <c r="G34" i="27"/>
  <c r="G18" i="27"/>
  <c r="H18" i="27" s="1"/>
  <c r="I18" i="27" s="1"/>
  <c r="G16" i="27"/>
  <c r="H16" i="27" s="1"/>
  <c r="I16" i="27" s="1"/>
  <c r="C20" i="21"/>
  <c r="B20" i="21"/>
  <c r="D20" i="21"/>
  <c r="E20" i="21"/>
  <c r="F20" i="21"/>
  <c r="G20" i="21"/>
  <c r="F24" i="25"/>
  <c r="E24" i="25"/>
  <c r="J24" i="25"/>
  <c r="H24" i="25"/>
  <c r="D24" i="25"/>
  <c r="A25" i="25"/>
  <c r="C24" i="25"/>
  <c r="B24" i="25"/>
  <c r="G24" i="25"/>
  <c r="I24" i="25"/>
  <c r="I20" i="21"/>
  <c r="J20" i="21"/>
  <c r="H20" i="21"/>
  <c r="A21" i="21"/>
  <c r="G23" i="27" l="1"/>
  <c r="H34" i="27"/>
  <c r="F21" i="21"/>
  <c r="G21" i="21"/>
  <c r="B21" i="21"/>
  <c r="C21" i="21"/>
  <c r="D21" i="21"/>
  <c r="E21" i="21"/>
  <c r="D25" i="25"/>
  <c r="C25" i="25"/>
  <c r="E25" i="25"/>
  <c r="J25" i="25"/>
  <c r="B25" i="25"/>
  <c r="I25" i="25"/>
  <c r="H25" i="25"/>
  <c r="F25" i="25"/>
  <c r="G25" i="25"/>
  <c r="J21" i="21"/>
  <c r="I21" i="21"/>
  <c r="H21" i="21"/>
  <c r="A22" i="21"/>
  <c r="B61" i="19"/>
  <c r="B73" i="19" s="1"/>
  <c r="B82" i="19" s="1"/>
  <c r="B60" i="19"/>
  <c r="B72" i="19" s="1"/>
  <c r="B81" i="19" s="1"/>
  <c r="B59" i="19"/>
  <c r="B71" i="19" s="1"/>
  <c r="B80" i="19" s="1"/>
  <c r="B58" i="19"/>
  <c r="B70" i="19" s="1"/>
  <c r="B79" i="19" s="1"/>
  <c r="H23" i="27" l="1"/>
  <c r="I34" i="27"/>
  <c r="I23" i="27" s="1"/>
  <c r="C22" i="21"/>
  <c r="B22" i="21"/>
  <c r="D22" i="21"/>
  <c r="E22" i="21"/>
  <c r="F22" i="21"/>
  <c r="G22" i="21"/>
  <c r="J22" i="21"/>
  <c r="I22" i="21"/>
  <c r="H22" i="21"/>
  <c r="A23" i="21"/>
  <c r="D23" i="21" l="1"/>
  <c r="E23" i="21"/>
  <c r="F23" i="21"/>
  <c r="G23" i="21"/>
  <c r="B23" i="21"/>
  <c r="C23" i="21"/>
  <c r="J23" i="21"/>
  <c r="I23" i="21"/>
  <c r="H23" i="21"/>
  <c r="A24" i="21"/>
  <c r="C17" i="19"/>
  <c r="C13" i="22" s="1"/>
  <c r="D13" i="22" s="1"/>
  <c r="E13" i="22" s="1"/>
  <c r="F13" i="22" s="1"/>
  <c r="C16" i="19"/>
  <c r="C12" i="22" s="1"/>
  <c r="D12" i="22" s="1"/>
  <c r="E12" i="22" s="1"/>
  <c r="F12" i="22" s="1"/>
  <c r="G8" i="19"/>
  <c r="G9" i="19" s="1"/>
  <c r="F8" i="19"/>
  <c r="F9" i="19" s="1"/>
  <c r="E8" i="19"/>
  <c r="E9" i="19" s="1"/>
  <c r="D8" i="19"/>
  <c r="D9" i="19" s="1"/>
  <c r="C8" i="19"/>
  <c r="C9" i="19" s="1"/>
  <c r="G7" i="19"/>
  <c r="F7" i="19"/>
  <c r="E7" i="19"/>
  <c r="D7" i="19"/>
  <c r="C7" i="19"/>
  <c r="G6" i="19"/>
  <c r="F6" i="19"/>
  <c r="E6" i="19"/>
  <c r="D6" i="19"/>
  <c r="C6" i="19"/>
  <c r="G5" i="19"/>
  <c r="F5" i="19"/>
  <c r="E5" i="19"/>
  <c r="D5" i="19"/>
  <c r="C5" i="19"/>
  <c r="A25" i="21" l="1"/>
  <c r="G24" i="21"/>
  <c r="C24" i="21"/>
  <c r="B24" i="21"/>
  <c r="D24" i="21"/>
  <c r="E24" i="21"/>
  <c r="F24" i="21"/>
  <c r="E10" i="19"/>
  <c r="F10" i="19"/>
  <c r="G10" i="19"/>
  <c r="C10" i="19"/>
  <c r="D10" i="19"/>
  <c r="J24" i="21"/>
  <c r="I24" i="21"/>
  <c r="H24" i="21"/>
  <c r="AG42" i="11"/>
  <c r="AG37" i="11"/>
  <c r="AG32" i="11"/>
  <c r="D32" i="13"/>
  <c r="C25" i="21" l="1"/>
  <c r="D25" i="21"/>
  <c r="E25" i="21"/>
  <c r="F25" i="21"/>
  <c r="G25" i="21"/>
  <c r="B25" i="21"/>
  <c r="I25" i="21"/>
  <c r="J25" i="21"/>
  <c r="H25" i="21"/>
  <c r="AG27" i="11"/>
  <c r="AG22" i="11"/>
  <c r="AG17" i="11"/>
  <c r="AG12" i="11"/>
  <c r="AG7" i="11"/>
  <c r="AG2" i="11"/>
  <c r="AD43" i="11" l="1"/>
  <c r="AD44" i="11"/>
  <c r="AD45" i="11"/>
  <c r="AD46" i="11"/>
  <c r="AD42" i="11"/>
  <c r="AD38" i="11"/>
  <c r="AD39" i="11"/>
  <c r="AD40" i="11"/>
  <c r="AD41" i="11"/>
  <c r="AD37" i="11"/>
  <c r="AD33" i="11"/>
  <c r="AD34" i="11"/>
  <c r="AD35" i="11"/>
  <c r="AD36" i="11"/>
  <c r="AD32" i="11"/>
  <c r="AD28" i="11"/>
  <c r="AD29" i="11"/>
  <c r="AD30" i="11"/>
  <c r="AD31" i="11"/>
  <c r="AD27" i="11"/>
  <c r="AD23" i="11"/>
  <c r="AD24" i="11"/>
  <c r="AD25" i="11"/>
  <c r="AD26" i="11"/>
  <c r="AD22" i="11"/>
  <c r="AD18" i="11"/>
  <c r="AD19" i="11"/>
  <c r="AD20" i="11"/>
  <c r="AD21" i="11"/>
  <c r="AD17" i="11"/>
  <c r="AD13" i="11"/>
  <c r="AD14" i="11"/>
  <c r="AD15" i="11"/>
  <c r="AD16" i="11"/>
  <c r="AD12" i="11"/>
  <c r="AD8" i="11"/>
  <c r="AD9" i="11"/>
  <c r="AD10" i="11"/>
  <c r="AD11" i="11"/>
  <c r="AD7" i="11"/>
  <c r="AD3" i="11"/>
  <c r="AD4" i="11"/>
  <c r="AD5" i="11"/>
  <c r="AD6" i="11"/>
  <c r="AD2" i="11"/>
  <c r="F4" i="11"/>
  <c r="F5" i="11" s="1"/>
  <c r="F6" i="11" s="1"/>
  <c r="F7" i="11" s="1"/>
  <c r="F8" i="11" s="1"/>
  <c r="F9" i="11" s="1"/>
  <c r="F10" i="11" s="1"/>
  <c r="F11" i="11" s="1"/>
  <c r="C5" i="14"/>
  <c r="N10" i="14"/>
  <c r="N11" i="14"/>
  <c r="N12" i="14"/>
  <c r="N4" i="14"/>
  <c r="E4" i="14" s="1"/>
  <c r="N6" i="14"/>
  <c r="N9" i="14"/>
  <c r="N7" i="14"/>
  <c r="G7" i="17"/>
  <c r="F5" i="17"/>
  <c r="F6" i="17"/>
  <c r="F7" i="17"/>
  <c r="F8" i="17"/>
  <c r="F9" i="17" s="1"/>
  <c r="G5" i="17"/>
  <c r="G6" i="17"/>
  <c r="G8" i="17"/>
  <c r="G9" i="17" s="1"/>
  <c r="C14" i="17"/>
  <c r="D5" i="11" l="1"/>
  <c r="E5" i="11" s="1"/>
  <c r="D8" i="17"/>
  <c r="D9" i="17" s="1"/>
  <c r="A86" i="15"/>
  <c r="C86" i="15" s="1"/>
  <c r="C104" i="15" s="1"/>
  <c r="A104" i="15"/>
  <c r="A105" i="15" s="1"/>
  <c r="A106" i="15" s="1"/>
  <c r="A107" i="15" s="1"/>
  <c r="A108" i="15" s="1"/>
  <c r="A109" i="15" s="1"/>
  <c r="A110" i="15" s="1"/>
  <c r="A111" i="15" s="1"/>
  <c r="A112" i="15" s="1"/>
  <c r="A113" i="15" s="1"/>
  <c r="A114" i="15" s="1"/>
  <c r="A115" i="15" s="1"/>
  <c r="F85" i="15"/>
  <c r="F103" i="15" s="1"/>
  <c r="E85" i="15"/>
  <c r="E103" i="15" s="1"/>
  <c r="D85" i="15"/>
  <c r="D103" i="15" s="1"/>
  <c r="C85" i="15"/>
  <c r="C103" i="15" s="1"/>
  <c r="B85" i="15"/>
  <c r="B103" i="15" s="1"/>
  <c r="F84" i="15"/>
  <c r="F102" i="15" s="1"/>
  <c r="E84" i="15"/>
  <c r="E102" i="15" s="1"/>
  <c r="D84" i="15"/>
  <c r="D102" i="15" s="1"/>
  <c r="C84" i="15"/>
  <c r="C102" i="15" s="1"/>
  <c r="B84" i="15"/>
  <c r="B102" i="15" s="1"/>
  <c r="F83" i="15"/>
  <c r="F101" i="15" s="1"/>
  <c r="E83" i="15"/>
  <c r="E101" i="15" s="1"/>
  <c r="D83" i="15"/>
  <c r="D101" i="15" s="1"/>
  <c r="C83" i="15"/>
  <c r="C101" i="15" s="1"/>
  <c r="B83" i="15"/>
  <c r="B101" i="15" s="1"/>
  <c r="B43" i="15"/>
  <c r="B61" i="15" s="1"/>
  <c r="C8" i="17"/>
  <c r="C9" i="17" s="1"/>
  <c r="C7" i="17"/>
  <c r="C6" i="17"/>
  <c r="C5" i="17"/>
  <c r="E8" i="17"/>
  <c r="E9" i="17" s="1"/>
  <c r="D5" i="17"/>
  <c r="E5" i="17"/>
  <c r="D6" i="17"/>
  <c r="E6" i="17"/>
  <c r="D7" i="17"/>
  <c r="E7" i="17"/>
  <c r="C15" i="17"/>
  <c r="C16" i="17" s="1"/>
  <c r="D11" i="11"/>
  <c r="E11" i="11" s="1"/>
  <c r="D10" i="11"/>
  <c r="E10" i="11" s="1"/>
  <c r="D9" i="11"/>
  <c r="E9" i="11" s="1"/>
  <c r="D8" i="11"/>
  <c r="E8" i="11" s="1"/>
  <c r="D7" i="11"/>
  <c r="E7" i="11" s="1"/>
  <c r="D6" i="11"/>
  <c r="E6" i="11" s="1"/>
  <c r="D4" i="11"/>
  <c r="E4" i="11" s="1"/>
  <c r="D3" i="11"/>
  <c r="E3" i="11" s="1"/>
  <c r="O37" i="11"/>
  <c r="N39" i="11"/>
  <c r="N40" i="11"/>
  <c r="N41" i="11"/>
  <c r="N42" i="11"/>
  <c r="N43" i="11"/>
  <c r="N38" i="11"/>
  <c r="M39" i="11"/>
  <c r="M40" i="11"/>
  <c r="M41" i="11"/>
  <c r="M42" i="11"/>
  <c r="M43" i="11"/>
  <c r="M38" i="11"/>
  <c r="M37" i="11"/>
  <c r="D14" i="11"/>
  <c r="E14" i="11" s="1"/>
  <c r="A62" i="15"/>
  <c r="A63" i="15" s="1"/>
  <c r="A64" i="15" s="1"/>
  <c r="A65" i="15" s="1"/>
  <c r="A66" i="15" s="1"/>
  <c r="A67" i="15" s="1"/>
  <c r="A68" i="15" s="1"/>
  <c r="A69" i="15" s="1"/>
  <c r="A70" i="15" s="1"/>
  <c r="A71" i="15" s="1"/>
  <c r="A72" i="15" s="1"/>
  <c r="A73" i="15" s="1"/>
  <c r="A44" i="15"/>
  <c r="D44" i="15" s="1"/>
  <c r="F43" i="15"/>
  <c r="AJ12" i="15" s="1"/>
  <c r="E43" i="15"/>
  <c r="E61" i="15" s="1"/>
  <c r="D43" i="15"/>
  <c r="AD12" i="15" s="1"/>
  <c r="C43" i="15"/>
  <c r="C61" i="15" s="1"/>
  <c r="F42" i="15"/>
  <c r="F60" i="15" s="1"/>
  <c r="E42" i="15"/>
  <c r="AG11" i="15" s="1"/>
  <c r="D42" i="15"/>
  <c r="D60" i="15" s="1"/>
  <c r="C42" i="15"/>
  <c r="C60" i="15" s="1"/>
  <c r="B42" i="15"/>
  <c r="X11" i="15" s="1"/>
  <c r="F41" i="15"/>
  <c r="F59" i="15" s="1"/>
  <c r="E41" i="15"/>
  <c r="E59" i="15" s="1"/>
  <c r="D41" i="15"/>
  <c r="D59" i="15" s="1"/>
  <c r="C41" i="15"/>
  <c r="AA10" i="15" s="1"/>
  <c r="B41" i="15"/>
  <c r="B59" i="15" s="1"/>
  <c r="A13" i="15"/>
  <c r="D13" i="15" s="1"/>
  <c r="AC13" i="15" s="1"/>
  <c r="V12" i="15"/>
  <c r="F12" i="15"/>
  <c r="AI12" i="15" s="1"/>
  <c r="E12" i="15"/>
  <c r="AF12" i="15" s="1"/>
  <c r="D12" i="15"/>
  <c r="AC12" i="15" s="1"/>
  <c r="C12" i="15"/>
  <c r="Z12" i="15" s="1"/>
  <c r="B12" i="15"/>
  <c r="W12" i="15" s="1"/>
  <c r="V11" i="15"/>
  <c r="F11" i="15"/>
  <c r="AI11" i="15" s="1"/>
  <c r="E11" i="15"/>
  <c r="AF11" i="15" s="1"/>
  <c r="D11" i="15"/>
  <c r="AC11" i="15" s="1"/>
  <c r="C11" i="15"/>
  <c r="Z11" i="15" s="1"/>
  <c r="B11" i="15"/>
  <c r="W11" i="15" s="1"/>
  <c r="V10" i="15"/>
  <c r="F10" i="15"/>
  <c r="AI10" i="15" s="1"/>
  <c r="E10" i="15"/>
  <c r="AF10" i="15" s="1"/>
  <c r="D10" i="15"/>
  <c r="AC10" i="15" s="1"/>
  <c r="C10" i="15"/>
  <c r="Z10" i="15" s="1"/>
  <c r="B10" i="15"/>
  <c r="W10" i="15" s="1"/>
  <c r="C27" i="11"/>
  <c r="D27" i="11" s="1"/>
  <c r="I26" i="11"/>
  <c r="I25" i="11"/>
  <c r="D25" i="11" s="1"/>
  <c r="C25" i="11" s="1"/>
  <c r="E25" i="11" s="1"/>
  <c r="I24" i="11"/>
  <c r="D24" i="11" s="1"/>
  <c r="C24" i="11" s="1"/>
  <c r="E24" i="11" s="1"/>
  <c r="I20" i="11"/>
  <c r="D20" i="11" s="1"/>
  <c r="C20" i="11" s="1"/>
  <c r="E20" i="11" s="1"/>
  <c r="S24" i="11"/>
  <c r="T24" i="11" s="1"/>
  <c r="Q38" i="11"/>
  <c r="R38" i="11" s="1"/>
  <c r="V38" i="11" s="1"/>
  <c r="Q39" i="11"/>
  <c r="R39" i="11" s="1"/>
  <c r="V39" i="11" s="1"/>
  <c r="Q40" i="11"/>
  <c r="R40" i="11" s="1"/>
  <c r="V40" i="11" s="1"/>
  <c r="Q41" i="11"/>
  <c r="R41" i="11" s="1"/>
  <c r="V41" i="11" s="1"/>
  <c r="Q42" i="11"/>
  <c r="R42" i="11" s="1"/>
  <c r="V42" i="11" s="1"/>
  <c r="Q43" i="11"/>
  <c r="R43" i="11" s="1"/>
  <c r="V43" i="11" s="1"/>
  <c r="Q37" i="11"/>
  <c r="U37" i="11" s="1"/>
  <c r="S26" i="11"/>
  <c r="S39" i="11" s="1"/>
  <c r="W39" i="11" s="1"/>
  <c r="S27" i="11"/>
  <c r="T27" i="11" s="1"/>
  <c r="O40" i="11" s="1"/>
  <c r="S28" i="11"/>
  <c r="S41" i="11" s="1"/>
  <c r="W41" i="11" s="1"/>
  <c r="S29" i="11"/>
  <c r="S42" i="11" s="1"/>
  <c r="W42" i="11" s="1"/>
  <c r="S30" i="11"/>
  <c r="T30" i="11" s="1"/>
  <c r="O43" i="11" s="1"/>
  <c r="S25" i="11"/>
  <c r="S38" i="11" s="1"/>
  <c r="W38" i="11" s="1"/>
  <c r="I23" i="11"/>
  <c r="Q19" i="11" s="1"/>
  <c r="I22" i="11"/>
  <c r="Q18" i="11" s="1"/>
  <c r="D22" i="11" s="1"/>
  <c r="E1" i="11"/>
  <c r="A62" i="12"/>
  <c r="A63" i="12" s="1"/>
  <c r="A64" i="12" s="1"/>
  <c r="A65" i="12" s="1"/>
  <c r="A66" i="12" s="1"/>
  <c r="A67" i="12" s="1"/>
  <c r="A68" i="12" s="1"/>
  <c r="A69" i="12" s="1"/>
  <c r="A70" i="12" s="1"/>
  <c r="A71" i="12" s="1"/>
  <c r="A72" i="12" s="1"/>
  <c r="A73" i="12" s="1"/>
  <c r="D17" i="11"/>
  <c r="D13" i="11"/>
  <c r="E13" i="11" s="1"/>
  <c r="B10" i="11"/>
  <c r="B7" i="11"/>
  <c r="B8" i="11" s="1"/>
  <c r="B4" i="11"/>
  <c r="B5" i="11" s="1"/>
  <c r="T64" i="14"/>
  <c r="T68" i="14" s="1"/>
  <c r="S64" i="14"/>
  <c r="S68" i="14" s="1"/>
  <c r="R64" i="14"/>
  <c r="R68" i="14" s="1"/>
  <c r="Q64" i="14"/>
  <c r="Q68" i="14" s="1"/>
  <c r="Q62" i="14"/>
  <c r="Q63" i="14" s="1"/>
  <c r="F59" i="14"/>
  <c r="I59" i="14" s="1"/>
  <c r="F58" i="14"/>
  <c r="F57" i="14"/>
  <c r="F56" i="14"/>
  <c r="E39" i="14"/>
  <c r="E38" i="14"/>
  <c r="E37" i="14"/>
  <c r="E36" i="14"/>
  <c r="E34" i="14"/>
  <c r="E33" i="14"/>
  <c r="E35" i="14" s="1"/>
  <c r="E40" i="14" s="1"/>
  <c r="E41" i="14" s="1"/>
  <c r="E32" i="14"/>
  <c r="E31" i="14"/>
  <c r="E30" i="14"/>
  <c r="E29" i="14"/>
  <c r="E28" i="14"/>
  <c r="N27" i="14"/>
  <c r="E27" i="14" s="1"/>
  <c r="C27" i="14"/>
  <c r="N26" i="14"/>
  <c r="E26" i="14" s="1"/>
  <c r="C26" i="14"/>
  <c r="N25" i="14"/>
  <c r="E25" i="14" s="1"/>
  <c r="C25" i="14"/>
  <c r="N24" i="14"/>
  <c r="E24" i="14" s="1"/>
  <c r="C24" i="14"/>
  <c r="N23" i="14"/>
  <c r="E23" i="14" s="1"/>
  <c r="C23" i="14"/>
  <c r="B23" i="14"/>
  <c r="B24" i="14" s="1"/>
  <c r="B25" i="14" s="1"/>
  <c r="B26" i="14" s="1"/>
  <c r="B27" i="14" s="1"/>
  <c r="N22" i="14"/>
  <c r="C22" i="14"/>
  <c r="N21" i="14"/>
  <c r="E21" i="14" s="1"/>
  <c r="C21" i="14"/>
  <c r="N20" i="14"/>
  <c r="E20" i="14" s="1"/>
  <c r="C20" i="14"/>
  <c r="N19" i="14"/>
  <c r="E19" i="14" s="1"/>
  <c r="C19" i="14"/>
  <c r="N18" i="14"/>
  <c r="E18" i="14" s="1"/>
  <c r="C18" i="14"/>
  <c r="N17" i="14"/>
  <c r="E17" i="14" s="1"/>
  <c r="C17" i="14"/>
  <c r="N16" i="14"/>
  <c r="E16" i="14" s="1"/>
  <c r="F16" i="14" s="1"/>
  <c r="C16" i="14"/>
  <c r="N15" i="14"/>
  <c r="E15" i="14" s="1"/>
  <c r="C15" i="14"/>
  <c r="N14" i="14"/>
  <c r="E14" i="14" s="1"/>
  <c r="C14" i="14"/>
  <c r="B14" i="14"/>
  <c r="B15" i="14" s="1"/>
  <c r="B16" i="14" s="1"/>
  <c r="B17" i="14" s="1"/>
  <c r="B18" i="14" s="1"/>
  <c r="B19" i="14" s="1"/>
  <c r="B20" i="14" s="1"/>
  <c r="B21" i="14" s="1"/>
  <c r="N13" i="14"/>
  <c r="C13" i="14"/>
  <c r="E12" i="14"/>
  <c r="C12" i="14"/>
  <c r="E11" i="14"/>
  <c r="C11" i="14"/>
  <c r="E10" i="14"/>
  <c r="E9" i="14"/>
  <c r="C9" i="14"/>
  <c r="N8" i="14"/>
  <c r="E8" i="14" s="1"/>
  <c r="C8" i="14"/>
  <c r="E7" i="14"/>
  <c r="E6" i="14"/>
  <c r="C6" i="14"/>
  <c r="N5" i="14"/>
  <c r="E5" i="14" s="1"/>
  <c r="B5" i="14"/>
  <c r="B6" i="14" s="1"/>
  <c r="B7" i="14" s="1"/>
  <c r="B8" i="14" s="1"/>
  <c r="B9" i="14" s="1"/>
  <c r="B10" i="14" s="1"/>
  <c r="B11" i="14" s="1"/>
  <c r="B12" i="14" s="1"/>
  <c r="F4" i="14"/>
  <c r="D31" i="13"/>
  <c r="D30" i="13"/>
  <c r="D29" i="13"/>
  <c r="D25" i="13"/>
  <c r="D24" i="13"/>
  <c r="D23" i="13"/>
  <c r="D21" i="13"/>
  <c r="D20" i="13"/>
  <c r="D19" i="13"/>
  <c r="G18" i="13"/>
  <c r="F18" i="13"/>
  <c r="E18" i="13"/>
  <c r="G17" i="13"/>
  <c r="F17" i="13"/>
  <c r="E17" i="13"/>
  <c r="G16" i="13"/>
  <c r="F16" i="13"/>
  <c r="E16" i="13"/>
  <c r="B16" i="13"/>
  <c r="B17" i="13" s="1"/>
  <c r="B18" i="13" s="1"/>
  <c r="G15" i="13"/>
  <c r="F15" i="13"/>
  <c r="E15" i="13"/>
  <c r="G14" i="13"/>
  <c r="F14" i="13"/>
  <c r="E14" i="13"/>
  <c r="B14" i="13"/>
  <c r="G13" i="13"/>
  <c r="F13" i="13"/>
  <c r="E13" i="13"/>
  <c r="B13" i="13"/>
  <c r="G12" i="13"/>
  <c r="F12" i="13"/>
  <c r="E12" i="13"/>
  <c r="B12" i="13"/>
  <c r="G11" i="13"/>
  <c r="F11" i="13"/>
  <c r="E11" i="13"/>
  <c r="G10" i="13"/>
  <c r="F10" i="13"/>
  <c r="E10" i="13"/>
  <c r="C10" i="13"/>
  <c r="C18" i="13" s="1"/>
  <c r="B10" i="13"/>
  <c r="G9" i="13"/>
  <c r="F9" i="13"/>
  <c r="E9" i="13"/>
  <c r="C9" i="13"/>
  <c r="C13" i="13" s="1"/>
  <c r="B9" i="13"/>
  <c r="G8" i="13"/>
  <c r="F8" i="13"/>
  <c r="E8" i="13"/>
  <c r="C8" i="13"/>
  <c r="C16" i="13" s="1"/>
  <c r="B8" i="13"/>
  <c r="G7" i="13"/>
  <c r="F7" i="13"/>
  <c r="E7" i="13"/>
  <c r="C7" i="13"/>
  <c r="C11" i="13" s="1"/>
  <c r="G6" i="13"/>
  <c r="F6" i="13"/>
  <c r="E6" i="13"/>
  <c r="G5" i="13"/>
  <c r="F5" i="13"/>
  <c r="E5" i="13"/>
  <c r="G4" i="13"/>
  <c r="F4" i="13"/>
  <c r="E4" i="13"/>
  <c r="G3" i="13"/>
  <c r="F3" i="13"/>
  <c r="E3" i="13"/>
  <c r="O118" i="11"/>
  <c r="O122" i="11" s="1"/>
  <c r="P118" i="11"/>
  <c r="P122" i="11" s="1"/>
  <c r="Q118" i="11"/>
  <c r="Q122" i="11" s="1"/>
  <c r="N118" i="11"/>
  <c r="N122" i="11" s="1"/>
  <c r="N116" i="11"/>
  <c r="O116" i="11" s="1"/>
  <c r="E111" i="11"/>
  <c r="E112" i="11"/>
  <c r="E113" i="11"/>
  <c r="G113" i="11" s="1"/>
  <c r="E110" i="11"/>
  <c r="D15" i="11"/>
  <c r="E15" i="11" s="1"/>
  <c r="C12" i="12"/>
  <c r="Y12" i="12" s="1"/>
  <c r="C43" i="12"/>
  <c r="C61" i="12" s="1"/>
  <c r="A13" i="12"/>
  <c r="B13" i="12" s="1"/>
  <c r="W13" i="12" s="1"/>
  <c r="A44" i="12"/>
  <c r="E44" i="12" s="1"/>
  <c r="E62" i="12" s="1"/>
  <c r="C42" i="12"/>
  <c r="C60" i="12" s="1"/>
  <c r="C41" i="12"/>
  <c r="Z10" i="12" s="1"/>
  <c r="C11" i="12"/>
  <c r="Y11" i="12" s="1"/>
  <c r="C10" i="12"/>
  <c r="Y10" i="12" s="1"/>
  <c r="B11" i="12"/>
  <c r="W11" i="12" s="1"/>
  <c r="B42" i="12"/>
  <c r="B60" i="12" s="1"/>
  <c r="F11" i="12"/>
  <c r="AA11" i="12" s="1"/>
  <c r="F42" i="12"/>
  <c r="F60" i="12" s="1"/>
  <c r="B12" i="12"/>
  <c r="W12" i="12" s="1"/>
  <c r="B43" i="12"/>
  <c r="X12" i="12" s="1"/>
  <c r="F12" i="12"/>
  <c r="AA12" i="12" s="1"/>
  <c r="F43" i="12"/>
  <c r="AB12" i="12" s="1"/>
  <c r="F10" i="12"/>
  <c r="AA10" i="12" s="1"/>
  <c r="F41" i="12"/>
  <c r="AB10" i="12" s="1"/>
  <c r="B41" i="12"/>
  <c r="X10" i="12" s="1"/>
  <c r="B10" i="12"/>
  <c r="W10" i="12" s="1"/>
  <c r="V11" i="12"/>
  <c r="V12" i="12"/>
  <c r="V10" i="12"/>
  <c r="D43" i="12"/>
  <c r="D61" i="12" s="1"/>
  <c r="E43" i="12"/>
  <c r="E61" i="12" s="1"/>
  <c r="D42" i="12"/>
  <c r="D60" i="12" s="1"/>
  <c r="E42" i="12"/>
  <c r="E60" i="12" s="1"/>
  <c r="E41" i="12"/>
  <c r="E59" i="12" s="1"/>
  <c r="D41" i="12"/>
  <c r="D59" i="12" s="1"/>
  <c r="E10" i="12"/>
  <c r="D10" i="12"/>
  <c r="E12" i="12"/>
  <c r="D12" i="12"/>
  <c r="E11" i="12"/>
  <c r="D11" i="12"/>
  <c r="C83" i="5"/>
  <c r="F9" i="14" l="1"/>
  <c r="AE12" i="11"/>
  <c r="F21" i="14"/>
  <c r="P21" i="14"/>
  <c r="F18" i="14"/>
  <c r="AE27" i="11"/>
  <c r="F11" i="14"/>
  <c r="P11" i="14"/>
  <c r="F8" i="14"/>
  <c r="AE7" i="11"/>
  <c r="F20" i="14"/>
  <c r="P20" i="14"/>
  <c r="F24" i="14"/>
  <c r="AE32" i="11"/>
  <c r="AE42" i="11"/>
  <c r="F17" i="14"/>
  <c r="AE22" i="11"/>
  <c r="F5" i="14"/>
  <c r="P5" i="14"/>
  <c r="F25" i="14"/>
  <c r="AE37" i="11"/>
  <c r="F6" i="14"/>
  <c r="P6" i="14"/>
  <c r="F26" i="14"/>
  <c r="P26" i="14"/>
  <c r="F7" i="14"/>
  <c r="AE2" i="11"/>
  <c r="F15" i="14"/>
  <c r="P15" i="14"/>
  <c r="F19" i="14"/>
  <c r="P19" i="14"/>
  <c r="F10" i="14"/>
  <c r="P10" i="14"/>
  <c r="F14" i="14"/>
  <c r="P14" i="14"/>
  <c r="F12" i="14"/>
  <c r="AE17" i="11"/>
  <c r="P12" i="14"/>
  <c r="F23" i="14"/>
  <c r="P23" i="14"/>
  <c r="F27" i="14"/>
  <c r="P27" i="14"/>
  <c r="P4" i="14"/>
  <c r="E27" i="11"/>
  <c r="B59" i="12"/>
  <c r="AG10" i="15"/>
  <c r="T26" i="11"/>
  <c r="O39" i="11" s="1"/>
  <c r="C13" i="15"/>
  <c r="Z13" i="15" s="1"/>
  <c r="D13" i="12"/>
  <c r="C17" i="13"/>
  <c r="X11" i="12"/>
  <c r="T29" i="11"/>
  <c r="O42" i="11" s="1"/>
  <c r="B61" i="12"/>
  <c r="AJ11" i="15"/>
  <c r="D7" i="13"/>
  <c r="B44" i="12"/>
  <c r="X13" i="12" s="1"/>
  <c r="F86" i="15"/>
  <c r="F104" i="15" s="1"/>
  <c r="C12" i="13"/>
  <c r="B44" i="15"/>
  <c r="B62" i="15" s="1"/>
  <c r="N123" i="11"/>
  <c r="D8" i="13"/>
  <c r="Z12" i="12"/>
  <c r="U39" i="11"/>
  <c r="Q65" i="14"/>
  <c r="Q67" i="14" s="1"/>
  <c r="B86" i="15"/>
  <c r="B104" i="15" s="1"/>
  <c r="R62" i="14"/>
  <c r="R69" i="14" s="1"/>
  <c r="S43" i="11"/>
  <c r="W43" i="11" s="1"/>
  <c r="D3" i="13"/>
  <c r="D4" i="13"/>
  <c r="U41" i="11"/>
  <c r="AA11" i="15"/>
  <c r="X10" i="15"/>
  <c r="AA12" i="15"/>
  <c r="E44" i="15"/>
  <c r="AG12" i="15"/>
  <c r="Q69" i="14"/>
  <c r="V13" i="12"/>
  <c r="D9" i="13"/>
  <c r="O117" i="11"/>
  <c r="O119" i="11" s="1"/>
  <c r="O120" i="11" s="1"/>
  <c r="O124" i="11" s="1"/>
  <c r="P116" i="11"/>
  <c r="P123" i="11" s="1"/>
  <c r="U38" i="11"/>
  <c r="D15" i="13"/>
  <c r="E60" i="15"/>
  <c r="D61" i="15"/>
  <c r="N117" i="11"/>
  <c r="N119" i="11" s="1"/>
  <c r="N120" i="11" s="1"/>
  <c r="F61" i="12"/>
  <c r="D18" i="13"/>
  <c r="C44" i="15"/>
  <c r="A45" i="15"/>
  <c r="D45" i="15" s="1"/>
  <c r="D28" i="11"/>
  <c r="C28" i="11" s="1"/>
  <c r="E28" i="11" s="1"/>
  <c r="F13" i="12"/>
  <c r="AA13" i="12" s="1"/>
  <c r="F59" i="12"/>
  <c r="U42" i="11"/>
  <c r="D11" i="13"/>
  <c r="C14" i="13"/>
  <c r="O123" i="11"/>
  <c r="C22" i="11"/>
  <c r="E22" i="11" s="1"/>
  <c r="D26" i="11"/>
  <c r="C26" i="11" s="1"/>
  <c r="E26" i="11" s="1"/>
  <c r="T18" i="11"/>
  <c r="AB11" i="12"/>
  <c r="E86" i="15"/>
  <c r="E104" i="15" s="1"/>
  <c r="D86" i="15"/>
  <c r="D104" i="15" s="1"/>
  <c r="B60" i="15"/>
  <c r="C44" i="12"/>
  <c r="U43" i="11"/>
  <c r="E13" i="15"/>
  <c r="AF13" i="15" s="1"/>
  <c r="AD10" i="15"/>
  <c r="D10" i="13"/>
  <c r="S40" i="11"/>
  <c r="W40" i="11" s="1"/>
  <c r="X12" i="15"/>
  <c r="A14" i="12"/>
  <c r="F61" i="15"/>
  <c r="F44" i="12"/>
  <c r="E22" i="14"/>
  <c r="AD11" i="15"/>
  <c r="Z11" i="12"/>
  <c r="C13" i="12"/>
  <c r="Y13" i="12" s="1"/>
  <c r="D5" i="13"/>
  <c r="D6" i="13"/>
  <c r="D12" i="13"/>
  <c r="D16" i="13"/>
  <c r="C59" i="15"/>
  <c r="A87" i="15"/>
  <c r="U40" i="11"/>
  <c r="D44" i="12"/>
  <c r="D62" i="12" s="1"/>
  <c r="A45" i="12"/>
  <c r="E45" i="12" s="1"/>
  <c r="E63" i="12" s="1"/>
  <c r="AJ10" i="15"/>
  <c r="T28" i="11"/>
  <c r="O41" i="11" s="1"/>
  <c r="T25" i="11"/>
  <c r="O38" i="11" s="1"/>
  <c r="E13" i="12"/>
  <c r="D13" i="13"/>
  <c r="D14" i="13"/>
  <c r="D17" i="13"/>
  <c r="AD13" i="15"/>
  <c r="D62" i="15"/>
  <c r="C59" i="12"/>
  <c r="C15" i="13"/>
  <c r="E13" i="14"/>
  <c r="B13" i="15"/>
  <c r="W13" i="15" s="1"/>
  <c r="F13" i="15"/>
  <c r="AI13" i="15" s="1"/>
  <c r="V13" i="15"/>
  <c r="A14" i="15"/>
  <c r="F44" i="15"/>
  <c r="D23" i="11"/>
  <c r="C23" i="11" s="1"/>
  <c r="E23" i="11" s="1"/>
  <c r="T19" i="11"/>
  <c r="C17" i="17"/>
  <c r="D21" i="11"/>
  <c r="C21" i="11" s="1"/>
  <c r="E21" i="11" s="1"/>
  <c r="AE18" i="11" l="1"/>
  <c r="AF17" i="11"/>
  <c r="AE38" i="11"/>
  <c r="AF37" i="11"/>
  <c r="F13" i="14"/>
  <c r="P13" i="14"/>
  <c r="AE43" i="11"/>
  <c r="AF42" i="11"/>
  <c r="AE33" i="11"/>
  <c r="AF32" i="11"/>
  <c r="F22" i="14"/>
  <c r="P22" i="14"/>
  <c r="AE8" i="11"/>
  <c r="AF7" i="11"/>
  <c r="AF12" i="11"/>
  <c r="AE13" i="11"/>
  <c r="AE28" i="11"/>
  <c r="AF27" i="11"/>
  <c r="AE3" i="11"/>
  <c r="AF2" i="11"/>
  <c r="AE23" i="11"/>
  <c r="AF22" i="11"/>
  <c r="B62" i="12"/>
  <c r="R63" i="14"/>
  <c r="R65" i="14" s="1"/>
  <c r="R67" i="14" s="1"/>
  <c r="S62" i="14"/>
  <c r="S69" i="14" s="1"/>
  <c r="B45" i="15"/>
  <c r="X14" i="15" s="1"/>
  <c r="A46" i="12"/>
  <c r="C46" i="12" s="1"/>
  <c r="E45" i="15"/>
  <c r="AG14" i="15" s="1"/>
  <c r="C45" i="15"/>
  <c r="C63" i="15" s="1"/>
  <c r="Q66" i="14"/>
  <c r="Q72" i="14" s="1"/>
  <c r="N121" i="11"/>
  <c r="N127" i="11" s="1"/>
  <c r="O121" i="11"/>
  <c r="X13" i="15"/>
  <c r="E62" i="15"/>
  <c r="AG13" i="15"/>
  <c r="C62" i="15"/>
  <c r="AA13" i="15"/>
  <c r="Q116" i="11"/>
  <c r="P117" i="11"/>
  <c r="P119" i="11" s="1"/>
  <c r="A46" i="15"/>
  <c r="F45" i="15"/>
  <c r="F14" i="12"/>
  <c r="AA14" i="12" s="1"/>
  <c r="A15" i="12"/>
  <c r="V14" i="12"/>
  <c r="E14" i="12"/>
  <c r="D14" i="12"/>
  <c r="B14" i="12"/>
  <c r="W14" i="12" s="1"/>
  <c r="C14" i="12"/>
  <c r="Y14" i="12" s="1"/>
  <c r="AD14" i="15"/>
  <c r="D63" i="15"/>
  <c r="E87" i="15"/>
  <c r="E105" i="15" s="1"/>
  <c r="D87" i="15"/>
  <c r="D105" i="15" s="1"/>
  <c r="B87" i="15"/>
  <c r="B105" i="15" s="1"/>
  <c r="F87" i="15"/>
  <c r="F105" i="15" s="1"/>
  <c r="C87" i="15"/>
  <c r="C105" i="15" s="1"/>
  <c r="A88" i="15"/>
  <c r="C62" i="12"/>
  <c r="Z13" i="12"/>
  <c r="C45" i="12"/>
  <c r="F45" i="12"/>
  <c r="B45" i="12"/>
  <c r="D45" i="12"/>
  <c r="D63" i="12" s="1"/>
  <c r="AB13" i="12"/>
  <c r="F62" i="12"/>
  <c r="B14" i="15"/>
  <c r="W14" i="15" s="1"/>
  <c r="V14" i="15"/>
  <c r="D14" i="15"/>
  <c r="AC14" i="15" s="1"/>
  <c r="E14" i="15"/>
  <c r="AF14" i="15" s="1"/>
  <c r="C14" i="15"/>
  <c r="Z14" i="15" s="1"/>
  <c r="F14" i="15"/>
  <c r="AI14" i="15" s="1"/>
  <c r="A15" i="15"/>
  <c r="AJ13" i="15"/>
  <c r="F62" i="15"/>
  <c r="N124" i="11"/>
  <c r="N126" i="11"/>
  <c r="Q73" i="14"/>
  <c r="AE44" i="11" l="1"/>
  <c r="AF43" i="11"/>
  <c r="AE24" i="11"/>
  <c r="AF23" i="11"/>
  <c r="AF8" i="11"/>
  <c r="AE9" i="11"/>
  <c r="AE4" i="11"/>
  <c r="AF3" i="11"/>
  <c r="AE39" i="11"/>
  <c r="AF38" i="11"/>
  <c r="AE14" i="11"/>
  <c r="AF13" i="11"/>
  <c r="AE29" i="11"/>
  <c r="AF28" i="11"/>
  <c r="AF33" i="11"/>
  <c r="AE34" i="11"/>
  <c r="AE19" i="11"/>
  <c r="AF18" i="11"/>
  <c r="N125" i="11"/>
  <c r="N130" i="11" s="1"/>
  <c r="Q70" i="14"/>
  <c r="B63" i="15"/>
  <c r="E63" i="15"/>
  <c r="B46" i="12"/>
  <c r="X15" i="12" s="1"/>
  <c r="A47" i="12"/>
  <c r="E47" i="12" s="1"/>
  <c r="E65" i="12" s="1"/>
  <c r="F46" i="12"/>
  <c r="F64" i="12" s="1"/>
  <c r="E46" i="12"/>
  <c r="E64" i="12" s="1"/>
  <c r="Q71" i="14"/>
  <c r="Q76" i="14" s="1"/>
  <c r="R66" i="14"/>
  <c r="R70" i="14" s="1"/>
  <c r="D46" i="12"/>
  <c r="D64" i="12" s="1"/>
  <c r="AA14" i="15"/>
  <c r="T62" i="14"/>
  <c r="T69" i="14" s="1"/>
  <c r="S63" i="14"/>
  <c r="S65" i="14" s="1"/>
  <c r="S67" i="14" s="1"/>
  <c r="P120" i="11"/>
  <c r="P124" i="11" s="1"/>
  <c r="P121" i="11"/>
  <c r="D46" i="15"/>
  <c r="C46" i="15"/>
  <c r="E46" i="15"/>
  <c r="B46" i="15"/>
  <c r="F46" i="15"/>
  <c r="A47" i="15"/>
  <c r="AJ14" i="15"/>
  <c r="F63" i="15"/>
  <c r="Q117" i="11"/>
  <c r="Q119" i="11" s="1"/>
  <c r="Q123" i="11"/>
  <c r="X14" i="12"/>
  <c r="B63" i="12"/>
  <c r="V15" i="12"/>
  <c r="D15" i="12"/>
  <c r="F15" i="12"/>
  <c r="AA15" i="12" s="1"/>
  <c r="B15" i="12"/>
  <c r="W15" i="12" s="1"/>
  <c r="A16" i="12"/>
  <c r="C15" i="12"/>
  <c r="Y15" i="12" s="1"/>
  <c r="E15" i="12"/>
  <c r="C63" i="12"/>
  <c r="Z14" i="12"/>
  <c r="B88" i="15"/>
  <c r="B106" i="15" s="1"/>
  <c r="F88" i="15"/>
  <c r="F106" i="15" s="1"/>
  <c r="A89" i="15"/>
  <c r="C88" i="15"/>
  <c r="C106" i="15" s="1"/>
  <c r="E88" i="15"/>
  <c r="E106" i="15" s="1"/>
  <c r="D88" i="15"/>
  <c r="D106" i="15" s="1"/>
  <c r="AB14" i="12"/>
  <c r="F63" i="12"/>
  <c r="E15" i="15"/>
  <c r="AF15" i="15" s="1"/>
  <c r="B15" i="15"/>
  <c r="W15" i="15" s="1"/>
  <c r="D15" i="15"/>
  <c r="AC15" i="15" s="1"/>
  <c r="C15" i="15"/>
  <c r="Z15" i="15" s="1"/>
  <c r="F15" i="15"/>
  <c r="AI15" i="15" s="1"/>
  <c r="V15" i="15"/>
  <c r="A16" i="15"/>
  <c r="C64" i="12"/>
  <c r="Z15" i="12"/>
  <c r="AE30" i="11" l="1"/>
  <c r="AF29" i="11"/>
  <c r="AE25" i="11"/>
  <c r="AF24" i="11"/>
  <c r="AF34" i="11"/>
  <c r="AE35" i="11"/>
  <c r="AE5" i="11"/>
  <c r="AF4" i="11"/>
  <c r="AE10" i="11"/>
  <c r="AF9" i="11"/>
  <c r="AE15" i="11"/>
  <c r="AF14" i="11"/>
  <c r="AF19" i="11"/>
  <c r="AE20" i="11"/>
  <c r="AE40" i="11"/>
  <c r="AF39" i="11"/>
  <c r="AE45" i="11"/>
  <c r="AF44" i="11"/>
  <c r="AB15" i="12"/>
  <c r="C47" i="12"/>
  <c r="Z16" i="12" s="1"/>
  <c r="F47" i="12"/>
  <c r="F65" i="12" s="1"/>
  <c r="B64" i="12"/>
  <c r="D47" i="12"/>
  <c r="D65" i="12" s="1"/>
  <c r="A48" i="12"/>
  <c r="B48" i="12" s="1"/>
  <c r="B47" i="12"/>
  <c r="X16" i="12" s="1"/>
  <c r="T63" i="14"/>
  <c r="T65" i="14" s="1"/>
  <c r="T66" i="14" s="1"/>
  <c r="T70" i="14" s="1"/>
  <c r="S66" i="14"/>
  <c r="S70" i="14" s="1"/>
  <c r="X15" i="15"/>
  <c r="B64" i="15"/>
  <c r="Q120" i="11"/>
  <c r="Q124" i="11" s="1"/>
  <c r="Q121" i="11"/>
  <c r="F64" i="15"/>
  <c r="AJ15" i="15"/>
  <c r="D64" i="15"/>
  <c r="AD15" i="15"/>
  <c r="C47" i="15"/>
  <c r="A48" i="15"/>
  <c r="E47" i="15"/>
  <c r="D47" i="15"/>
  <c r="F47" i="15"/>
  <c r="B47" i="15"/>
  <c r="AA15" i="15"/>
  <c r="C64" i="15"/>
  <c r="E64" i="15"/>
  <c r="AG15" i="15"/>
  <c r="D89" i="15"/>
  <c r="D107" i="15" s="1"/>
  <c r="A90" i="15"/>
  <c r="B89" i="15"/>
  <c r="B107" i="15" s="1"/>
  <c r="E89" i="15"/>
  <c r="E107" i="15" s="1"/>
  <c r="F89" i="15"/>
  <c r="F107" i="15" s="1"/>
  <c r="C89" i="15"/>
  <c r="C107" i="15" s="1"/>
  <c r="V16" i="12"/>
  <c r="D16" i="12"/>
  <c r="C16" i="12"/>
  <c r="Y16" i="12" s="1"/>
  <c r="B16" i="12"/>
  <c r="W16" i="12" s="1"/>
  <c r="F16" i="12"/>
  <c r="AA16" i="12" s="1"/>
  <c r="A17" i="12"/>
  <c r="E16" i="12"/>
  <c r="D16" i="15"/>
  <c r="AC16" i="15" s="1"/>
  <c r="V16" i="15"/>
  <c r="B16" i="15"/>
  <c r="W16" i="15" s="1"/>
  <c r="A17" i="15"/>
  <c r="C16" i="15"/>
  <c r="Z16" i="15" s="1"/>
  <c r="E16" i="15"/>
  <c r="AF16" i="15" s="1"/>
  <c r="F16" i="15"/>
  <c r="AI16" i="15" s="1"/>
  <c r="AE16" i="11" l="1"/>
  <c r="AF16" i="11" s="1"/>
  <c r="AF15" i="11"/>
  <c r="AE6" i="11"/>
  <c r="AF6" i="11" s="1"/>
  <c r="AF5" i="11"/>
  <c r="AE41" i="11"/>
  <c r="AF41" i="11" s="1"/>
  <c r="AF40" i="11"/>
  <c r="AF20" i="11"/>
  <c r="AE21" i="11"/>
  <c r="AF21" i="11" s="1"/>
  <c r="AE36" i="11"/>
  <c r="AF36" i="11" s="1"/>
  <c r="AF35" i="11"/>
  <c r="AE26" i="11"/>
  <c r="AF26" i="11" s="1"/>
  <c r="AF25" i="11"/>
  <c r="AE46" i="11"/>
  <c r="AF46" i="11" s="1"/>
  <c r="AF45" i="11"/>
  <c r="AF10" i="11"/>
  <c r="AE11" i="11"/>
  <c r="AF11" i="11" s="1"/>
  <c r="AE31" i="11"/>
  <c r="AF31" i="11" s="1"/>
  <c r="AF30" i="11"/>
  <c r="F48" i="12"/>
  <c r="F66" i="12" s="1"/>
  <c r="D48" i="12"/>
  <c r="D66" i="12" s="1"/>
  <c r="C65" i="12"/>
  <c r="E48" i="12"/>
  <c r="E66" i="12" s="1"/>
  <c r="C48" i="12"/>
  <c r="Z17" i="12" s="1"/>
  <c r="A49" i="12"/>
  <c r="D49" i="12" s="1"/>
  <c r="D67" i="12" s="1"/>
  <c r="B65" i="12"/>
  <c r="AB16" i="12"/>
  <c r="T67" i="14"/>
  <c r="AJ16" i="15"/>
  <c r="F65" i="15"/>
  <c r="C65" i="15"/>
  <c r="AA16" i="15"/>
  <c r="B65" i="15"/>
  <c r="X16" i="15"/>
  <c r="F48" i="15"/>
  <c r="E48" i="15"/>
  <c r="B48" i="15"/>
  <c r="C48" i="15"/>
  <c r="A49" i="15"/>
  <c r="D48" i="15"/>
  <c r="AG16" i="15"/>
  <c r="E65" i="15"/>
  <c r="D65" i="15"/>
  <c r="AD16" i="15"/>
  <c r="E90" i="15"/>
  <c r="E108" i="15" s="1"/>
  <c r="C90" i="15"/>
  <c r="C108" i="15" s="1"/>
  <c r="F90" i="15"/>
  <c r="F108" i="15" s="1"/>
  <c r="A91" i="15"/>
  <c r="B90" i="15"/>
  <c r="B108" i="15" s="1"/>
  <c r="D90" i="15"/>
  <c r="D108" i="15" s="1"/>
  <c r="E17" i="12"/>
  <c r="C17" i="12"/>
  <c r="Y17" i="12" s="1"/>
  <c r="F17" i="12"/>
  <c r="AA17" i="12" s="1"/>
  <c r="D17" i="12"/>
  <c r="B17" i="12"/>
  <c r="W17" i="12" s="1"/>
  <c r="V17" i="12"/>
  <c r="A18" i="12"/>
  <c r="C17" i="15"/>
  <c r="Z17" i="15" s="1"/>
  <c r="B17" i="15"/>
  <c r="W17" i="15" s="1"/>
  <c r="D17" i="15"/>
  <c r="AC17" i="15" s="1"/>
  <c r="A18" i="15"/>
  <c r="E17" i="15"/>
  <c r="AF17" i="15" s="1"/>
  <c r="F17" i="15"/>
  <c r="AI17" i="15" s="1"/>
  <c r="V17" i="15"/>
  <c r="B66" i="12"/>
  <c r="X17" i="12"/>
  <c r="B49" i="12" l="1"/>
  <c r="B67" i="12" s="1"/>
  <c r="C49" i="12"/>
  <c r="C67" i="12" s="1"/>
  <c r="E49" i="12"/>
  <c r="E67" i="12" s="1"/>
  <c r="F49" i="12"/>
  <c r="F67" i="12" s="1"/>
  <c r="A50" i="12"/>
  <c r="B50" i="12" s="1"/>
  <c r="AB17" i="12"/>
  <c r="C66" i="12"/>
  <c r="X17" i="15"/>
  <c r="B66" i="15"/>
  <c r="C66" i="15"/>
  <c r="AA17" i="15"/>
  <c r="F49" i="15"/>
  <c r="C49" i="15"/>
  <c r="A50" i="15"/>
  <c r="D49" i="15"/>
  <c r="E49" i="15"/>
  <c r="B49" i="15"/>
  <c r="AJ17" i="15"/>
  <c r="F66" i="15"/>
  <c r="AD17" i="15"/>
  <c r="D66" i="15"/>
  <c r="AG17" i="15"/>
  <c r="E66" i="15"/>
  <c r="F18" i="12"/>
  <c r="AA18" i="12" s="1"/>
  <c r="D18" i="12"/>
  <c r="E18" i="12"/>
  <c r="B18" i="12"/>
  <c r="W18" i="12" s="1"/>
  <c r="A19" i="12"/>
  <c r="V18" i="12"/>
  <c r="C18" i="12"/>
  <c r="Y18" i="12" s="1"/>
  <c r="B91" i="15"/>
  <c r="B109" i="15" s="1"/>
  <c r="E91" i="15"/>
  <c r="E109" i="15" s="1"/>
  <c r="D91" i="15"/>
  <c r="D109" i="15" s="1"/>
  <c r="A92" i="15"/>
  <c r="F91" i="15"/>
  <c r="F109" i="15" s="1"/>
  <c r="C91" i="15"/>
  <c r="C109" i="15" s="1"/>
  <c r="AB18" i="12"/>
  <c r="C18" i="15"/>
  <c r="Z18" i="15" s="1"/>
  <c r="D18" i="15"/>
  <c r="AC18" i="15" s="1"/>
  <c r="E18" i="15"/>
  <c r="AF18" i="15" s="1"/>
  <c r="V18" i="15"/>
  <c r="A19" i="15"/>
  <c r="F18" i="15"/>
  <c r="AI18" i="15" s="1"/>
  <c r="B18" i="15"/>
  <c r="W18" i="15" s="1"/>
  <c r="C50" i="12" l="1"/>
  <c r="Z19" i="12" s="1"/>
  <c r="X18" i="12"/>
  <c r="A51" i="12"/>
  <c r="D51" i="12" s="1"/>
  <c r="D69" i="12" s="1"/>
  <c r="E50" i="12"/>
  <c r="E68" i="12" s="1"/>
  <c r="F50" i="12"/>
  <c r="F68" i="12" s="1"/>
  <c r="D50" i="12"/>
  <c r="D68" i="12" s="1"/>
  <c r="Z18" i="12"/>
  <c r="AG18" i="15"/>
  <c r="E67" i="15"/>
  <c r="X18" i="15"/>
  <c r="B67" i="15"/>
  <c r="AA18" i="15"/>
  <c r="C67" i="15"/>
  <c r="AJ18" i="15"/>
  <c r="F67" i="15"/>
  <c r="D50" i="15"/>
  <c r="F50" i="15"/>
  <c r="A51" i="15"/>
  <c r="C50" i="15"/>
  <c r="B50" i="15"/>
  <c r="E50" i="15"/>
  <c r="AD18" i="15"/>
  <c r="D67" i="15"/>
  <c r="B19" i="12"/>
  <c r="W19" i="12" s="1"/>
  <c r="E19" i="12"/>
  <c r="D19" i="12"/>
  <c r="A20" i="12"/>
  <c r="C19" i="12"/>
  <c r="Y19" i="12" s="1"/>
  <c r="F19" i="12"/>
  <c r="AA19" i="12" s="1"/>
  <c r="V19" i="12"/>
  <c r="A93" i="15"/>
  <c r="B92" i="15"/>
  <c r="B110" i="15" s="1"/>
  <c r="C92" i="15"/>
  <c r="C110" i="15" s="1"/>
  <c r="D92" i="15"/>
  <c r="D110" i="15" s="1"/>
  <c r="F92" i="15"/>
  <c r="F110" i="15" s="1"/>
  <c r="E92" i="15"/>
  <c r="E110" i="15" s="1"/>
  <c r="F19" i="15"/>
  <c r="AI19" i="15" s="1"/>
  <c r="A20" i="15"/>
  <c r="B19" i="15"/>
  <c r="W19" i="15" s="1"/>
  <c r="V19" i="15"/>
  <c r="E19" i="15"/>
  <c r="AF19" i="15" s="1"/>
  <c r="D19" i="15"/>
  <c r="AC19" i="15" s="1"/>
  <c r="C19" i="15"/>
  <c r="Z19" i="15" s="1"/>
  <c r="X19" i="12"/>
  <c r="B68" i="12"/>
  <c r="B51" i="12" l="1"/>
  <c r="B69" i="12" s="1"/>
  <c r="AB19" i="12"/>
  <c r="C68" i="12"/>
  <c r="A52" i="12"/>
  <c r="A53" i="12" s="1"/>
  <c r="E51" i="12"/>
  <c r="E69" i="12" s="1"/>
  <c r="F51" i="12"/>
  <c r="AB20" i="12" s="1"/>
  <c r="C51" i="12"/>
  <c r="C69" i="12" s="1"/>
  <c r="X19" i="15"/>
  <c r="B68" i="15"/>
  <c r="AD19" i="15"/>
  <c r="D68" i="15"/>
  <c r="AG19" i="15"/>
  <c r="E68" i="15"/>
  <c r="AJ19" i="15"/>
  <c r="F68" i="15"/>
  <c r="A52" i="15"/>
  <c r="D51" i="15"/>
  <c r="B51" i="15"/>
  <c r="E51" i="15"/>
  <c r="F51" i="15"/>
  <c r="C51" i="15"/>
  <c r="C68" i="15"/>
  <c r="AA19" i="15"/>
  <c r="E93" i="15"/>
  <c r="E111" i="15" s="1"/>
  <c r="D93" i="15"/>
  <c r="D111" i="15" s="1"/>
  <c r="B93" i="15"/>
  <c r="B111" i="15" s="1"/>
  <c r="C93" i="15"/>
  <c r="C111" i="15" s="1"/>
  <c r="A94" i="15"/>
  <c r="F93" i="15"/>
  <c r="F111" i="15" s="1"/>
  <c r="E20" i="12"/>
  <c r="C20" i="12"/>
  <c r="Y20" i="12" s="1"/>
  <c r="B20" i="12"/>
  <c r="W20" i="12" s="1"/>
  <c r="A21" i="12"/>
  <c r="V20" i="12"/>
  <c r="F20" i="12"/>
  <c r="AA20" i="12" s="1"/>
  <c r="D20" i="12"/>
  <c r="X20" i="12"/>
  <c r="A21" i="15"/>
  <c r="F20" i="15"/>
  <c r="AI20" i="15" s="1"/>
  <c r="B20" i="15"/>
  <c r="W20" i="15" s="1"/>
  <c r="E20" i="15"/>
  <c r="AF20" i="15" s="1"/>
  <c r="D20" i="15"/>
  <c r="AC20" i="15" s="1"/>
  <c r="C20" i="15"/>
  <c r="Z20" i="15" s="1"/>
  <c r="V20" i="15"/>
  <c r="D52" i="12" l="1"/>
  <c r="D70" i="12" s="1"/>
  <c r="Z20" i="12"/>
  <c r="B52" i="12"/>
  <c r="F69" i="12"/>
  <c r="C52" i="12"/>
  <c r="C70" i="12" s="1"/>
  <c r="F52" i="12"/>
  <c r="F70" i="12" s="1"/>
  <c r="E52" i="12"/>
  <c r="E70" i="12" s="1"/>
  <c r="AJ20" i="15"/>
  <c r="F69" i="15"/>
  <c r="A53" i="15"/>
  <c r="C52" i="15"/>
  <c r="D52" i="15"/>
  <c r="B52" i="15"/>
  <c r="F52" i="15"/>
  <c r="E52" i="15"/>
  <c r="C69" i="15"/>
  <c r="AA20" i="15"/>
  <c r="AD20" i="15"/>
  <c r="D69" i="15"/>
  <c r="B69" i="15"/>
  <c r="X20" i="15"/>
  <c r="AG20" i="15"/>
  <c r="E69" i="15"/>
  <c r="F94" i="15"/>
  <c r="F112" i="15" s="1"/>
  <c r="A95" i="15"/>
  <c r="B94" i="15"/>
  <c r="B112" i="15" s="1"/>
  <c r="D94" i="15"/>
  <c r="D112" i="15" s="1"/>
  <c r="E94" i="15"/>
  <c r="E112" i="15" s="1"/>
  <c r="C94" i="15"/>
  <c r="C112" i="15" s="1"/>
  <c r="A22" i="12"/>
  <c r="F21" i="12"/>
  <c r="AA21" i="12" s="1"/>
  <c r="C21" i="12"/>
  <c r="Y21" i="12" s="1"/>
  <c r="E21" i="12"/>
  <c r="V21" i="12"/>
  <c r="D21" i="12"/>
  <c r="B21" i="12"/>
  <c r="W21" i="12" s="1"/>
  <c r="D53" i="12"/>
  <c r="D71" i="12" s="1"/>
  <c r="E53" i="12"/>
  <c r="E71" i="12" s="1"/>
  <c r="B53" i="12"/>
  <c r="A54" i="12"/>
  <c r="C53" i="12"/>
  <c r="F53" i="12"/>
  <c r="X21" i="12"/>
  <c r="B70" i="12"/>
  <c r="D21" i="15"/>
  <c r="AC21" i="15" s="1"/>
  <c r="F21" i="15"/>
  <c r="AI21" i="15" s="1"/>
  <c r="E21" i="15"/>
  <c r="AF21" i="15" s="1"/>
  <c r="C21" i="15"/>
  <c r="Z21" i="15" s="1"/>
  <c r="B21" i="15"/>
  <c r="W21" i="15" s="1"/>
  <c r="V21" i="15"/>
  <c r="A22" i="15"/>
  <c r="AB21" i="12" l="1"/>
  <c r="Z21" i="12"/>
  <c r="D70" i="15"/>
  <c r="AD21" i="15"/>
  <c r="X21" i="15"/>
  <c r="B70" i="15"/>
  <c r="AJ21" i="15"/>
  <c r="F70" i="15"/>
  <c r="C53" i="15"/>
  <c r="D53" i="15"/>
  <c r="F53" i="15"/>
  <c r="E53" i="15"/>
  <c r="B53" i="15"/>
  <c r="A54" i="15"/>
  <c r="AG21" i="15"/>
  <c r="E70" i="15"/>
  <c r="AA21" i="15"/>
  <c r="C70" i="15"/>
  <c r="D95" i="15"/>
  <c r="D113" i="15" s="1"/>
  <c r="B95" i="15"/>
  <c r="B113" i="15" s="1"/>
  <c r="C95" i="15"/>
  <c r="C113" i="15" s="1"/>
  <c r="A96" i="15"/>
  <c r="E95" i="15"/>
  <c r="E113" i="15" s="1"/>
  <c r="F95" i="15"/>
  <c r="F113" i="15" s="1"/>
  <c r="B22" i="12"/>
  <c r="W22" i="12" s="1"/>
  <c r="F22" i="12"/>
  <c r="AA22" i="12" s="1"/>
  <c r="C22" i="12"/>
  <c r="Y22" i="12" s="1"/>
  <c r="D22" i="12"/>
  <c r="A23" i="12"/>
  <c r="V22" i="12"/>
  <c r="E22" i="12"/>
  <c r="C54" i="12"/>
  <c r="E54" i="12"/>
  <c r="E72" i="12" s="1"/>
  <c r="F54" i="12"/>
  <c r="B54" i="12"/>
  <c r="D54" i="12"/>
  <c r="D72" i="12" s="1"/>
  <c r="A55" i="12"/>
  <c r="A23" i="15"/>
  <c r="D22" i="15"/>
  <c r="AC22" i="15" s="1"/>
  <c r="E22" i="15"/>
  <c r="AF22" i="15" s="1"/>
  <c r="C22" i="15"/>
  <c r="Z22" i="15" s="1"/>
  <c r="F22" i="15"/>
  <c r="AI22" i="15" s="1"/>
  <c r="B22" i="15"/>
  <c r="W22" i="15" s="1"/>
  <c r="V22" i="15"/>
  <c r="Z22" i="12"/>
  <c r="C71" i="12"/>
  <c r="AB22" i="12"/>
  <c r="F71" i="12"/>
  <c r="X22" i="12"/>
  <c r="B71" i="12"/>
  <c r="AJ22" i="15" l="1"/>
  <c r="F71" i="15"/>
  <c r="E71" i="15"/>
  <c r="AG22" i="15"/>
  <c r="B71" i="15"/>
  <c r="X22" i="15"/>
  <c r="AA22" i="15"/>
  <c r="C71" i="15"/>
  <c r="E54" i="15"/>
  <c r="C54" i="15"/>
  <c r="B54" i="15"/>
  <c r="D54" i="15"/>
  <c r="A55" i="15"/>
  <c r="F54" i="15"/>
  <c r="D71" i="15"/>
  <c r="AD22" i="15"/>
  <c r="A97" i="15"/>
  <c r="E96" i="15"/>
  <c r="E114" i="15" s="1"/>
  <c r="C96" i="15"/>
  <c r="C114" i="15" s="1"/>
  <c r="D96" i="15"/>
  <c r="D114" i="15" s="1"/>
  <c r="F96" i="15"/>
  <c r="F114" i="15" s="1"/>
  <c r="B96" i="15"/>
  <c r="B114" i="15" s="1"/>
  <c r="A24" i="12"/>
  <c r="D23" i="12"/>
  <c r="V23" i="12"/>
  <c r="C23" i="12"/>
  <c r="Y23" i="12" s="1"/>
  <c r="E23" i="12"/>
  <c r="B23" i="12"/>
  <c r="W23" i="12" s="1"/>
  <c r="F23" i="12"/>
  <c r="AA23" i="12" s="1"/>
  <c r="AB23" i="12"/>
  <c r="F72" i="12"/>
  <c r="X23" i="12"/>
  <c r="B72" i="12"/>
  <c r="V23" i="15"/>
  <c r="C23" i="15"/>
  <c r="Z23" i="15" s="1"/>
  <c r="B23" i="15"/>
  <c r="W23" i="15" s="1"/>
  <c r="A24" i="15"/>
  <c r="F23" i="15"/>
  <c r="AI23" i="15" s="1"/>
  <c r="E23" i="15"/>
  <c r="AF23" i="15" s="1"/>
  <c r="D23" i="15"/>
  <c r="AC23" i="15" s="1"/>
  <c r="C72" i="12"/>
  <c r="Z23" i="12"/>
  <c r="C55" i="12"/>
  <c r="E55" i="12"/>
  <c r="E73" i="12" s="1"/>
  <c r="F55" i="12"/>
  <c r="D55" i="12"/>
  <c r="D73" i="12" s="1"/>
  <c r="B55" i="12"/>
  <c r="B55" i="15" l="1"/>
  <c r="F55" i="15"/>
  <c r="C55" i="15"/>
  <c r="E55" i="15"/>
  <c r="D55" i="15"/>
  <c r="AG23" i="15"/>
  <c r="E72" i="15"/>
  <c r="F72" i="15"/>
  <c r="AJ23" i="15"/>
  <c r="C72" i="15"/>
  <c r="AA23" i="15"/>
  <c r="B72" i="15"/>
  <c r="X23" i="15"/>
  <c r="AD23" i="15"/>
  <c r="D72" i="15"/>
  <c r="F97" i="15"/>
  <c r="F115" i="15" s="1"/>
  <c r="D97" i="15"/>
  <c r="D115" i="15" s="1"/>
  <c r="B97" i="15"/>
  <c r="B115" i="15" s="1"/>
  <c r="E97" i="15"/>
  <c r="E115" i="15" s="1"/>
  <c r="C97" i="15"/>
  <c r="C115" i="15" s="1"/>
  <c r="V24" i="12"/>
  <c r="D24" i="12"/>
  <c r="A25" i="12"/>
  <c r="B24" i="12"/>
  <c r="W24" i="12" s="1"/>
  <c r="F24" i="12"/>
  <c r="AA24" i="12" s="1"/>
  <c r="C24" i="12"/>
  <c r="Y24" i="12" s="1"/>
  <c r="E24" i="12"/>
  <c r="AB24" i="12"/>
  <c r="F73" i="12"/>
  <c r="Z24" i="12"/>
  <c r="C73" i="12"/>
  <c r="X24" i="12"/>
  <c r="B73" i="12"/>
  <c r="E24" i="15"/>
  <c r="AF24" i="15" s="1"/>
  <c r="V24" i="15"/>
  <c r="F24" i="15"/>
  <c r="AI24" i="15" s="1"/>
  <c r="D24" i="15"/>
  <c r="AC24" i="15" s="1"/>
  <c r="B24" i="15"/>
  <c r="W24" i="15" s="1"/>
  <c r="C24" i="15"/>
  <c r="Z24" i="15" s="1"/>
  <c r="A25" i="15"/>
  <c r="F73" i="15" l="1"/>
  <c r="AJ24" i="15"/>
  <c r="D73" i="15"/>
  <c r="AD24" i="15"/>
  <c r="C73" i="15"/>
  <c r="AA24" i="15"/>
  <c r="X24" i="15"/>
  <c r="B73" i="15"/>
  <c r="E73" i="15"/>
  <c r="AG24" i="15"/>
  <c r="D25" i="12"/>
  <c r="A26" i="12"/>
  <c r="F25" i="12"/>
  <c r="E25" i="12"/>
  <c r="B25" i="12"/>
  <c r="C25" i="12"/>
  <c r="B25" i="15"/>
  <c r="C25" i="15"/>
  <c r="D25" i="15"/>
  <c r="A26" i="15"/>
  <c r="E25" i="15"/>
  <c r="F25" i="15"/>
  <c r="F26" i="12" l="1"/>
  <c r="A27" i="12"/>
  <c r="E26" i="12"/>
  <c r="C26" i="12"/>
  <c r="D26" i="12"/>
  <c r="B26" i="12"/>
  <c r="A27" i="15"/>
  <c r="C26" i="15"/>
  <c r="F26" i="15"/>
  <c r="B26" i="15"/>
  <c r="E26" i="15"/>
  <c r="D26" i="15"/>
  <c r="D27" i="12" l="1"/>
  <c r="B27" i="12"/>
  <c r="F27" i="12"/>
  <c r="C27" i="12"/>
  <c r="A28" i="12"/>
  <c r="E27" i="12"/>
  <c r="F27" i="15"/>
  <c r="A28" i="15"/>
  <c r="C27" i="15"/>
  <c r="E27" i="15"/>
  <c r="B27" i="15"/>
  <c r="D27" i="15"/>
  <c r="D28" i="12" l="1"/>
  <c r="A29" i="12"/>
  <c r="B28" i="12"/>
  <c r="E28" i="12"/>
  <c r="F28" i="12"/>
  <c r="C28" i="12"/>
  <c r="C28" i="15"/>
  <c r="B28" i="15"/>
  <c r="D28" i="15"/>
  <c r="E28" i="15"/>
  <c r="F28" i="15"/>
  <c r="A29" i="15"/>
  <c r="F29" i="12" l="1"/>
  <c r="C29" i="12"/>
  <c r="B29" i="12"/>
  <c r="A30" i="12"/>
  <c r="D29" i="12"/>
  <c r="E29" i="12"/>
  <c r="B29" i="15"/>
  <c r="C29" i="15"/>
  <c r="A30" i="15"/>
  <c r="D29" i="15"/>
  <c r="E29" i="15"/>
  <c r="F29" i="15"/>
  <c r="B30" i="12" l="1"/>
  <c r="C30" i="12"/>
  <c r="F30" i="12"/>
  <c r="A31" i="12"/>
  <c r="D30" i="12"/>
  <c r="E30" i="12"/>
  <c r="A31" i="15"/>
  <c r="E30" i="15"/>
  <c r="F30" i="15"/>
  <c r="C30" i="15"/>
  <c r="B30" i="15"/>
  <c r="D30" i="15"/>
  <c r="A32" i="12" l="1"/>
  <c r="B31" i="12"/>
  <c r="E31" i="12"/>
  <c r="C31" i="12"/>
  <c r="F31" i="12"/>
  <c r="D31" i="12"/>
  <c r="C31" i="15"/>
  <c r="D31" i="15"/>
  <c r="E31" i="15"/>
  <c r="B31" i="15"/>
  <c r="F31" i="15"/>
  <c r="A32" i="15"/>
  <c r="C32" i="12" l="1"/>
  <c r="D32" i="12"/>
  <c r="E32" i="12"/>
  <c r="A33" i="12"/>
  <c r="B32" i="12"/>
  <c r="F32" i="12"/>
  <c r="B32" i="15"/>
  <c r="F32" i="15"/>
  <c r="A33" i="15"/>
  <c r="E32" i="15"/>
  <c r="C32" i="15"/>
  <c r="D32" i="15"/>
  <c r="A34" i="12" l="1"/>
  <c r="C33" i="12"/>
  <c r="F33" i="12"/>
  <c r="B33" i="12"/>
  <c r="D33" i="12"/>
  <c r="E33" i="12"/>
  <c r="B33" i="15"/>
  <c r="A34" i="15"/>
  <c r="F33" i="15"/>
  <c r="C33" i="15"/>
  <c r="D33" i="15"/>
  <c r="E33" i="15"/>
  <c r="E34" i="12" l="1"/>
  <c r="B34" i="12"/>
  <c r="C34" i="12"/>
  <c r="F34" i="12"/>
  <c r="D34" i="12"/>
  <c r="E34" i="15"/>
  <c r="F34" i="15"/>
  <c r="B34" i="15"/>
  <c r="D34" i="15"/>
  <c r="C3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Chad Worthen</author>
  </authors>
  <commentList>
    <comment ref="I3" authorId="0" shapeId="0" xr:uid="{904C5152-0710-487D-A237-64B75228FF1A}">
      <text>
        <r>
          <rPr>
            <b/>
            <sz val="8"/>
            <color indexed="81"/>
            <rFont val="Tahoma"/>
            <family val="2"/>
          </rPr>
          <t xml:space="preserve"> :</t>
        </r>
        <r>
          <rPr>
            <sz val="8"/>
            <color indexed="81"/>
            <rFont val="Tahoma"/>
            <family val="2"/>
          </rPr>
          <t xml:space="preserve">
Change from Rural to CBD to see how AreaType affects capacity (5% change with each type)</t>
        </r>
      </text>
    </comment>
    <comment ref="C44" authorId="1" shapeId="0" xr:uid="{F6AA820A-520F-499B-824D-4AFC141417D2}">
      <text>
        <r>
          <rPr>
            <sz val="9"/>
            <color indexed="81"/>
            <rFont val="Tahoma"/>
            <family val="2"/>
          </rPr>
          <t>Tollway capacity specified by user.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Chad Worthen</author>
  </authors>
  <commentList>
    <comment ref="I3" authorId="0" shapeId="0" xr:uid="{00000000-0006-0000-0500-000001000000}">
      <text>
        <r>
          <rPr>
            <b/>
            <sz val="8"/>
            <color indexed="81"/>
            <rFont val="Tahoma"/>
            <family val="2"/>
          </rPr>
          <t xml:space="preserve"> :</t>
        </r>
        <r>
          <rPr>
            <sz val="8"/>
            <color indexed="81"/>
            <rFont val="Tahoma"/>
            <family val="2"/>
          </rPr>
          <t xml:space="preserve">
Change from Rural to CBD to see how AreaType affects capacity (5% change with each type)</t>
        </r>
      </text>
    </comment>
    <comment ref="C44" authorId="1" shapeId="0" xr:uid="{00000000-0006-0000-0500-000002000000}">
      <text>
        <r>
          <rPr>
            <sz val="9"/>
            <color indexed="81"/>
            <rFont val="Tahoma"/>
            <family val="2"/>
          </rPr>
          <t>Tollway capacity specified by user.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Chad Worthen</author>
  </authors>
  <commentList>
    <comment ref="I3" authorId="0" shapeId="0" xr:uid="{00000000-0006-0000-0800-000001000000}">
      <text>
        <r>
          <rPr>
            <b/>
            <sz val="8"/>
            <color indexed="81"/>
            <rFont val="Tahoma"/>
            <family val="2"/>
          </rPr>
          <t xml:space="preserve"> :</t>
        </r>
        <r>
          <rPr>
            <sz val="8"/>
            <color indexed="81"/>
            <rFont val="Tahoma"/>
            <family val="2"/>
          </rPr>
          <t xml:space="preserve">
Change from Rural to CBD to see how AreaType affects capacity (5% change with each type)</t>
        </r>
      </text>
    </comment>
    <comment ref="C33" authorId="1" shapeId="0" xr:uid="{00000000-0006-0000-0800-000002000000}">
      <text>
        <r>
          <rPr>
            <sz val="9"/>
            <color indexed="81"/>
            <rFont val="Tahoma"/>
            <family val="2"/>
          </rPr>
          <t>Tollway capacity specified by user.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1" authorId="0" shapeId="0" xr:uid="{00000000-0006-0000-0B00-000001000000}">
      <text>
        <r>
          <rPr>
            <b/>
            <sz val="8"/>
            <color indexed="81"/>
            <rFont val="Tahoma"/>
            <family val="2"/>
          </rPr>
          <t xml:space="preserve"> :</t>
        </r>
        <r>
          <rPr>
            <sz val="8"/>
            <color indexed="81"/>
            <rFont val="Tahoma"/>
            <family val="2"/>
          </rPr>
          <t xml:space="preserve">
Change from 1-5 (Rural to CBD) to see how AreaType affects capacity (5% change with each type)</t>
        </r>
      </text>
    </comment>
    <comment ref="C19" authorId="0" shapeId="0" xr:uid="{00000000-0006-0000-0B00-000002000000}">
      <text>
        <r>
          <rPr>
            <b/>
            <sz val="8"/>
            <color indexed="81"/>
            <rFont val="Tahoma"/>
            <family val="2"/>
          </rPr>
          <t xml:space="preserve"> :</t>
        </r>
        <r>
          <rPr>
            <sz val="8"/>
            <color indexed="81"/>
            <rFont val="Tahoma"/>
            <family val="2"/>
          </rPr>
          <t xml:space="preserve">
Capacity of the entire cross section, including all lanes and all aux lanes
</t>
        </r>
      </text>
    </comment>
    <comment ref="I19" authorId="0" shapeId="0" xr:uid="{00000000-0006-0000-0B00-000003000000}">
      <text>
        <r>
          <rPr>
            <b/>
            <sz val="8"/>
            <color indexed="81"/>
            <rFont val="Tahoma"/>
            <family val="2"/>
          </rPr>
          <t xml:space="preserve"> :</t>
        </r>
        <r>
          <rPr>
            <sz val="8"/>
            <color indexed="81"/>
            <rFont val="Tahoma"/>
            <family val="2"/>
          </rPr>
          <t xml:space="preserve">
For illustration, the Fle from 3-lanes for FT31, and 4 lanes for FT32, are shown, but it varies by the number of lanes</t>
        </r>
      </text>
    </comment>
    <comment ref="F22" authorId="0" shapeId="0" xr:uid="{00000000-0006-0000-0B00-000004000000}">
      <text>
        <r>
          <rPr>
            <b/>
            <sz val="8"/>
            <color indexed="81"/>
            <rFont val="Tahoma"/>
            <family val="2"/>
          </rPr>
          <t xml:space="preserve"> :</t>
        </r>
        <r>
          <rPr>
            <sz val="8"/>
            <color indexed="81"/>
            <rFont val="Tahoma"/>
            <family val="2"/>
          </rPr>
          <t xml:space="preserve">
Change this number to see how Capacity changes</t>
        </r>
      </text>
    </comment>
    <comment ref="F23" authorId="0" shapeId="0" xr:uid="{00000000-0006-0000-0B00-000005000000}">
      <text>
        <r>
          <rPr>
            <b/>
            <sz val="8"/>
            <color indexed="81"/>
            <rFont val="Tahoma"/>
            <family val="2"/>
          </rPr>
          <t xml:space="preserve"> :</t>
        </r>
        <r>
          <rPr>
            <sz val="8"/>
            <color indexed="81"/>
            <rFont val="Tahoma"/>
            <family val="2"/>
          </rPr>
          <t xml:space="preserve">
Change this number to see how Capacity changes</t>
        </r>
      </text>
    </comment>
    <comment ref="F26" authorId="0" shapeId="0" xr:uid="{00000000-0006-0000-0B00-000006000000}">
      <text>
        <r>
          <rPr>
            <b/>
            <sz val="8"/>
            <color indexed="81"/>
            <rFont val="Tahoma"/>
            <family val="2"/>
          </rPr>
          <t xml:space="preserve"> :</t>
        </r>
        <r>
          <rPr>
            <sz val="8"/>
            <color indexed="81"/>
            <rFont val="Tahoma"/>
            <family val="2"/>
          </rPr>
          <t xml:space="preserve">
Change this number to see how Capacity changes</t>
        </r>
      </text>
    </comment>
    <comment ref="F27" authorId="0" shapeId="0" xr:uid="{00000000-0006-0000-0B00-000007000000}">
      <text>
        <r>
          <rPr>
            <b/>
            <sz val="8"/>
            <color indexed="81"/>
            <rFont val="Tahoma"/>
            <family val="2"/>
          </rPr>
          <t xml:space="preserve"> :</t>
        </r>
        <r>
          <rPr>
            <sz val="8"/>
            <color indexed="81"/>
            <rFont val="Tahoma"/>
            <family val="2"/>
          </rPr>
          <t xml:space="preserve">
For on-ramps, the number of lanes is more for organization of flow and for storage prior to ramp meters.  So the capacity is essentially governed by ramp meters.  Assume that more lanes means UDOT has more flow to deal with, so they try to accommodate higher volumes.</t>
        </r>
      </text>
    </comment>
    <comment ref="F28" authorId="0" shapeId="0" xr:uid="{00000000-0006-0000-0B00-000008000000}">
      <text>
        <r>
          <rPr>
            <b/>
            <sz val="8"/>
            <color indexed="81"/>
            <rFont val="Tahoma"/>
            <family val="2"/>
          </rPr>
          <t xml:space="preserve"> :</t>
        </r>
        <r>
          <rPr>
            <sz val="8"/>
            <color indexed="81"/>
            <rFont val="Tahoma"/>
            <family val="2"/>
          </rPr>
          <t xml:space="preserve">
Change the lanes, and VLOOKUP will select the right capacity from FT 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4" authorId="0" shapeId="0" xr:uid="{00000000-0006-0000-0F00-000001000000}">
      <text>
        <r>
          <rPr>
            <b/>
            <sz val="8"/>
            <color indexed="81"/>
            <rFont val="Tahoma"/>
            <family val="2"/>
          </rPr>
          <t xml:space="preserve"> :</t>
        </r>
        <r>
          <rPr>
            <sz val="8"/>
            <color indexed="81"/>
            <rFont val="Tahoma"/>
            <family val="2"/>
          </rPr>
          <t xml:space="preserve">
2*lanes*cap1hr1ln / .09
same as 2 directions * lanes per direction * cap of the lane / typical share of AWDT that is in peak hour</t>
        </r>
      </text>
    </comment>
  </commentList>
</comments>
</file>

<file path=xl/sharedStrings.xml><?xml version="1.0" encoding="utf-8"?>
<sst xmlns="http://schemas.openxmlformats.org/spreadsheetml/2006/main" count="1698" uniqueCount="597">
  <si>
    <t>Centroid</t>
  </si>
  <si>
    <t>Coll</t>
  </si>
  <si>
    <t># lanes</t>
  </si>
  <si>
    <t>Urban</t>
  </si>
  <si>
    <t>Suburban</t>
  </si>
  <si>
    <t>All</t>
  </si>
  <si>
    <t>N/A</t>
  </si>
  <si>
    <t>Free-flow speed (SFF)</t>
  </si>
  <si>
    <t>* FT is a numeric code for FUNCLASS.  FT, AreaType, and lanes are fields that we maintain by hand, and are used to auto-generate spd/capclass.</t>
  </si>
  <si>
    <t>LOS E, in vphpl (Cap1hr1ln)</t>
  </si>
  <si>
    <t>1-200</t>
  </si>
  <si>
    <t>1-173</t>
  </si>
  <si>
    <t>174-193</t>
  </si>
  <si>
    <t>External:  Northeast Ogden</t>
  </si>
  <si>
    <t>External:  Hwy 89 from North Ogden</t>
  </si>
  <si>
    <t>External:  Ogden Canyon to Huntsville</t>
  </si>
  <si>
    <t>External:  I-84</t>
  </si>
  <si>
    <t>Unused</t>
  </si>
  <si>
    <t>301-346</t>
  </si>
  <si>
    <t>Weber County</t>
  </si>
  <si>
    <t>North Davis County</t>
  </si>
  <si>
    <t>South Davis County</t>
  </si>
  <si>
    <t>Salt Lake County</t>
  </si>
  <si>
    <t>Unmodeled:  West Weber, exists as TAZ only for SE purposes</t>
  </si>
  <si>
    <t>Unmodeled:  West Davis: exists as TAZ only for SE purposes</t>
  </si>
  <si>
    <t>Unmodeled:  East Davis: exists as TAZ only for SE purposes</t>
  </si>
  <si>
    <t>Internal, used</t>
  </si>
  <si>
    <t>Internal, unused</t>
  </si>
  <si>
    <t>983-992</t>
  </si>
  <si>
    <t>Unmodeled:  Tooele County: exists as TAZ only for SE purposes</t>
  </si>
  <si>
    <t>Unmodeled:  West SL Co (Oquirrh mtns): exists as TAZ only for SE purposes</t>
  </si>
  <si>
    <t>Internal:  SLC's northwest quadrant</t>
  </si>
  <si>
    <t>External:  Emigration Canyon</t>
  </si>
  <si>
    <t>External:  I-80 to Park City</t>
  </si>
  <si>
    <t>External:  Millcreek Canyon</t>
  </si>
  <si>
    <t>External:  Big Cottonwood Canyon</t>
  </si>
  <si>
    <t>External:  Little Cottonwood Canyon</t>
  </si>
  <si>
    <t>Utah County</t>
  </si>
  <si>
    <t xml:space="preserve"> * 421</t>
  </si>
  <si>
    <t xml:space="preserve"> * 856</t>
  </si>
  <si>
    <t xml:space="preserve"> * 908</t>
  </si>
  <si>
    <t xml:space="preserve"> * 945</t>
  </si>
  <si>
    <t xml:space="preserve"> * 477</t>
  </si>
  <si>
    <t>External: I-15: Utah/Juab county line</t>
  </si>
  <si>
    <t>External:  South West Utah Co near Elberta</t>
  </si>
  <si>
    <t>External:  Hwy 6, Spanish Fork Canyon to Price</t>
  </si>
  <si>
    <t>External:  Provo Canyon to Heber/Park City</t>
  </si>
  <si>
    <t>External:  American Fork Canyon</t>
  </si>
  <si>
    <t>Internal zones, used</t>
  </si>
  <si>
    <t>Internal zones, unused (spares)</t>
  </si>
  <si>
    <t>Major Externals</t>
  </si>
  <si>
    <t>Former Externals</t>
  </si>
  <si>
    <t>Unmodeled zones (SE only)</t>
  </si>
  <si>
    <t>Region Separators</t>
  </si>
  <si>
    <t>Zero Data:  Great Salt Lake, Saltair</t>
  </si>
  <si>
    <t>Zero Data:  South east corner of I-80, Bangerter (Airport clear zone)</t>
  </si>
  <si>
    <t>Zero Data:  South of Copperton</t>
  </si>
  <si>
    <t>Zero Data:  Butterfield Canyon Area</t>
  </si>
  <si>
    <t>Zero Data:  Camp Williams, West side</t>
  </si>
  <si>
    <t>Other node ranges</t>
  </si>
  <si>
    <t>7201-9200</t>
  </si>
  <si>
    <t>MAG non-freeway</t>
  </si>
  <si>
    <t>MAG freeway</t>
  </si>
  <si>
    <t>11201-12000</t>
  </si>
  <si>
    <t>12500+</t>
  </si>
  <si>
    <t>Rail only nodes</t>
  </si>
  <si>
    <t>External:  I-15 from North Ogden</t>
  </si>
  <si>
    <t>Minor Externals</t>
  </si>
  <si>
    <t>201-269</t>
  </si>
  <si>
    <t>201-300</t>
  </si>
  <si>
    <t>270-299</t>
  </si>
  <si>
    <t>Unused: Area break</t>
  </si>
  <si>
    <t>301-350</t>
  </si>
  <si>
    <t>347-349</t>
  </si>
  <si>
    <t>351-1000</t>
  </si>
  <si>
    <t>968-990</t>
  </si>
  <si>
    <t>External:  I-80 at SR 201 Junction, Tooele</t>
  </si>
  <si>
    <t>External:  SR 201 at I-80 Junction, Tooele</t>
  </si>
  <si>
    <t>1001-1090</t>
  </si>
  <si>
    <t>1091-1099</t>
  </si>
  <si>
    <t>1100-1271</t>
  </si>
  <si>
    <t>1272-1299</t>
  </si>
  <si>
    <t>1300-1391</t>
  </si>
  <si>
    <t>1392-1399</t>
  </si>
  <si>
    <t>1400-1438</t>
  </si>
  <si>
    <t>1439-1479</t>
  </si>
  <si>
    <t>1488-1500</t>
  </si>
  <si>
    <t>8000-8027</t>
  </si>
  <si>
    <t>MAG maintains TAZ polygons in this range for areas outside model but in County.</t>
  </si>
  <si>
    <t>Landmarks</t>
  </si>
  <si>
    <t>Weber State University</t>
  </si>
  <si>
    <t>Westminster College</t>
  </si>
  <si>
    <t>SLCC-Jordan</t>
  </si>
  <si>
    <t>SLCC-Redwood</t>
  </si>
  <si>
    <t>UVSC</t>
  </si>
  <si>
    <t>BYU main campus</t>
  </si>
  <si>
    <t>LDS Church Office Building</t>
  </si>
  <si>
    <t>Airport</t>
  </si>
  <si>
    <t>Ogden Intermodal Center</t>
  </si>
  <si>
    <t>SL Intermodal Center</t>
  </si>
  <si>
    <t>Not used</t>
  </si>
  <si>
    <t xml:space="preserve"> * 886</t>
  </si>
  <si>
    <t xml:space="preserve"> * 400</t>
  </si>
  <si>
    <t>351-967</t>
  </si>
  <si>
    <t>1501-7200</t>
  </si>
  <si>
    <t>WFRC non-freeway</t>
  </si>
  <si>
    <t>9201-11200</t>
  </si>
  <si>
    <t>WFRC freeway</t>
  </si>
  <si>
    <t>Zone Ranges and Purposes,    Jan. 2003</t>
  </si>
  <si>
    <t>Box Elder</t>
  </si>
  <si>
    <t>Weber</t>
  </si>
  <si>
    <t>Davis</t>
  </si>
  <si>
    <t>Salt Lake</t>
  </si>
  <si>
    <t>Tooele (WFRC side)</t>
  </si>
  <si>
    <t>Utah</t>
  </si>
  <si>
    <t>Juab</t>
  </si>
  <si>
    <t>Tooele (MAG side)</t>
  </si>
  <si>
    <t>County Codes (Used in various spots)</t>
  </si>
  <si>
    <t>Note:  MAG also uses the same numbers for non-freeway nodes.</t>
  </si>
  <si>
    <t>Approx total internal zones</t>
  </si>
  <si>
    <t>Total external zones</t>
  </si>
  <si>
    <t>1001-1500</t>
  </si>
  <si>
    <t>External:  Payson Canyon</t>
  </si>
  <si>
    <t>External:  Hobble Creek Canyon (Springville)</t>
  </si>
  <si>
    <t>External:  Tooele Co near Cedar Fort</t>
  </si>
  <si>
    <t xml:space="preserve">Speed = </t>
  </si>
  <si>
    <t xml:space="preserve">Standard BPR:  </t>
  </si>
  <si>
    <t>TC[1]=BASE_TIME*(1 + 0.15*(V/C)^4)</t>
  </si>
  <si>
    <t>SpdC = SFF / (1+ coef*(V/C)^exp)</t>
  </si>
  <si>
    <t>Friction type</t>
  </si>
  <si>
    <t>FT, Funclass</t>
  </si>
  <si>
    <t>2  Principle Arterial</t>
  </si>
  <si>
    <t>3  Minor Arterial</t>
  </si>
  <si>
    <t>4,5,6  Collectors</t>
  </si>
  <si>
    <t>31 Fwy: lower capacity</t>
  </si>
  <si>
    <t>32 Fwy: higher capacity</t>
  </si>
  <si>
    <t>33 Fwy: CD roads</t>
  </si>
  <si>
    <t>34 Fwy: HOV lanes</t>
  </si>
  <si>
    <t>35 Fwy: Rural/High spd</t>
  </si>
  <si>
    <t>36 Fwy: On/Off ramp</t>
  </si>
  <si>
    <t>FT, Functional Type</t>
  </si>
  <si>
    <t>AT, Area Type</t>
  </si>
  <si>
    <t>3 Suburban</t>
  </si>
  <si>
    <t>1 High Friction</t>
  </si>
  <si>
    <t>3 Low Friction</t>
  </si>
  <si>
    <t>2 Med. Friction</t>
  </si>
  <si>
    <t>Heavy Vehicle Fhv</t>
  </si>
  <si>
    <t>Lane Utilization Flu</t>
  </si>
  <si>
    <t>Friction Type (non-HCM)</t>
  </si>
  <si>
    <t>g/C (estimated)</t>
  </si>
  <si>
    <t>Lanes</t>
  </si>
  <si>
    <t>Base Speed (NCHRP 387)</t>
  </si>
  <si>
    <t>"Low Friction" = Opposite low, generally good traffic engineering provided at intersections and access management appropriate to functional classification of road</t>
  </si>
  <si>
    <t>"High Friction" = lack of turn pockets, shoulders, high driveways/mi, use of dual left turns, no two-way-left-turn lane, etc</t>
  </si>
  <si>
    <t>37 Fwy: loop ramp</t>
  </si>
  <si>
    <t>37 Fwy: Loop ramp</t>
  </si>
  <si>
    <t>Signal/Stop Density (Estimated)</t>
  </si>
  <si>
    <t>P.Art</t>
  </si>
  <si>
    <t>M.Art</t>
  </si>
  <si>
    <t>Local</t>
  </si>
  <si>
    <t>CBD</t>
  </si>
  <si>
    <t>Transition</t>
  </si>
  <si>
    <t>1 Centroid / Local</t>
  </si>
  <si>
    <t>Required stops/mile due to signals or stop signs</t>
  </si>
  <si>
    <t xml:space="preserve">  by 1 mph to account for inability to pass.</t>
  </si>
  <si>
    <t>Sat. Flow Rate</t>
  </si>
  <si>
    <t>Bus Block Fbb</t>
  </si>
  <si>
    <t>* Note:  All capacities are multiplied by .90 if in CBD-like conditions (HCM)</t>
  </si>
  <si>
    <t>Unsignalized Speed</t>
  </si>
  <si>
    <t>Uncongested Delay per Stop (LOS B-C)</t>
  </si>
  <si>
    <t>Uncongested delay per stop - all types (Sec/veh between LOS B-C)</t>
  </si>
  <si>
    <t>All types</t>
  </si>
  <si>
    <t>* FT is a numeric code for functional type (class)</t>
  </si>
  <si>
    <t>Typical free flow speed</t>
  </si>
  <si>
    <t>Coeficient</t>
  </si>
  <si>
    <t>Exponent</t>
  </si>
  <si>
    <t>V/C</t>
  </si>
  <si>
    <t>1-2 Rur/Transition</t>
  </si>
  <si>
    <t>4 Urban</t>
  </si>
  <si>
    <t>5 CBD</t>
  </si>
  <si>
    <t>11-12 Multilane Hwy (P,M)</t>
  </si>
  <si>
    <t>21-23 Rural Hwy (P,M,C)</t>
  </si>
  <si>
    <t xml:space="preserve">* Speeds assume more than 1 lane per direction.  If just one lane, speeds are lowered </t>
  </si>
  <si>
    <t>11, 12 Multilane Hwy (P,M)</t>
  </si>
  <si>
    <t>Colleges</t>
  </si>
  <si>
    <t>Malls / Major Shopping</t>
  </si>
  <si>
    <t>Ogden DT Mall (to be rebuilt?)</t>
  </si>
  <si>
    <t>Newgate Mall</t>
  </si>
  <si>
    <t>Other</t>
  </si>
  <si>
    <t>215, 221</t>
  </si>
  <si>
    <t>HAFB C, HAFB S</t>
  </si>
  <si>
    <t>Freeport N, Freeport S</t>
  </si>
  <si>
    <t>242, 248</t>
  </si>
  <si>
    <t>Layton Mall, Walmart</t>
  </si>
  <si>
    <t>Lagoon</t>
  </si>
  <si>
    <t>Delta Center/Gateway Mall</t>
  </si>
  <si>
    <t>U of U main campus, Medical</t>
  </si>
  <si>
    <t>Sugarhouse retail</t>
  </si>
  <si>
    <t>Trolly Square</t>
  </si>
  <si>
    <t>Cottonwood Mall</t>
  </si>
  <si>
    <t>Fashion Place Mall</t>
  </si>
  <si>
    <t>Fort Union Area</t>
  </si>
  <si>
    <t>South Town Mall</t>
  </si>
  <si>
    <t>Valley Fair Mall</t>
  </si>
  <si>
    <t>Redwood/I-215 retail</t>
  </si>
  <si>
    <t>Jordan Landing</t>
  </si>
  <si>
    <t>Fwy</t>
  </si>
  <si>
    <t>Ramp</t>
  </si>
  <si>
    <t>9 Non-Fwy Urban interchange, cross-street</t>
  </si>
  <si>
    <t>10 Non-Fwy Urban interchange, major street</t>
  </si>
  <si>
    <t>All VDF's are of the standard BPR form, but vary in their parameters</t>
  </si>
  <si>
    <t>Compared</t>
  </si>
  <si>
    <t>Model version 3.x, 4.x</t>
  </si>
  <si>
    <t>Bng</t>
  </si>
  <si>
    <t>Art</t>
  </si>
  <si>
    <t>Free-flow speed methodology for Model V4.3 beta</t>
  </si>
  <si>
    <t>39 Fwy: Toll lanes</t>
  </si>
  <si>
    <t>38 Fwy: Managed Ln access</t>
  </si>
  <si>
    <t>* Any spacially unique SPDEXCEPT's found in the network are applied (if FT &lt; 31)</t>
  </si>
  <si>
    <t>* SFF = 1 / ((1 / unsignalized speed) + (Num stops per mile * Uncongested delay per V / 3600))</t>
  </si>
  <si>
    <t>41,-43 One-way couplets (P,M,C)</t>
  </si>
  <si>
    <t>Add 300 original fuctional type to account for extra green time obtained from simpler signals</t>
  </si>
  <si>
    <t>41-43 One-way couplet (P,M,C)</t>
  </si>
  <si>
    <t>Add 5 mph to average speed to reflect more green time and progression</t>
  </si>
  <si>
    <t>LOS E AWDT equiv.</t>
  </si>
  <si>
    <t>Compute capacity of freeway</t>
  </si>
  <si>
    <t>Base PCE</t>
  </si>
  <si>
    <t>PHF</t>
  </si>
  <si>
    <t>Fhv</t>
  </si>
  <si>
    <t>Aux lane</t>
  </si>
  <si>
    <t>Aux across regular lanes</t>
  </si>
  <si>
    <t>Example:  3-lane section + 1 aux</t>
  </si>
  <si>
    <t>Enter to net as 4</t>
  </si>
  <si>
    <t>Aux = 1</t>
  </si>
  <si>
    <t>In cap calc, say 3 base lanes is as above.  Then compute full capacity with all lanes, and divide by all lanes.</t>
  </si>
  <si>
    <t>Cap w/all reg lanes</t>
  </si>
  <si>
    <t>Cap including aux lane</t>
  </si>
  <si>
    <t>Cap/lane, when aux counted as lane</t>
  </si>
  <si>
    <t>Cap/lane, when aux  not counted as lane</t>
  </si>
  <si>
    <t>40 Fwy: Tollway</t>
  </si>
  <si>
    <t>22-24 Rural Hwy (P,M,C)</t>
  </si>
  <si>
    <t>42-44 One-way couplet (P,M,C)</t>
  </si>
  <si>
    <t>4 Major Collectors</t>
  </si>
  <si>
    <t>5 Minor Collectors</t>
  </si>
  <si>
    <t>1 Centroid</t>
  </si>
  <si>
    <t>36 Fwy: On ramp</t>
  </si>
  <si>
    <t>Rail nodes</t>
  </si>
  <si>
    <t>HOV</t>
  </si>
  <si>
    <t>Version 6.x</t>
  </si>
  <si>
    <t>Version 7.x beta</t>
  </si>
  <si>
    <t>Red is where the Max V/C is set (resulting in a speed floor, which is the red value)</t>
  </si>
  <si>
    <t>Miles</t>
  </si>
  <si>
    <t>Minutes spent on link</t>
  </si>
  <si>
    <t>11 High spd Multilane Hwy</t>
  </si>
  <si>
    <t>12-21  Unused</t>
  </si>
  <si>
    <t>6-8 Unused (USTM uses 7-8)</t>
  </si>
  <si>
    <t>29 Fwy: system-to-system loop ramp</t>
  </si>
  <si>
    <t>Same as 2,3,4, but factored by 1.05</t>
  </si>
  <si>
    <t>green / cycle, Fgrn</t>
  </si>
  <si>
    <t>Lane Utiliz. Flu</t>
  </si>
  <si>
    <t>Cap1hr1ln = _SatRate * Fhv * Fbb  * Flu * Fgrn * Fatype</t>
  </si>
  <si>
    <t>Rural</t>
  </si>
  <si>
    <t>Trans</t>
  </si>
  <si>
    <t>Sub.</t>
  </si>
  <si>
    <t>Urb.</t>
  </si>
  <si>
    <t>FT 2-5 is factored up or down by the following Fatype factors</t>
  </si>
  <si>
    <t>9 innovative intersection, cross-street</t>
  </si>
  <si>
    <t>Same as 2,3,4, but factored by 1.20 for better green time from reduced phases</t>
  </si>
  <si>
    <t>The base year calibrated network also has "CFAC07", which if not zero, will be multiplied by Cap1hr1ln</t>
  </si>
  <si>
    <t>CFAC &lt; 1 means the road has less capacity than normal (side friction, heavy cross streets, no center turn lane, single-left pockets, no right pockets, etc)</t>
  </si>
  <si>
    <t>CFAC &gt; 1 means the road has better capacity than normal (good access control, light cross streets, high-efficiency intersections, etc).</t>
  </si>
  <si>
    <t>* An internal calculation tries to detect the likelihood of protected lefts at an intersection, and reduces Fgrn by .05</t>
  </si>
  <si>
    <t>Sat.</t>
  </si>
  <si>
    <t>Fle</t>
  </si>
  <si>
    <t>Aux</t>
  </si>
  <si>
    <t>FT 31-32 capacities are reduced by "Lane Efficiency" factors (Fle)</t>
  </si>
  <si>
    <t>3-ln</t>
  </si>
  <si>
    <t>4-ln</t>
  </si>
  <si>
    <t>5-ln</t>
  </si>
  <si>
    <t>6-ln</t>
  </si>
  <si>
    <t>7+ln</t>
  </si>
  <si>
    <t>Fhv = 1/(1+ PCThv * (Ehv - 1))</t>
  </si>
  <si>
    <t>Ehv = 2.0 (Meaning a heavy vehicle has effect of 2 autos in urban areas)</t>
  </si>
  <si>
    <t>Non-freeway calculations &amp; adjustments</t>
  </si>
  <si>
    <t>Freeway calculations &amp; adjustments</t>
  </si>
  <si>
    <t>Cap1hr = (Sat * LANES * PHF * Fle * Fhv) + AuxVolAtCapacity   ;AuxVol = 0 for FT 31; 700 for FT 32</t>
  </si>
  <si>
    <t>Cap1hr1ln = Cap1hr / LANES  ;distributes AuxVolAtCapacity across the GP lanes</t>
  </si>
  <si>
    <t>Ln</t>
  </si>
  <si>
    <t>For Vlookup</t>
  </si>
  <si>
    <t>Cap1hr1ln</t>
  </si>
  <si>
    <t>Cap, x-sec</t>
  </si>
  <si>
    <t>How much of the daily volume is assumed to occur in the peak hour?</t>
  </si>
  <si>
    <t>Capacity of the section</t>
  </si>
  <si>
    <t>Components of the big calc</t>
  </si>
  <si>
    <t>FT 31</t>
  </si>
  <si>
    <t>FT 32</t>
  </si>
  <si>
    <t>Cap1hr</t>
  </si>
  <si>
    <t>Sat</t>
  </si>
  <si>
    <t>Sat Flow</t>
  </si>
  <si>
    <t>AWDT</t>
  </si>
  <si>
    <t>2-way AWDT</t>
  </si>
  <si>
    <t>35 Fwy: Rural/High spd (same as 31)</t>
  </si>
  <si>
    <t>Vlookup for ramp capacity</t>
  </si>
  <si>
    <t>37 Fwy: Off ramp (same as FT 2)</t>
  </si>
  <si>
    <t>Same as 34</t>
  </si>
  <si>
    <t>* V7.0 currently assumes 8% trucks on all FT 31-32, which makes Fhv = .925.</t>
  </si>
  <si>
    <t>* It is possible to connect this to a link attribute (PCThv by location), or to a truck model</t>
  </si>
  <si>
    <t>Fwy6</t>
  </si>
  <si>
    <t>Bng6</t>
  </si>
  <si>
    <t>Art6</t>
  </si>
  <si>
    <t>Coll6</t>
  </si>
  <si>
    <t>Ramp6</t>
  </si>
  <si>
    <t>Fwy7</t>
  </si>
  <si>
    <t>Bng7</t>
  </si>
  <si>
    <t>Art7</t>
  </si>
  <si>
    <t>Coll7</t>
  </si>
  <si>
    <t>Ramp7</t>
  </si>
  <si>
    <t>Note:  Hide any of the columns W-AK to remove some of these from view</t>
  </si>
  <si>
    <t>Version 7.0</t>
  </si>
  <si>
    <t>Version 6.1</t>
  </si>
  <si>
    <t>10 innovative intersection, primary st.</t>
  </si>
  <si>
    <t>Chart 1, Cap1hr1ln</t>
  </si>
  <si>
    <t>Chart 2, Cap1hr, all lanes</t>
  </si>
  <si>
    <t>Chart 3, AWDT both directions, all lanes</t>
  </si>
  <si>
    <t>Sat Flow, 100% efficient, PCE</t>
  </si>
  <si>
    <t>Actual Vehicles (not PCE)</t>
  </si>
  <si>
    <t>30 Fwy: Lower spd, higher access CD</t>
  </si>
  <si>
    <t>33 Fwy: High spd CD (same as 29)</t>
  </si>
  <si>
    <t>;20% more capacity than similar FT 2</t>
  </si>
  <si>
    <t>Same as FT 2, but 10% higher Fgrn</t>
  </si>
  <si>
    <t>Atype</t>
  </si>
  <si>
    <t>Vlookup for Areatype factor</t>
  </si>
  <si>
    <t>by small, then medium, then large district.</t>
  </si>
  <si>
    <t xml:space="preserve">Example: Zones 1-6 = DistSml 1; Zones 1-18 = </t>
  </si>
  <si>
    <t>MAG is not numbered this way yet.</t>
  </si>
  <si>
    <t>HOV and Managed Lanes</t>
  </si>
  <si>
    <t>WFRC nodes available for use in typical roadways</t>
  </si>
  <si>
    <t>MAG nodes available for use in typical roadways</t>
  </si>
  <si>
    <t>?</t>
  </si>
  <si>
    <t>3401 - ?</t>
  </si>
  <si>
    <t>1-283</t>
  </si>
  <si>
    <t>284-502</t>
  </si>
  <si>
    <t>503-1632</t>
  </si>
  <si>
    <t>Major External:  I-80 West to Tooele</t>
  </si>
  <si>
    <t>Major External:  I-15 North @ Box Elder Line</t>
  </si>
  <si>
    <t>Major External:  I-84 East to Morgan</t>
  </si>
  <si>
    <t>Minor External:  US 89 @ Box Elder Line</t>
  </si>
  <si>
    <t>Minor External:  North Ogden Pass</t>
  </si>
  <si>
    <t>Minor External:  Ogden Canyon</t>
  </si>
  <si>
    <t>Major External:  SR-201 West to Tooele</t>
  </si>
  <si>
    <t>Minor External:  Emigration Canyon</t>
  </si>
  <si>
    <t>Major External:  I-80 East to Park City</t>
  </si>
  <si>
    <t>Minor External:  Millcreek Canyon</t>
  </si>
  <si>
    <t>Minor External:  Big Cottonwood Canyon</t>
  </si>
  <si>
    <t>Minor External:  Little Cottonwood Canyon</t>
  </si>
  <si>
    <t>1633-2250</t>
  </si>
  <si>
    <t>Minor External:  American Fork Canyon</t>
  </si>
  <si>
    <t>Major External:  US-189, Provo Canyon to Heber</t>
  </si>
  <si>
    <t>Minor External:  Hobble Creek Canyon</t>
  </si>
  <si>
    <t>Major External:  US-6, SF Canyon to Price/Moab</t>
  </si>
  <si>
    <t>Minor External:  Payson Canyon</t>
  </si>
  <si>
    <t>Major External:  I-15 South @ Juab County Line</t>
  </si>
  <si>
    <t>Minor External:  US 6 West to Delta</t>
  </si>
  <si>
    <t>Minor External:  SR 73 West to Tooele</t>
  </si>
  <si>
    <t>Zone Numbering Method</t>
  </si>
  <si>
    <t>For WFRC, TAZs are sequentially numbered</t>
  </si>
  <si>
    <t>DistSml 1-3 AND DistMed 1; etc. for DistLrg.</t>
  </si>
  <si>
    <t>Ogden DT Mall area</t>
  </si>
  <si>
    <t>Gateway Mall</t>
  </si>
  <si>
    <t>Box Elder (2 externals)</t>
  </si>
  <si>
    <t>Morgan (1 external, I-84)</t>
  </si>
  <si>
    <t>Summit (1 external, I-80)</t>
  </si>
  <si>
    <t>Wasatch (1 external, Provo Canyon)</t>
  </si>
  <si>
    <t>Juab (1-external, I-15)</t>
  </si>
  <si>
    <t>Millard (1-external, US-6 to Delta)</t>
  </si>
  <si>
    <t>Tooele (3 externals, SR-72, SR-201, I-80)</t>
  </si>
  <si>
    <t>HAFB range</t>
  </si>
  <si>
    <t>1-2250</t>
  </si>
  <si>
    <t>2251-3400</t>
  </si>
  <si>
    <t>20000 - 20999</t>
  </si>
  <si>
    <t>21000 - 21999</t>
  </si>
  <si>
    <t>Weber County TAZs (283 total, 5 external)</t>
  </si>
  <si>
    <t>Davis County TAZs (218 total, 0 external)</t>
  </si>
  <si>
    <t>SL County TAZs (1129 total, 7 external)</t>
  </si>
  <si>
    <t>Utah County TAZs (617 total, 8 external)</t>
  </si>
  <si>
    <t>Other ranges?</t>
  </si>
  <si>
    <t>Used zones in V7</t>
  </si>
  <si>
    <t>Unused range (available for subregional modeling)</t>
  </si>
  <si>
    <t xml:space="preserve">Zone Ranges and Purposes,  Model version 7.0 </t>
  </si>
  <si>
    <t>921, 922</t>
  </si>
  <si>
    <t>UVU Main, West</t>
  </si>
  <si>
    <t>1924, 1925</t>
  </si>
  <si>
    <t>BYU, entire campus</t>
  </si>
  <si>
    <t>Other Zones of Interest</t>
  </si>
  <si>
    <t>LDS Business College, Triad</t>
  </si>
  <si>
    <t>American Fork mega-retail area</t>
  </si>
  <si>
    <t>University Mall</t>
  </si>
  <si>
    <t>Provo Towne Center</t>
  </si>
  <si>
    <t>Zones with Major Retail (not comprehensive)</t>
  </si>
  <si>
    <t>Riverdale Rd, Newgate Mall</t>
  </si>
  <si>
    <t>Temple Square, LDS Offices</t>
  </si>
  <si>
    <t>Free Flow Speed</t>
  </si>
  <si>
    <t>Speed by Area Type</t>
  </si>
  <si>
    <t>FT</t>
  </si>
  <si>
    <t>Functional Type</t>
  </si>
  <si>
    <t>CBD-Like</t>
  </si>
  <si>
    <t>Centroid Connector / Local</t>
  </si>
  <si>
    <t>Principle Arterial</t>
  </si>
  <si>
    <t>Minor Arterial</t>
  </si>
  <si>
    <t>Collectors</t>
  </si>
  <si>
    <t>Speed</t>
  </si>
  <si>
    <t>Multilane Hwy</t>
  </si>
  <si>
    <t>Rural Hwy</t>
  </si>
  <si>
    <t>Fwy: lower capacity</t>
  </si>
  <si>
    <t>Fwy: higher capacity</t>
  </si>
  <si>
    <t>Fwy: CD roads</t>
  </si>
  <si>
    <t>Fwy: HOV lanes</t>
  </si>
  <si>
    <t>Fwy: Rural/High spd</t>
  </si>
  <si>
    <t>Fwy: Toll lanes</t>
  </si>
  <si>
    <t>SFF = 1 / ((1 / unsignalized speed) + (Num stops per mile * Uncongested delay per V / 3600))</t>
  </si>
  <si>
    <t>Major Collector</t>
  </si>
  <si>
    <t>Minor Collector</t>
  </si>
  <si>
    <t>42-44</t>
  </si>
  <si>
    <t>One-way couplet (P,M,C)</t>
  </si>
  <si>
    <t>Innovative intersection, cross-street</t>
  </si>
  <si>
    <t>Innovative intersection, primary street</t>
  </si>
  <si>
    <t>Fwy: system-to-system loop ramp</t>
  </si>
  <si>
    <t>Fwy: Lower spd, higher access CD roads</t>
  </si>
  <si>
    <t>Fwy: On-ramp</t>
  </si>
  <si>
    <t>Fwy: Off-ramp</t>
  </si>
  <si>
    <t>Fwy: Managed Ln access</t>
  </si>
  <si>
    <t>Fwy: Tollway</t>
  </si>
  <si>
    <t>6-8, 12-21, 25-28, 41 - Unused (USTM uses 7-8)</t>
  </si>
  <si>
    <t>Loop ramps that are governed by a signal on one end are coded as FT 36 or 37, not 29</t>
  </si>
  <si>
    <t>Speeds are reduced by 1 mph if only 1-lane per direction to account for inability to pass</t>
  </si>
  <si>
    <t>Notes</t>
  </si>
  <si>
    <t>Mike test 7.0</t>
  </si>
  <si>
    <t>Rural Hwy - Minor Arterial</t>
  </si>
  <si>
    <t>Rural Hwy - Principal Arterial</t>
  </si>
  <si>
    <t>Rural Hwy - Collector</t>
  </si>
  <si>
    <t>Free Flow Speed Calulation</t>
  </si>
  <si>
    <t>(These do not vary by Area Type)</t>
  </si>
  <si>
    <t>Capacity Methodology for Model V6.0</t>
  </si>
  <si>
    <t xml:space="preserve"> </t>
  </si>
  <si>
    <t>v7.0 Capacity</t>
  </si>
  <si>
    <t>v6.0 Capacity</t>
  </si>
  <si>
    <t>Class</t>
  </si>
  <si>
    <t>% Diff.</t>
  </si>
  <si>
    <t>Title</t>
  </si>
  <si>
    <t>v7</t>
  </si>
  <si>
    <t>v6</t>
  </si>
  <si>
    <t>1 Lane Collector v6</t>
  </si>
  <si>
    <t>2 Lane Collector v6</t>
  </si>
  <si>
    <t>Area Type</t>
  </si>
  <si>
    <t>Principal Arterial</t>
  </si>
  <si>
    <t>New</t>
  </si>
  <si>
    <t>Old</t>
  </si>
  <si>
    <t>-</t>
  </si>
  <si>
    <t>Arterial/collector speeds are reduced by 1 mph if only 1-lane per direction to account for inability to pass</t>
  </si>
  <si>
    <t>Arterial/collector speeds are increased by 5% if one-way link</t>
  </si>
  <si>
    <t>(used in calculation of Equiv. AWDT)</t>
  </si>
  <si>
    <t>_SatRate</t>
  </si>
  <si>
    <t>Flu</t>
  </si>
  <si>
    <t>Fgrn</t>
  </si>
  <si>
    <t>1 lane</t>
  </si>
  <si>
    <t>2 lanes</t>
  </si>
  <si>
    <t>3 lanes</t>
  </si>
  <si>
    <t>Capacity per hour per lane</t>
  </si>
  <si>
    <t>Arterial / Expressway Capacity Calculation Parameters</t>
  </si>
  <si>
    <t>Freeway Capacity Calculation Parameters</t>
  </si>
  <si>
    <t>4 lanes</t>
  </si>
  <si>
    <t>5 lanes</t>
  </si>
  <si>
    <t>6 lanes</t>
  </si>
  <si>
    <t>7 lanes</t>
  </si>
  <si>
    <t>user specified</t>
  </si>
  <si>
    <t>Model assumes 8% trucks on all freeways, which makes Fhv = .925.</t>
  </si>
  <si>
    <t>CFAC &lt; 1 means the road has less capacity than normal (high side friction, no center turn lane, no right pockets, etc)</t>
  </si>
  <si>
    <t>CFAC &gt; 1 means the road has better capacity than normal (good access control, high-efficiency intersections, etc).</t>
  </si>
  <si>
    <t>Expressway, posted 60-70 mph</t>
  </si>
  <si>
    <t>Expressway, posted 55-65 mph</t>
  </si>
  <si>
    <t>Expressway, posted 50-60 mph</t>
  </si>
  <si>
    <t>Expressway, posted 45-55 mph</t>
  </si>
  <si>
    <t>The highway network also has "CFAC**" variable, which if not zero, will be multiplied by Cap1hr1ln</t>
  </si>
  <si>
    <t>Daily two-way capacity</t>
  </si>
  <si>
    <t>Arterial</t>
  </si>
  <si>
    <t>Collector</t>
  </si>
  <si>
    <t>Fbb values</t>
  </si>
  <si>
    <t>Expressway</t>
  </si>
  <si>
    <t>Fwy: Managed lane access</t>
  </si>
  <si>
    <t>Fwy: HOV lane</t>
  </si>
  <si>
    <t>Fwy: Managed lane</t>
  </si>
  <si>
    <t>Fwy: C-D road, flyover ramp</t>
  </si>
  <si>
    <t>* Capacity on one-way arterials/collectors increases by 20%</t>
  </si>
  <si>
    <t>Fwy: off ramp capacity is 10% higher than a minor arterial</t>
  </si>
  <si>
    <t>Fwy: posted 55-60 mph</t>
  </si>
  <si>
    <t>Fwy: posted 65 mph, aux lane</t>
  </si>
  <si>
    <t>Fwy: posted 65 mph, no aux lane</t>
  </si>
  <si>
    <t>Fwy: fwy-to-fwy loop ramp</t>
  </si>
  <si>
    <t>Unpaved</t>
  </si>
  <si>
    <t>Centroid Connector</t>
  </si>
  <si>
    <t>Fwy: posted 75 mph, aux lane</t>
  </si>
  <si>
    <t>Fwy: posted 75 mph, no aux lane</t>
  </si>
  <si>
    <t>Arterial &amp; collector capacities are adjusted up or down by 5% as area type moves away from suburban</t>
  </si>
  <si>
    <t>Volume Delay Curves by Functional Type</t>
  </si>
  <si>
    <t>Exp</t>
  </si>
  <si>
    <t>Typ FFS</t>
  </si>
  <si>
    <t>Max</t>
  </si>
  <si>
    <t>Max V/C ratio (to prevent speeds from getting unrealistically low during assignment)</t>
  </si>
  <si>
    <t>Speed &amp; Capacity Lookup Table</t>
  </si>
  <si>
    <t>Capacity v8</t>
  </si>
  <si>
    <t>Free Flow Speed v8</t>
  </si>
  <si>
    <t>Cap1hr, all lanes</t>
  </si>
  <si>
    <t>AWDT both directions, all lanes</t>
  </si>
  <si>
    <t>Col</t>
  </si>
  <si>
    <t>Volume Delay Function Parameters</t>
  </si>
  <si>
    <t>SPDAT1</t>
  </si>
  <si>
    <t>SPDAT2</t>
  </si>
  <si>
    <t>SPDAT3</t>
  </si>
  <si>
    <t>SPDAT4</t>
  </si>
  <si>
    <t>SPDAT5</t>
  </si>
  <si>
    <t>CAPLN1</t>
  </si>
  <si>
    <t>CAPLN2</t>
  </si>
  <si>
    <t>CAPLN3</t>
  </si>
  <si>
    <t>CAPLN4</t>
  </si>
  <si>
    <t>CAPLN5</t>
  </si>
  <si>
    <t>CAPLN6</t>
  </si>
  <si>
    <t>CAPLN7</t>
  </si>
  <si>
    <t>COEF</t>
  </si>
  <si>
    <t>EXP</t>
  </si>
  <si>
    <t>MAXVC</t>
  </si>
  <si>
    <t>NOTE</t>
  </si>
  <si>
    <t>Freeway</t>
  </si>
  <si>
    <t>Collector &amp; Local</t>
  </si>
  <si>
    <t>orig</t>
  </si>
  <si>
    <t>adj fac</t>
  </si>
  <si>
    <t>place holder</t>
  </si>
  <si>
    <t>Managed Freeway</t>
  </si>
  <si>
    <t>MM: fwy-to-fwy loop ramp</t>
  </si>
  <si>
    <t>MM: C-D road, flyover ramp</t>
  </si>
  <si>
    <t>MM: posted 55-60 mph</t>
  </si>
  <si>
    <t>MM: posted 65 mph, no aux lane</t>
  </si>
  <si>
    <t>MM: posted 65 mph, aux lane</t>
  </si>
  <si>
    <t>MM: posted 75 mph, no aux lane</t>
  </si>
  <si>
    <t>MM: posted 75 mph, aux lane</t>
  </si>
  <si>
    <t>MM: On-ramp</t>
  </si>
  <si>
    <t>MM: Off-ramp</t>
  </si>
  <si>
    <t>Model capacities are expressed as passenger vehicles per hour, thus no heavy vehicle adjustments are applied</t>
  </si>
  <si>
    <t>Capacity v8.1</t>
  </si>
  <si>
    <t>Free Flow Speed v8.1</t>
  </si>
  <si>
    <t>MM</t>
  </si>
  <si>
    <t>Volume Delay Function Curves v8.1</t>
  </si>
  <si>
    <t>MM: all facilities</t>
  </si>
  <si>
    <t>;FT</t>
  </si>
  <si>
    <t>;LINKCLASS</t>
  </si>
  <si>
    <t>Free Flow Speed Calculation</t>
  </si>
  <si>
    <t>Free Flow Speed v8.3</t>
  </si>
  <si>
    <t>Capacity v8.3</t>
  </si>
  <si>
    <t>Volume Delay Function Curves v8.3</t>
  </si>
  <si>
    <t>Update MM Capacity Based on VicRoads Capacity</t>
  </si>
  <si>
    <t>Cap1hr1ln = Saturation Flow Rate * Fgrn * Fbb  * Flu * Fatype</t>
  </si>
  <si>
    <t>Cap1hr = (Saturation Flow Rate * PHF * Flu * LANES) + AuxLaneCapacity</t>
  </si>
  <si>
    <r>
      <rPr>
        <b/>
        <sz val="10"/>
        <color rgb="FF00B050"/>
        <rFont val="Calibri"/>
        <family val="2"/>
        <scheme val="minor"/>
      </rPr>
      <t>Cap1hr1ln = Cap1hr / LANES</t>
    </r>
    <r>
      <rPr>
        <sz val="10"/>
        <color rgb="FFFF0000"/>
        <rFont val="Calibri"/>
        <family val="2"/>
        <scheme val="minor"/>
      </rPr>
      <t xml:space="preserve">    ;distributes AuxVolAtCapacity across the GP lanes</t>
    </r>
  </si>
  <si>
    <t>Note: Travel model adjusts capacities for truck volumes , thus no heavy vehicle adjustment (Fhv) are applied</t>
  </si>
  <si>
    <t>Current TDM assumes a bit too much capacity increase due to MM compared to VicRoads emperical data</t>
  </si>
  <si>
    <t>Note: Arterial &amp; collector capacities are adjusted up or down by 5% as area type moves away from suburban</t>
  </si>
  <si>
    <t>Change TDM MM Capacity to reflect 18% improvement instead of 21%</t>
  </si>
  <si>
    <t>Note: Fwy off ramp capacity is 10% higher than a minor arterial</t>
  </si>
  <si>
    <t>Calculate capacity per hour per lane</t>
  </si>
  <si>
    <t>Non-Managed Motorways</t>
  </si>
  <si>
    <t>Managed Motorways</t>
  </si>
  <si>
    <t>Difference</t>
  </si>
  <si>
    <t>% Difference</t>
  </si>
  <si>
    <t>VicRoads</t>
  </si>
  <si>
    <t>Description</t>
  </si>
  <si>
    <t>Travel Demand Model</t>
  </si>
  <si>
    <t>Typical Freeway</t>
  </si>
  <si>
    <t>TDM</t>
  </si>
  <si>
    <t>Bus Blockage Factors (Fbb) - Arterials</t>
  </si>
  <si>
    <t>Bus Blockage Factors (Fbb) - Expressways</t>
  </si>
  <si>
    <t>Lane Utilization Factor (Flu) - Arterials</t>
  </si>
  <si>
    <t>Lane Utilization Factor (Flu) - Expressways</t>
  </si>
  <si>
    <t>Saturation Flow Rate</t>
  </si>
  <si>
    <t>% Green Time Factor (Fgrn)</t>
  </si>
  <si>
    <t>Saturation Flow Rate w/ Fgrn</t>
  </si>
  <si>
    <t>Lane Utilization Factor (Flu)</t>
  </si>
  <si>
    <t>MM fac</t>
  </si>
  <si>
    <t>Theoritical Saturation Flow Rate</t>
  </si>
  <si>
    <t>Breakdown Saturation Flow Rate</t>
  </si>
  <si>
    <t xml:space="preserve"> Saturation Flow Rate wPHF</t>
  </si>
  <si>
    <t>MM Saturation Flow Rate</t>
  </si>
  <si>
    <t>Aux Lane Capacity</t>
  </si>
  <si>
    <t>Area Type Adjustment Factors</t>
  </si>
  <si>
    <t>(applied in travel model code)</t>
  </si>
  <si>
    <t>Check</t>
  </si>
  <si>
    <t>v832b</t>
  </si>
  <si>
    <t>v83x</t>
  </si>
  <si>
    <t>Capacity Lookup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</si>
</sst>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0.00000000000000000000000000000000000000"/>
    <numFmt numFmtId="166" formatCode="_(* #,##0_);_(* \(#,##0\);_(* &quot;-&quot;??_);_(@_)"/>
    <numFmt numFmtId="167" formatCode="0.0%"/>
    <numFmt numFmtId="168" formatCode="[$-409]mmmm\ d\,\ yyyy;@"/>
    <numFmt numFmtId="169" formatCode="_(* #,##0.000_);_(* \(#,##0.000\);_(* &quot;-&quot;??_);_(@_)"/>
    <numFmt numFmtId="170" formatCode="_(* #,##0.0_);_(* \(#,##0.0\);_(* &quot;-&quot;??_);_(@_)"/>
  </numFmts>
  <fonts count="76" x14ac:knownFonts="1">
    <font>
      <sz val="10"/>
      <name val="Arial"/>
    </font>
    <font>
      <sz val="11"/>
      <color theme="1"/>
      <name val="Calibri"/>
      <family val="2"/>
      <scheme val="minor"/>
    </font>
    <font>
      <sz val="10"/>
      <name val="Arial"/>
      <family val="2"/>
    </font>
    <font>
      <sz val="8"/>
      <name val="Arial"/>
      <family val="2"/>
    </font>
    <font>
      <b/>
      <sz val="10"/>
      <name val="Arial"/>
      <family val="2"/>
    </font>
    <font>
      <sz val="10"/>
      <name val="Arial"/>
      <family val="2"/>
    </font>
    <font>
      <b/>
      <sz val="10"/>
      <color indexed="10"/>
      <name val="Arial"/>
      <family val="2"/>
    </font>
    <font>
      <sz val="10"/>
      <color indexed="10"/>
      <name val="Arial"/>
      <family val="2"/>
    </font>
    <font>
      <sz val="8"/>
      <color indexed="81"/>
      <name val="Tahoma"/>
      <family val="2"/>
    </font>
    <font>
      <b/>
      <sz val="8"/>
      <color indexed="81"/>
      <name val="Tahoma"/>
      <family val="2"/>
    </font>
    <font>
      <sz val="10"/>
      <name val="Arial"/>
      <family val="2"/>
    </font>
    <font>
      <b/>
      <sz val="10"/>
      <color indexed="10"/>
      <name val="Arial"/>
      <family val="2"/>
    </font>
    <font>
      <b/>
      <sz val="10"/>
      <color indexed="60"/>
      <name val="Arial"/>
      <family val="2"/>
    </font>
    <font>
      <sz val="10"/>
      <color indexed="8"/>
      <name val="Arial"/>
      <family val="2"/>
    </font>
    <font>
      <b/>
      <sz val="10"/>
      <color indexed="9"/>
      <name val="Arial"/>
      <family val="2"/>
    </font>
    <font>
      <sz val="10"/>
      <color indexed="9"/>
      <name val="Arial"/>
      <family val="2"/>
    </font>
    <font>
      <b/>
      <sz val="18"/>
      <name val="Calibri"/>
      <family val="2"/>
    </font>
    <font>
      <sz val="10"/>
      <name val="Calibri"/>
      <family val="2"/>
    </font>
    <font>
      <b/>
      <sz val="10"/>
      <name val="Calibri"/>
      <family val="2"/>
    </font>
    <font>
      <sz val="10"/>
      <color indexed="12"/>
      <name val="Calibri"/>
      <family val="2"/>
    </font>
    <font>
      <b/>
      <u/>
      <sz val="10"/>
      <name val="Calibri"/>
      <family val="2"/>
    </font>
    <font>
      <sz val="9"/>
      <name val="Calibri"/>
      <family val="2"/>
    </font>
    <font>
      <b/>
      <sz val="12"/>
      <name val="Calibri"/>
      <family val="2"/>
    </font>
    <font>
      <sz val="10"/>
      <color indexed="23"/>
      <name val="Calibri"/>
      <family val="2"/>
    </font>
    <font>
      <b/>
      <u/>
      <sz val="11"/>
      <name val="Calibri"/>
      <family val="2"/>
    </font>
    <font>
      <b/>
      <sz val="10"/>
      <name val="Calibri"/>
      <family val="2"/>
      <scheme val="minor"/>
    </font>
    <font>
      <sz val="10"/>
      <name val="Calibri"/>
      <family val="2"/>
      <scheme val="minor"/>
    </font>
    <font>
      <sz val="10"/>
      <color rgb="FF0000FF"/>
      <name val="Calibri"/>
      <family val="2"/>
    </font>
    <font>
      <i/>
      <sz val="10"/>
      <name val="Calibri"/>
      <family val="2"/>
    </font>
    <font>
      <b/>
      <sz val="10"/>
      <color indexed="8"/>
      <name val="Calibri"/>
      <family val="2"/>
      <scheme val="minor"/>
    </font>
    <font>
      <b/>
      <sz val="18"/>
      <name val="Calibri"/>
      <family val="2"/>
      <scheme val="minor"/>
    </font>
    <font>
      <b/>
      <sz val="10"/>
      <color indexed="60"/>
      <name val="Calibri"/>
      <family val="2"/>
      <scheme val="minor"/>
    </font>
    <font>
      <sz val="10"/>
      <color rgb="FF0000FF"/>
      <name val="Calibri"/>
      <family val="2"/>
      <scheme val="minor"/>
    </font>
    <font>
      <b/>
      <sz val="20"/>
      <name val="Calibri"/>
      <family val="2"/>
    </font>
    <font>
      <b/>
      <sz val="10"/>
      <color indexed="10"/>
      <name val="Calibri"/>
      <family val="2"/>
    </font>
    <font>
      <sz val="10"/>
      <color theme="0" tint="-0.249977111117893"/>
      <name val="Calibri"/>
      <family val="2"/>
    </font>
    <font>
      <sz val="10"/>
      <color rgb="FFFF000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81"/>
      <name val="Tahoma"/>
      <family val="2"/>
    </font>
    <font>
      <sz val="10"/>
      <color rgb="FF0000FF"/>
      <name val="Arial"/>
      <family val="2"/>
    </font>
    <font>
      <b/>
      <sz val="12"/>
      <name val="Calibri"/>
      <family val="2"/>
      <scheme val="minor"/>
    </font>
    <font>
      <sz val="10"/>
      <color rgb="FFFF0000"/>
      <name val="Calibri"/>
      <family val="2"/>
      <scheme val="minor"/>
    </font>
    <font>
      <b/>
      <u/>
      <sz val="18"/>
      <name val="Calibri"/>
      <family val="2"/>
    </font>
    <font>
      <sz val="18"/>
      <name val="Arial"/>
      <family val="2"/>
    </font>
    <font>
      <sz val="18"/>
      <name val="Calibri"/>
      <family val="2"/>
      <scheme val="minor"/>
    </font>
    <font>
      <b/>
      <u/>
      <sz val="18"/>
      <color theme="1"/>
      <name val="Calibri"/>
      <family val="2"/>
      <scheme val="minor"/>
    </font>
    <font>
      <sz val="10"/>
      <color theme="1"/>
      <name val="Calibri"/>
      <family val="2"/>
      <scheme val="minor"/>
    </font>
    <font>
      <b/>
      <u/>
      <sz val="10"/>
      <color theme="1"/>
      <name val="Calibri"/>
      <family val="2"/>
      <scheme val="minor"/>
    </font>
    <font>
      <b/>
      <sz val="10"/>
      <color rgb="FF00B050"/>
      <name val="Calibri"/>
      <family val="2"/>
    </font>
    <font>
      <b/>
      <sz val="10"/>
      <color rgb="FF00B050"/>
      <name val="Calibri"/>
      <family val="2"/>
      <scheme val="minor"/>
    </font>
    <font>
      <i/>
      <sz val="10"/>
      <color rgb="FFFF0000"/>
      <name val="Calibri"/>
      <family val="2"/>
      <scheme val="minor"/>
    </font>
    <font>
      <b/>
      <sz val="10"/>
      <color rgb="FFFF0000"/>
      <name val="Calibri"/>
      <family val="2"/>
      <scheme val="minor"/>
    </font>
    <font>
      <b/>
      <u/>
      <sz val="10"/>
      <name val="Calibri"/>
      <family val="2"/>
      <scheme val="minor"/>
    </font>
    <font>
      <b/>
      <sz val="10"/>
      <color theme="1"/>
      <name val="Calibri"/>
      <family val="2"/>
      <scheme val="minor"/>
    </font>
    <font>
      <sz val="10"/>
      <color rgb="FF00B050"/>
      <name val="Calibri"/>
      <family val="2"/>
      <scheme val="minor"/>
    </font>
    <font>
      <i/>
      <sz val="10"/>
      <color theme="9" tint="-0.249977111117893"/>
      <name val="Calibri"/>
      <family val="2"/>
      <scheme val="minor"/>
    </font>
    <font>
      <b/>
      <u/>
      <sz val="10"/>
      <color theme="0" tint="-0.34998626667073579"/>
      <name val="Calibri"/>
      <family val="2"/>
      <scheme val="minor"/>
    </font>
    <font>
      <sz val="10"/>
      <color theme="0" tint="-0.34998626667073579"/>
      <name val="Calibri"/>
      <family val="2"/>
      <scheme val="minor"/>
    </font>
    <font>
      <b/>
      <sz val="10"/>
      <color theme="0" tint="-0.34998626667073579"/>
      <name val="Calibri"/>
      <family val="2"/>
      <scheme val="minor"/>
    </font>
    <font>
      <b/>
      <u/>
      <sz val="10"/>
      <name val="Arial"/>
      <family val="2"/>
    </font>
  </fonts>
  <fills count="56">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15"/>
        <bgColor indexed="64"/>
      </patternFill>
    </fill>
    <fill>
      <patternFill patternType="solid">
        <fgColor indexed="51"/>
        <bgColor indexed="64"/>
      </patternFill>
    </fill>
    <fill>
      <patternFill patternType="solid">
        <fgColor indexed="52"/>
        <bgColor indexed="64"/>
      </patternFill>
    </fill>
    <fill>
      <patternFill patternType="solid">
        <fgColor indexed="43"/>
        <bgColor indexed="64"/>
      </patternFill>
    </fill>
    <fill>
      <patternFill patternType="solid">
        <fgColor indexed="22"/>
        <bgColor indexed="64"/>
      </patternFill>
    </fill>
    <fill>
      <patternFill patternType="solid">
        <fgColor indexed="46"/>
        <bgColor indexed="64"/>
      </patternFill>
    </fill>
    <fill>
      <patternFill patternType="solid">
        <fgColor indexed="11"/>
        <bgColor indexed="64"/>
      </patternFill>
    </fill>
    <fill>
      <patternFill patternType="solid">
        <fgColor indexed="44"/>
        <bgColor indexed="64"/>
      </patternFill>
    </fill>
    <fill>
      <patternFill patternType="solid">
        <fgColor indexed="49"/>
        <bgColor indexed="64"/>
      </patternFill>
    </fill>
    <fill>
      <patternFill patternType="solid">
        <fgColor indexed="27"/>
        <bgColor indexed="64"/>
      </patternFill>
    </fill>
    <fill>
      <patternFill patternType="solid">
        <fgColor indexed="31"/>
        <bgColor indexed="64"/>
      </patternFill>
    </fill>
    <fill>
      <patternFill patternType="solid">
        <fgColor indexed="36"/>
        <bgColor indexed="64"/>
      </patternFill>
    </fill>
    <fill>
      <patternFill patternType="solid">
        <fgColor indexed="57"/>
        <bgColor indexed="64"/>
      </patternFill>
    </fill>
    <fill>
      <patternFill patternType="solid">
        <fgColor indexed="9"/>
        <bgColor indexed="64"/>
      </patternFill>
    </fill>
    <fill>
      <patternFill patternType="solid">
        <fgColor rgb="FFFFCC99"/>
        <bgColor indexed="64"/>
      </patternFill>
    </fill>
    <fill>
      <patternFill patternType="solid">
        <fgColor rgb="FFFFCC00"/>
        <bgColor indexed="64"/>
      </patternFill>
    </fill>
    <fill>
      <patternFill patternType="solid">
        <fgColor rgb="FFFF9900"/>
        <bgColor indexed="64"/>
      </patternFill>
    </fill>
    <fill>
      <patternFill patternType="solid">
        <fgColor theme="0"/>
        <bgColor indexed="64"/>
      </patternFill>
    </fill>
    <fill>
      <patternFill patternType="solid">
        <fgColor rgb="FFFFFF9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s>
  <borders count="30">
    <border>
      <left/>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23"/>
      </bottom>
      <diagonal/>
    </border>
    <border>
      <left/>
      <right style="thin">
        <color indexed="23"/>
      </right>
      <top/>
      <bottom style="thin">
        <color indexed="23"/>
      </bottom>
      <diagonal/>
    </border>
    <border>
      <left/>
      <right style="thin">
        <color indexed="23"/>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0">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37" fillId="26"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29" borderId="0" applyNumberFormat="0" applyBorder="0" applyAlignment="0" applyProtection="0"/>
    <xf numFmtId="0" fontId="37" fillId="32" borderId="0" applyNumberFormat="0" applyBorder="0" applyAlignment="0" applyProtection="0"/>
    <xf numFmtId="0" fontId="37" fillId="35" borderId="0" applyNumberFormat="0" applyBorder="0" applyAlignment="0" applyProtection="0"/>
    <xf numFmtId="0" fontId="38" fillId="36" borderId="0" applyNumberFormat="0" applyBorder="0" applyAlignment="0" applyProtection="0"/>
    <xf numFmtId="0" fontId="38" fillId="33" borderId="0" applyNumberFormat="0" applyBorder="0" applyAlignment="0" applyProtection="0"/>
    <xf numFmtId="0" fontId="38" fillId="34" borderId="0" applyNumberFormat="0" applyBorder="0" applyAlignment="0" applyProtection="0"/>
    <xf numFmtId="0" fontId="38" fillId="37"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37" borderId="0" applyNumberFormat="0" applyBorder="0" applyAlignment="0" applyProtection="0"/>
    <xf numFmtId="0" fontId="38" fillId="38" borderId="0" applyNumberFormat="0" applyBorder="0" applyAlignment="0" applyProtection="0"/>
    <xf numFmtId="0" fontId="38" fillId="43" borderId="0" applyNumberFormat="0" applyBorder="0" applyAlignment="0" applyProtection="0"/>
    <xf numFmtId="0" fontId="39" fillId="27" borderId="0" applyNumberFormat="0" applyBorder="0" applyAlignment="0" applyProtection="0"/>
    <xf numFmtId="0" fontId="40" fillId="44" borderId="21" applyNumberFormat="0" applyAlignment="0" applyProtection="0"/>
    <xf numFmtId="0" fontId="41" fillId="45" borderId="22" applyNumberFormat="0" applyAlignment="0" applyProtection="0"/>
    <xf numFmtId="0" fontId="42" fillId="0" borderId="0" applyNumberFormat="0" applyFill="0" applyBorder="0" applyAlignment="0" applyProtection="0"/>
    <xf numFmtId="0" fontId="43" fillId="28" borderId="0" applyNumberFormat="0" applyBorder="0" applyAlignment="0" applyProtection="0"/>
    <xf numFmtId="0" fontId="44" fillId="0" borderId="23" applyNumberFormat="0" applyFill="0" applyAlignment="0" applyProtection="0"/>
    <xf numFmtId="0" fontId="45" fillId="0" borderId="24" applyNumberFormat="0" applyFill="0" applyAlignment="0" applyProtection="0"/>
    <xf numFmtId="0" fontId="46" fillId="0" borderId="25" applyNumberFormat="0" applyFill="0" applyAlignment="0" applyProtection="0"/>
    <xf numFmtId="0" fontId="46" fillId="0" borderId="0" applyNumberFormat="0" applyFill="0" applyBorder="0" applyAlignment="0" applyProtection="0"/>
    <xf numFmtId="0" fontId="47" fillId="31" borderId="21" applyNumberFormat="0" applyAlignment="0" applyProtection="0"/>
    <xf numFmtId="0" fontId="48" fillId="0" borderId="26" applyNumberFormat="0" applyFill="0" applyAlignment="0" applyProtection="0"/>
    <xf numFmtId="0" fontId="49" fillId="46" borderId="0" applyNumberFormat="0" applyBorder="0" applyAlignment="0" applyProtection="0"/>
    <xf numFmtId="0" fontId="2" fillId="47" borderId="27" applyNumberFormat="0" applyFont="0" applyAlignment="0" applyProtection="0"/>
    <xf numFmtId="0" fontId="50" fillId="44" borderId="28" applyNumberFormat="0" applyAlignment="0" applyProtection="0"/>
    <xf numFmtId="0" fontId="51" fillId="0" borderId="0" applyNumberFormat="0" applyFill="0" applyBorder="0" applyAlignment="0" applyProtection="0"/>
    <xf numFmtId="0" fontId="52" fillId="0" borderId="29" applyNumberFormat="0" applyFill="0" applyAlignment="0" applyProtection="0"/>
    <xf numFmtId="0" fontId="53" fillId="0" borderId="0" applyNumberFormat="0" applyFill="0" applyBorder="0" applyAlignment="0" applyProtection="0"/>
    <xf numFmtId="0" fontId="2" fillId="0" borderId="0"/>
    <xf numFmtId="0" fontId="1" fillId="0" borderId="0"/>
    <xf numFmtId="43" fontId="2"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470">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xf>
    <xf numFmtId="0" fontId="0" fillId="5"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1" fontId="0" fillId="0" borderId="0" xfId="0" applyNumberFormat="1" applyAlignment="1">
      <alignment wrapText="1"/>
    </xf>
    <xf numFmtId="1" fontId="0" fillId="0" borderId="0" xfId="0" applyNumberFormat="1"/>
    <xf numFmtId="0" fontId="0" fillId="0" borderId="0" xfId="0" applyAlignment="1">
      <alignment horizontal="right"/>
    </xf>
    <xf numFmtId="0" fontId="0" fillId="0" borderId="0" xfId="0" applyAlignment="1">
      <alignment horizontal="left"/>
    </xf>
    <xf numFmtId="0" fontId="0" fillId="0" borderId="1" xfId="0" applyBorder="1"/>
    <xf numFmtId="0" fontId="0" fillId="5" borderId="1" xfId="0" applyFill="1" applyBorder="1"/>
    <xf numFmtId="0" fontId="0" fillId="4" borderId="1" xfId="0" applyFill="1" applyBorder="1"/>
    <xf numFmtId="0" fontId="0" fillId="9" borderId="1" xfId="0" applyFill="1" applyBorder="1" applyAlignment="1">
      <alignment horizontal="center"/>
    </xf>
    <xf numFmtId="0" fontId="0" fillId="6" borderId="1" xfId="0" applyFill="1" applyBorder="1"/>
    <xf numFmtId="0" fontId="0" fillId="7" borderId="1" xfId="0" applyFill="1" applyBorder="1"/>
    <xf numFmtId="0" fontId="0" fillId="3" borderId="1" xfId="0" applyFill="1" applyBorder="1"/>
    <xf numFmtId="0" fontId="4" fillId="0" borderId="0" xfId="0" applyFont="1"/>
    <xf numFmtId="0" fontId="4" fillId="0" borderId="0" xfId="0" applyFont="1" applyAlignment="1">
      <alignment horizontal="left"/>
    </xf>
    <xf numFmtId="0" fontId="0" fillId="10" borderId="0" xfId="0" applyFill="1" applyAlignment="1">
      <alignment horizontal="left"/>
    </xf>
    <xf numFmtId="0" fontId="4" fillId="10" borderId="0" xfId="0" applyFont="1" applyFill="1" applyAlignment="1">
      <alignment horizontal="left"/>
    </xf>
    <xf numFmtId="0" fontId="0" fillId="3" borderId="0" xfId="0" applyFill="1" applyAlignment="1">
      <alignment horizontal="left"/>
    </xf>
    <xf numFmtId="0" fontId="4" fillId="3" borderId="0" xfId="0" applyFont="1" applyFill="1" applyAlignment="1">
      <alignment horizontal="left"/>
    </xf>
    <xf numFmtId="0" fontId="4" fillId="7" borderId="0" xfId="0" applyFont="1" applyFill="1" applyAlignment="1">
      <alignment horizontal="left"/>
    </xf>
    <xf numFmtId="0" fontId="0" fillId="7" borderId="0" xfId="0" applyFill="1" applyAlignment="1">
      <alignment horizontal="left"/>
    </xf>
    <xf numFmtId="0" fontId="4" fillId="11" borderId="0" xfId="0" applyFont="1" applyFill="1" applyAlignment="1">
      <alignment horizontal="left"/>
    </xf>
    <xf numFmtId="0" fontId="0" fillId="11" borderId="0" xfId="0" applyFill="1" applyAlignment="1">
      <alignment horizontal="left"/>
    </xf>
    <xf numFmtId="0" fontId="4" fillId="12" borderId="0" xfId="0" applyFont="1" applyFill="1" applyAlignment="1">
      <alignment horizontal="left"/>
    </xf>
    <xf numFmtId="0" fontId="4" fillId="13" borderId="0" xfId="0" applyFont="1" applyFill="1" applyAlignment="1">
      <alignment horizontal="left"/>
    </xf>
    <xf numFmtId="0" fontId="0" fillId="13" borderId="0" xfId="0" applyFill="1" applyAlignment="1">
      <alignment horizontal="left"/>
    </xf>
    <xf numFmtId="0" fontId="4" fillId="8" borderId="0" xfId="0" applyFont="1" applyFill="1" applyAlignment="1">
      <alignment horizontal="left"/>
    </xf>
    <xf numFmtId="0" fontId="0" fillId="8" borderId="0" xfId="0" applyFill="1" applyAlignment="1">
      <alignment horizontal="left"/>
    </xf>
    <xf numFmtId="0" fontId="4" fillId="0" borderId="0" xfId="0" applyFont="1" applyAlignment="1">
      <alignment wrapText="1"/>
    </xf>
    <xf numFmtId="0" fontId="5" fillId="7" borderId="0" xfId="0" applyFont="1" applyFill="1" applyAlignment="1">
      <alignment horizontal="left"/>
    </xf>
    <xf numFmtId="0" fontId="4" fillId="0" borderId="0" xfId="0" quotePrefix="1" applyFont="1"/>
    <xf numFmtId="43" fontId="2" fillId="0" borderId="0" xfId="1"/>
    <xf numFmtId="2" fontId="0" fillId="0" borderId="0" xfId="0" applyNumberFormat="1"/>
    <xf numFmtId="0" fontId="0" fillId="12" borderId="1" xfId="0" applyFill="1" applyBorder="1"/>
    <xf numFmtId="1" fontId="0" fillId="0" borderId="0" xfId="0" applyNumberFormat="1" applyAlignment="1">
      <alignment vertical="top" wrapText="1"/>
    </xf>
    <xf numFmtId="164" fontId="0" fillId="0" borderId="0" xfId="0" applyNumberFormat="1"/>
    <xf numFmtId="0" fontId="0" fillId="12" borderId="0" xfId="0" applyFill="1"/>
    <xf numFmtId="0" fontId="0" fillId="0" borderId="2" xfId="0" applyBorder="1"/>
    <xf numFmtId="164" fontId="0" fillId="0" borderId="2" xfId="0" applyNumberFormat="1" applyBorder="1"/>
    <xf numFmtId="1" fontId="0" fillId="10" borderId="0" xfId="0" applyNumberFormat="1" applyFill="1"/>
    <xf numFmtId="0" fontId="0" fillId="14" borderId="1" xfId="0" applyFill="1" applyBorder="1"/>
    <xf numFmtId="164" fontId="0" fillId="0" borderId="1" xfId="0" applyNumberFormat="1" applyBorder="1"/>
    <xf numFmtId="1" fontId="0" fillId="0" borderId="0" xfId="0" applyNumberFormat="1" applyAlignment="1">
      <alignment horizontal="right" vertical="top" wrapText="1"/>
    </xf>
    <xf numFmtId="164" fontId="0" fillId="10" borderId="0" xfId="0" applyNumberFormat="1" applyFill="1"/>
    <xf numFmtId="164" fontId="0" fillId="10" borderId="1" xfId="0" applyNumberFormat="1" applyFill="1" applyBorder="1"/>
    <xf numFmtId="0" fontId="4" fillId="0" borderId="0" xfId="0" applyFont="1" applyAlignment="1">
      <alignment horizontal="right" wrapText="1"/>
    </xf>
    <xf numFmtId="3" fontId="0" fillId="0" borderId="0" xfId="0" applyNumberFormat="1" applyAlignment="1">
      <alignment horizontal="right"/>
    </xf>
    <xf numFmtId="3" fontId="0" fillId="0" borderId="0" xfId="0" applyNumberFormat="1"/>
    <xf numFmtId="0" fontId="4" fillId="0" borderId="0" xfId="0" applyFont="1" applyAlignment="1">
      <alignment horizontal="right"/>
    </xf>
    <xf numFmtId="165" fontId="0" fillId="0" borderId="0" xfId="0" applyNumberFormat="1"/>
    <xf numFmtId="43" fontId="0" fillId="0" borderId="0" xfId="1" applyFont="1" applyAlignment="1"/>
    <xf numFmtId="0" fontId="6" fillId="0" borderId="0" xfId="0" applyFont="1"/>
    <xf numFmtId="0" fontId="4" fillId="2" borderId="0" xfId="0" applyFont="1" applyFill="1"/>
    <xf numFmtId="0" fontId="7" fillId="0" borderId="0" xfId="0" applyFont="1"/>
    <xf numFmtId="0" fontId="5" fillId="0" borderId="0" xfId="0" applyFont="1"/>
    <xf numFmtId="0" fontId="3" fillId="0" borderId="0" xfId="0" applyFont="1" applyAlignment="1">
      <alignment horizontal="left" wrapText="1"/>
    </xf>
    <xf numFmtId="0" fontId="0" fillId="0" borderId="0" xfId="0" applyAlignment="1">
      <alignment horizontal="left" wrapText="1"/>
    </xf>
    <xf numFmtId="166" fontId="0" fillId="5" borderId="0" xfId="1" applyNumberFormat="1" applyFont="1" applyFill="1" applyAlignment="1">
      <alignment horizontal="center"/>
    </xf>
    <xf numFmtId="166" fontId="0" fillId="8" borderId="0" xfId="1" applyNumberFormat="1" applyFont="1" applyFill="1" applyAlignment="1">
      <alignment horizontal="center"/>
    </xf>
    <xf numFmtId="166" fontId="0" fillId="9" borderId="0" xfId="1" applyNumberFormat="1" applyFont="1" applyFill="1" applyAlignment="1">
      <alignment horizontal="center"/>
    </xf>
    <xf numFmtId="166" fontId="0" fillId="9" borderId="1" xfId="1" applyNumberFormat="1" applyFont="1" applyFill="1" applyBorder="1" applyAlignment="1">
      <alignment horizontal="center"/>
    </xf>
    <xf numFmtId="0" fontId="5" fillId="0" borderId="0" xfId="0" applyFont="1" applyAlignment="1">
      <alignment horizontal="right"/>
    </xf>
    <xf numFmtId="0" fontId="5" fillId="0" borderId="0" xfId="0" applyFont="1" applyAlignment="1">
      <alignment horizontal="center"/>
    </xf>
    <xf numFmtId="164" fontId="0" fillId="2" borderId="2" xfId="0" applyNumberFormat="1" applyFill="1" applyBorder="1"/>
    <xf numFmtId="164" fontId="0" fillId="2" borderId="0" xfId="0" applyNumberFormat="1" applyFill="1"/>
    <xf numFmtId="164" fontId="0" fillId="2" borderId="1" xfId="0" applyNumberFormat="1" applyFill="1" applyBorder="1"/>
    <xf numFmtId="0" fontId="5" fillId="3" borderId="0" xfId="0" applyFont="1" applyFill="1"/>
    <xf numFmtId="0" fontId="5" fillId="15" borderId="0" xfId="0" applyFont="1" applyFill="1"/>
    <xf numFmtId="0" fontId="0" fillId="15" borderId="0" xfId="0" applyFill="1"/>
    <xf numFmtId="0" fontId="5" fillId="16" borderId="0" xfId="0" applyFont="1" applyFill="1"/>
    <xf numFmtId="43" fontId="11" fillId="0" borderId="0" xfId="1" applyFont="1"/>
    <xf numFmtId="0" fontId="5" fillId="6" borderId="0" xfId="0" applyFont="1" applyFill="1"/>
    <xf numFmtId="1" fontId="0" fillId="0" borderId="0" xfId="0" applyNumberFormat="1" applyAlignment="1">
      <alignment horizontal="right"/>
    </xf>
    <xf numFmtId="0" fontId="5" fillId="13" borderId="0" xfId="0" applyFont="1" applyFill="1"/>
    <xf numFmtId="0" fontId="0" fillId="13" borderId="0" xfId="0" applyFill="1"/>
    <xf numFmtId="1" fontId="0" fillId="13" borderId="0" xfId="0" applyNumberFormat="1" applyFill="1" applyAlignment="1">
      <alignment horizontal="right"/>
    </xf>
    <xf numFmtId="0" fontId="0" fillId="13" borderId="0" xfId="0" applyFill="1" applyAlignment="1">
      <alignment horizontal="right"/>
    </xf>
    <xf numFmtId="2" fontId="0" fillId="13" borderId="0" xfId="0" applyNumberFormat="1" applyFill="1" applyAlignment="1">
      <alignment horizontal="right"/>
    </xf>
    <xf numFmtId="0" fontId="12" fillId="0" borderId="0" xfId="0" applyFont="1"/>
    <xf numFmtId="167" fontId="12" fillId="0" borderId="0" xfId="2" applyNumberFormat="1" applyFont="1"/>
    <xf numFmtId="166" fontId="0" fillId="0" borderId="0" xfId="1" applyNumberFormat="1" applyFont="1"/>
    <xf numFmtId="166" fontId="10" fillId="17" borderId="0" xfId="1" applyNumberFormat="1" applyFont="1" applyFill="1"/>
    <xf numFmtId="0" fontId="5" fillId="17" borderId="0" xfId="0" applyFont="1" applyFill="1"/>
    <xf numFmtId="0" fontId="5" fillId="3" borderId="1" xfId="0" applyFont="1" applyFill="1" applyBorder="1"/>
    <xf numFmtId="0" fontId="13" fillId="14" borderId="0" xfId="0" applyFont="1" applyFill="1" applyAlignment="1">
      <alignment wrapText="1"/>
    </xf>
    <xf numFmtId="0" fontId="5" fillId="14" borderId="0" xfId="0" applyFont="1" applyFill="1"/>
    <xf numFmtId="0" fontId="0" fillId="14" borderId="0" xfId="0" applyFill="1"/>
    <xf numFmtId="1" fontId="0" fillId="14" borderId="0" xfId="0" applyNumberFormat="1" applyFill="1"/>
    <xf numFmtId="166" fontId="0" fillId="10" borderId="0" xfId="1" applyNumberFormat="1" applyFont="1" applyFill="1"/>
    <xf numFmtId="166" fontId="0" fillId="0" borderId="0" xfId="0" applyNumberFormat="1"/>
    <xf numFmtId="1" fontId="5" fillId="0" borderId="0" xfId="0" applyNumberFormat="1" applyFont="1"/>
    <xf numFmtId="0" fontId="13" fillId="18" borderId="0" xfId="0" applyFont="1" applyFill="1" applyAlignment="1">
      <alignment wrapText="1"/>
    </xf>
    <xf numFmtId="1" fontId="0" fillId="18" borderId="0" xfId="0" applyNumberFormat="1" applyFill="1"/>
    <xf numFmtId="0" fontId="0" fillId="18" borderId="0" xfId="0" applyFill="1"/>
    <xf numFmtId="1" fontId="0" fillId="18" borderId="0" xfId="0" applyNumberFormat="1" applyFill="1" applyAlignment="1">
      <alignment horizontal="right"/>
    </xf>
    <xf numFmtId="0" fontId="0" fillId="18" borderId="0" xfId="0" applyFill="1" applyAlignment="1">
      <alignment horizontal="right"/>
    </xf>
    <xf numFmtId="2" fontId="0" fillId="18" borderId="0" xfId="0" applyNumberFormat="1" applyFill="1"/>
    <xf numFmtId="0" fontId="5" fillId="18" borderId="0" xfId="0" applyFont="1" applyFill="1"/>
    <xf numFmtId="0" fontId="0" fillId="18" borderId="0" xfId="0" applyFill="1" applyAlignment="1">
      <alignment horizontal="center"/>
    </xf>
    <xf numFmtId="0" fontId="14" fillId="19" borderId="0" xfId="0" applyFont="1" applyFill="1" applyAlignment="1">
      <alignment horizontal="left"/>
    </xf>
    <xf numFmtId="0" fontId="15" fillId="19" borderId="0" xfId="0" applyFont="1" applyFill="1"/>
    <xf numFmtId="0" fontId="14" fillId="19" borderId="0" xfId="0" applyFont="1" applyFill="1"/>
    <xf numFmtId="0" fontId="4" fillId="17" borderId="0" xfId="0" applyFont="1" applyFill="1" applyAlignment="1">
      <alignment horizontal="left"/>
    </xf>
    <xf numFmtId="0" fontId="0" fillId="0" borderId="3" xfId="0" applyBorder="1"/>
    <xf numFmtId="0" fontId="5" fillId="0" borderId="3" xfId="0" applyFont="1" applyBorder="1"/>
    <xf numFmtId="0" fontId="4" fillId="17" borderId="3" xfId="0" applyFont="1" applyFill="1" applyBorder="1"/>
    <xf numFmtId="0" fontId="4" fillId="0" borderId="0" xfId="0" applyFont="1" applyAlignment="1">
      <alignment horizontal="left" indent="1"/>
    </xf>
    <xf numFmtId="0" fontId="5" fillId="0" borderId="0" xfId="0" applyFont="1" applyAlignment="1">
      <alignment horizontal="left" indent="1"/>
    </xf>
    <xf numFmtId="0" fontId="0" fillId="0" borderId="0" xfId="0" applyAlignment="1">
      <alignment horizontal="left" indent="1"/>
    </xf>
    <xf numFmtId="17" fontId="4" fillId="0" borderId="0" xfId="0" quotePrefix="1" applyNumberFormat="1" applyFont="1" applyAlignment="1">
      <alignment horizontal="left"/>
    </xf>
    <xf numFmtId="168" fontId="14" fillId="19" borderId="0" xfId="0" applyNumberFormat="1" applyFont="1" applyFill="1"/>
    <xf numFmtId="3" fontId="5" fillId="0" borderId="0" xfId="0" applyNumberFormat="1" applyFont="1" applyAlignment="1">
      <alignment horizontal="right"/>
    </xf>
    <xf numFmtId="0" fontId="4" fillId="12" borderId="0" xfId="0" applyFont="1" applyFill="1" applyAlignment="1">
      <alignment horizontal="left" indent="1"/>
    </xf>
    <xf numFmtId="0" fontId="4" fillId="12" borderId="0" xfId="0" applyFont="1" applyFill="1"/>
    <xf numFmtId="0" fontId="17" fillId="20" borderId="0" xfId="0" applyFont="1" applyFill="1"/>
    <xf numFmtId="0" fontId="17" fillId="20" borderId="0" xfId="0" applyFont="1" applyFill="1" applyAlignment="1">
      <alignment horizontal="center"/>
    </xf>
    <xf numFmtId="0" fontId="18" fillId="20" borderId="0" xfId="0" applyFont="1" applyFill="1"/>
    <xf numFmtId="0" fontId="18" fillId="20" borderId="0" xfId="0" applyFont="1" applyFill="1" applyAlignment="1">
      <alignment horizontal="center"/>
    </xf>
    <xf numFmtId="0" fontId="18" fillId="20" borderId="0" xfId="0" applyFont="1" applyFill="1" applyAlignment="1">
      <alignment horizontal="center" wrapText="1"/>
    </xf>
    <xf numFmtId="164" fontId="19" fillId="20" borderId="0" xfId="0" applyNumberFormat="1" applyFont="1" applyFill="1" applyAlignment="1">
      <alignment horizontal="center"/>
    </xf>
    <xf numFmtId="0" fontId="17" fillId="20" borderId="0" xfId="0" quotePrefix="1" applyFont="1" applyFill="1" applyAlignment="1">
      <alignment horizontal="center"/>
    </xf>
    <xf numFmtId="164" fontId="17" fillId="20" borderId="0" xfId="0" applyNumberFormat="1" applyFont="1" applyFill="1" applyAlignment="1">
      <alignment horizontal="center"/>
    </xf>
    <xf numFmtId="1" fontId="17" fillId="20" borderId="0" xfId="0" applyNumberFormat="1" applyFont="1" applyFill="1" applyAlignment="1">
      <alignment horizontal="center"/>
    </xf>
    <xf numFmtId="0" fontId="17" fillId="20" borderId="0" xfId="0" applyFont="1" applyFill="1" applyAlignment="1">
      <alignment horizontal="right"/>
    </xf>
    <xf numFmtId="1" fontId="17" fillId="20" borderId="0" xfId="0" applyNumberFormat="1" applyFont="1" applyFill="1"/>
    <xf numFmtId="164" fontId="17" fillId="20" borderId="0" xfId="0" applyNumberFormat="1" applyFont="1" applyFill="1"/>
    <xf numFmtId="0" fontId="21" fillId="20" borderId="0" xfId="0" applyFont="1" applyFill="1"/>
    <xf numFmtId="0" fontId="17" fillId="20" borderId="0" xfId="0" applyFont="1" applyFill="1" applyAlignment="1">
      <alignment horizontal="left" indent="1"/>
    </xf>
    <xf numFmtId="164" fontId="18" fillId="20" borderId="0" xfId="0" applyNumberFormat="1" applyFont="1" applyFill="1" applyAlignment="1">
      <alignment horizontal="center"/>
    </xf>
    <xf numFmtId="0" fontId="18" fillId="20" borderId="0" xfId="0" applyFont="1" applyFill="1" applyAlignment="1">
      <alignment horizontal="right"/>
    </xf>
    <xf numFmtId="0" fontId="22" fillId="20" borderId="0" xfId="0" applyFont="1" applyFill="1"/>
    <xf numFmtId="164" fontId="23" fillId="20" borderId="0" xfId="0" applyNumberFormat="1" applyFont="1" applyFill="1" applyAlignment="1">
      <alignment horizontal="center"/>
    </xf>
    <xf numFmtId="0" fontId="17" fillId="20" borderId="0" xfId="0" applyFont="1" applyFill="1" applyAlignment="1">
      <alignment horizontal="left"/>
    </xf>
    <xf numFmtId="164" fontId="17" fillId="20" borderId="0" xfId="0" applyNumberFormat="1" applyFont="1" applyFill="1" applyAlignment="1">
      <alignment horizontal="left"/>
    </xf>
    <xf numFmtId="0" fontId="24" fillId="20" borderId="0" xfId="0" applyFont="1" applyFill="1" applyAlignment="1">
      <alignment horizontal="left"/>
    </xf>
    <xf numFmtId="1" fontId="17" fillId="0" borderId="0" xfId="0" applyNumberFormat="1" applyFont="1" applyAlignment="1">
      <alignment horizontal="center"/>
    </xf>
    <xf numFmtId="0" fontId="17" fillId="0" borderId="0" xfId="0" applyFont="1" applyAlignment="1">
      <alignment horizontal="center"/>
    </xf>
    <xf numFmtId="164" fontId="17" fillId="0" borderId="0" xfId="0" applyNumberFormat="1" applyFont="1"/>
    <xf numFmtId="0" fontId="17" fillId="0" borderId="0" xfId="0" applyFont="1"/>
    <xf numFmtId="0" fontId="2" fillId="0" borderId="0" xfId="0" applyFont="1"/>
    <xf numFmtId="9" fontId="0" fillId="0" borderId="0" xfId="2" applyFont="1"/>
    <xf numFmtId="9" fontId="0" fillId="0" borderId="1" xfId="2" applyFont="1" applyBorder="1"/>
    <xf numFmtId="9" fontId="0" fillId="4" borderId="0" xfId="2" applyFont="1" applyFill="1"/>
    <xf numFmtId="9" fontId="0" fillId="4" borderId="1" xfId="2" applyFont="1" applyFill="1" applyBorder="1"/>
    <xf numFmtId="0" fontId="25" fillId="0" borderId="1" xfId="0" applyFont="1" applyBorder="1" applyAlignment="1">
      <alignment horizontal="center" vertical="center"/>
    </xf>
    <xf numFmtId="0" fontId="25" fillId="0" borderId="5" xfId="0" applyFont="1" applyBorder="1" applyAlignment="1">
      <alignment horizontal="center" vertical="center"/>
    </xf>
    <xf numFmtId="0" fontId="25" fillId="0" borderId="15" xfId="0" applyFont="1" applyBorder="1" applyAlignment="1">
      <alignment horizontal="center" vertical="center"/>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0" xfId="0" applyFont="1" applyAlignment="1">
      <alignment horizontal="center" vertical="center"/>
    </xf>
    <xf numFmtId="0" fontId="26" fillId="5" borderId="6" xfId="0" applyFont="1" applyFill="1" applyBorder="1" applyAlignment="1">
      <alignment vertical="center"/>
    </xf>
    <xf numFmtId="0" fontId="26" fillId="5" borderId="6" xfId="0" applyFont="1" applyFill="1" applyBorder="1" applyAlignment="1">
      <alignment horizontal="center" vertical="center"/>
    </xf>
    <xf numFmtId="0" fontId="26" fillId="21" borderId="4" xfId="0" applyFont="1" applyFill="1" applyBorder="1" applyAlignment="1">
      <alignment horizontal="center" vertical="center"/>
    </xf>
    <xf numFmtId="166" fontId="26" fillId="21" borderId="4" xfId="1" applyNumberFormat="1" applyFont="1" applyFill="1" applyBorder="1" applyAlignment="1">
      <alignment vertical="center"/>
    </xf>
    <xf numFmtId="9" fontId="26" fillId="21" borderId="7" xfId="2" applyFont="1" applyFill="1" applyBorder="1" applyAlignment="1">
      <alignment vertical="center"/>
    </xf>
    <xf numFmtId="9" fontId="26" fillId="0" borderId="0" xfId="2" applyFont="1" applyAlignment="1">
      <alignment vertical="center"/>
    </xf>
    <xf numFmtId="0" fontId="26" fillId="5" borderId="8" xfId="0" applyFont="1" applyFill="1" applyBorder="1" applyAlignment="1">
      <alignment vertical="center"/>
    </xf>
    <xf numFmtId="0" fontId="26" fillId="5" borderId="8" xfId="0" applyFont="1" applyFill="1" applyBorder="1" applyAlignment="1">
      <alignment horizontal="center" vertical="center"/>
    </xf>
    <xf numFmtId="0" fontId="26" fillId="21" borderId="0" xfId="0" applyFont="1" applyFill="1" applyAlignment="1">
      <alignment horizontal="center" vertical="center"/>
    </xf>
    <xf numFmtId="166" fontId="26" fillId="21" borderId="0" xfId="1" applyNumberFormat="1" applyFont="1" applyFill="1" applyBorder="1" applyAlignment="1">
      <alignment vertical="center"/>
    </xf>
    <xf numFmtId="9" fontId="26" fillId="21" borderId="9" xfId="2" applyFont="1" applyFill="1" applyBorder="1" applyAlignment="1">
      <alignment vertical="center"/>
    </xf>
    <xf numFmtId="0" fontId="26" fillId="5" borderId="10" xfId="0" applyFont="1" applyFill="1" applyBorder="1" applyAlignment="1">
      <alignment vertical="center"/>
    </xf>
    <xf numFmtId="0" fontId="26" fillId="5" borderId="10" xfId="0" applyFont="1" applyFill="1" applyBorder="1" applyAlignment="1">
      <alignment horizontal="center" vertical="center"/>
    </xf>
    <xf numFmtId="0" fontId="26" fillId="21" borderId="1" xfId="0" applyFont="1" applyFill="1" applyBorder="1" applyAlignment="1">
      <alignment horizontal="center" vertical="center"/>
    </xf>
    <xf numFmtId="166" fontId="26" fillId="21" borderId="1" xfId="1" applyNumberFormat="1" applyFont="1" applyFill="1" applyBorder="1" applyAlignment="1">
      <alignment vertical="center"/>
    </xf>
    <xf numFmtId="9" fontId="26" fillId="21" borderId="11" xfId="2" applyFont="1" applyFill="1" applyBorder="1" applyAlignment="1">
      <alignment vertical="center"/>
    </xf>
    <xf numFmtId="9" fontId="26" fillId="0" borderId="1" xfId="2" applyFont="1" applyBorder="1" applyAlignment="1">
      <alignment vertical="center"/>
    </xf>
    <xf numFmtId="0" fontId="26" fillId="8" borderId="8" xfId="0" applyFont="1" applyFill="1" applyBorder="1" applyAlignment="1">
      <alignment horizontal="center" vertical="center"/>
    </xf>
    <xf numFmtId="0" fontId="26" fillId="22" borderId="0" xfId="0" applyFont="1" applyFill="1" applyAlignment="1">
      <alignment horizontal="center" vertical="center"/>
    </xf>
    <xf numFmtId="166" fontId="26" fillId="22" borderId="0" xfId="1" applyNumberFormat="1" applyFont="1" applyFill="1" applyBorder="1" applyAlignment="1">
      <alignment vertical="center"/>
    </xf>
    <xf numFmtId="9" fontId="26" fillId="22" borderId="9" xfId="2" applyFont="1" applyFill="1" applyBorder="1" applyAlignment="1">
      <alignment vertical="center"/>
    </xf>
    <xf numFmtId="0" fontId="26" fillId="8" borderId="10" xfId="0" applyFont="1" applyFill="1" applyBorder="1" applyAlignment="1">
      <alignment horizontal="center" vertical="center"/>
    </xf>
    <xf numFmtId="0" fontId="26" fillId="22" borderId="1" xfId="0" applyFont="1" applyFill="1" applyBorder="1" applyAlignment="1">
      <alignment horizontal="center" vertical="center"/>
    </xf>
    <xf numFmtId="166" fontId="26" fillId="22" borderId="1" xfId="1" applyNumberFormat="1" applyFont="1" applyFill="1" applyBorder="1" applyAlignment="1">
      <alignment vertical="center"/>
    </xf>
    <xf numFmtId="9" fontId="26" fillId="22" borderId="11" xfId="2" applyFont="1" applyFill="1" applyBorder="1" applyAlignment="1">
      <alignment vertical="center"/>
    </xf>
    <xf numFmtId="0" fontId="26" fillId="23" borderId="8" xfId="0" applyFont="1" applyFill="1" applyBorder="1" applyAlignment="1">
      <alignment horizontal="center" vertical="center"/>
    </xf>
    <xf numFmtId="0" fontId="26" fillId="23" borderId="0" xfId="0" applyFont="1" applyFill="1" applyAlignment="1">
      <alignment horizontal="center" vertical="center"/>
    </xf>
    <xf numFmtId="166" fontId="26" fillId="23" borderId="0" xfId="1" applyNumberFormat="1" applyFont="1" applyFill="1" applyBorder="1" applyAlignment="1">
      <alignment vertical="center"/>
    </xf>
    <xf numFmtId="9" fontId="26" fillId="23" borderId="9" xfId="2" applyFont="1" applyFill="1" applyBorder="1" applyAlignment="1">
      <alignment vertical="center"/>
    </xf>
    <xf numFmtId="0" fontId="26" fillId="0" borderId="1" xfId="0" applyFont="1" applyBorder="1" applyAlignment="1">
      <alignment horizontal="center" vertical="center"/>
    </xf>
    <xf numFmtId="0" fontId="26" fillId="23" borderId="10" xfId="0" applyFont="1" applyFill="1" applyBorder="1" applyAlignment="1">
      <alignment horizontal="center" vertical="center"/>
    </xf>
    <xf numFmtId="0" fontId="26" fillId="23" borderId="1" xfId="0" applyFont="1" applyFill="1" applyBorder="1" applyAlignment="1">
      <alignment horizontal="center" vertical="center"/>
    </xf>
    <xf numFmtId="166" fontId="26" fillId="23" borderId="1" xfId="1" applyNumberFormat="1" applyFont="1" applyFill="1" applyBorder="1" applyAlignment="1">
      <alignment vertical="center"/>
    </xf>
    <xf numFmtId="9" fontId="26" fillId="23" borderId="11" xfId="2" applyFont="1" applyFill="1" applyBorder="1" applyAlignment="1">
      <alignment vertical="center"/>
    </xf>
    <xf numFmtId="9" fontId="26" fillId="0" borderId="0" xfId="2" applyFont="1" applyBorder="1" applyAlignment="1">
      <alignment vertical="center"/>
    </xf>
    <xf numFmtId="0" fontId="26" fillId="6" borderId="12" xfId="0" applyFont="1" applyFill="1" applyBorder="1" applyAlignment="1">
      <alignment vertical="center"/>
    </xf>
    <xf numFmtId="9" fontId="26" fillId="0" borderId="4" xfId="2" applyFont="1" applyBorder="1" applyAlignment="1">
      <alignment vertical="center"/>
    </xf>
    <xf numFmtId="0" fontId="26" fillId="6" borderId="13" xfId="0" applyFont="1" applyFill="1" applyBorder="1" applyAlignment="1">
      <alignment vertical="center"/>
    </xf>
    <xf numFmtId="0" fontId="26" fillId="6" borderId="14" xfId="0" applyFont="1" applyFill="1" applyBorder="1" applyAlignment="1">
      <alignment vertical="center"/>
    </xf>
    <xf numFmtId="0" fontId="26" fillId="15" borderId="12" xfId="0" applyFont="1" applyFill="1" applyBorder="1" applyAlignment="1">
      <alignment vertical="center"/>
    </xf>
    <xf numFmtId="0" fontId="26" fillId="15" borderId="13" xfId="0" applyFont="1" applyFill="1" applyBorder="1" applyAlignment="1">
      <alignment vertical="center"/>
    </xf>
    <xf numFmtId="0" fontId="26" fillId="15" borderId="14" xfId="0" applyFont="1" applyFill="1" applyBorder="1" applyAlignment="1">
      <alignment vertical="center"/>
    </xf>
    <xf numFmtId="0" fontId="26" fillId="16" borderId="12" xfId="0" applyFont="1" applyFill="1" applyBorder="1" applyAlignment="1">
      <alignment vertical="center"/>
    </xf>
    <xf numFmtId="0" fontId="26" fillId="16" borderId="13" xfId="0" applyFont="1" applyFill="1" applyBorder="1" applyAlignment="1">
      <alignment vertical="center"/>
    </xf>
    <xf numFmtId="0" fontId="26" fillId="16" borderId="14" xfId="0" applyFont="1" applyFill="1" applyBorder="1" applyAlignment="1">
      <alignment vertical="center"/>
    </xf>
    <xf numFmtId="0" fontId="26" fillId="0" borderId="0" xfId="0" applyFont="1" applyAlignment="1">
      <alignment vertical="center"/>
    </xf>
    <xf numFmtId="1" fontId="17" fillId="24" borderId="0" xfId="0" applyNumberFormat="1" applyFont="1" applyFill="1" applyAlignment="1">
      <alignment horizontal="center"/>
    </xf>
    <xf numFmtId="164" fontId="17" fillId="24" borderId="0" xfId="0" applyNumberFormat="1" applyFont="1" applyFill="1" applyAlignment="1">
      <alignment horizontal="center"/>
    </xf>
    <xf numFmtId="1" fontId="17" fillId="25" borderId="0" xfId="0" applyNumberFormat="1" applyFont="1" applyFill="1" applyAlignment="1">
      <alignment horizontal="center"/>
    </xf>
    <xf numFmtId="164" fontId="17" fillId="0" borderId="0" xfId="0" applyNumberFormat="1" applyFont="1" applyAlignment="1">
      <alignment horizontal="center"/>
    </xf>
    <xf numFmtId="0" fontId="17" fillId="24" borderId="0" xfId="0" applyFont="1" applyFill="1" applyAlignment="1">
      <alignment horizontal="center"/>
    </xf>
    <xf numFmtId="1" fontId="19" fillId="20" borderId="0" xfId="0" applyNumberFormat="1" applyFont="1" applyFill="1" applyAlignment="1">
      <alignment horizontal="center"/>
    </xf>
    <xf numFmtId="1" fontId="27" fillId="20" borderId="0" xfId="0" applyNumberFormat="1" applyFont="1" applyFill="1" applyAlignment="1">
      <alignment horizontal="center"/>
    </xf>
    <xf numFmtId="166" fontId="25" fillId="24" borderId="0" xfId="1" applyNumberFormat="1" applyFont="1" applyFill="1" applyAlignment="1">
      <alignment horizontal="center" vertical="center"/>
    </xf>
    <xf numFmtId="166" fontId="26" fillId="24" borderId="0" xfId="0" applyNumberFormat="1" applyFont="1" applyFill="1" applyAlignment="1">
      <alignment vertical="center"/>
    </xf>
    <xf numFmtId="0" fontId="33" fillId="20" borderId="0" xfId="3" applyFont="1" applyFill="1"/>
    <xf numFmtId="0" fontId="17" fillId="20" borderId="0" xfId="3" applyFont="1" applyFill="1"/>
    <xf numFmtId="0" fontId="35" fillId="24" borderId="0" xfId="3" applyFont="1" applyFill="1" applyAlignment="1">
      <alignment horizontal="center"/>
    </xf>
    <xf numFmtId="0" fontId="35" fillId="24" borderId="0" xfId="3" quotePrefix="1" applyFont="1" applyFill="1" applyAlignment="1">
      <alignment horizontal="center"/>
    </xf>
    <xf numFmtId="0" fontId="35" fillId="20" borderId="0" xfId="3" applyFont="1" applyFill="1"/>
    <xf numFmtId="0" fontId="28" fillId="24" borderId="0" xfId="3" applyFont="1" applyFill="1"/>
    <xf numFmtId="0" fontId="36" fillId="24" borderId="0" xfId="3" quotePrefix="1" applyFont="1" applyFill="1" applyAlignment="1">
      <alignment horizontal="center"/>
    </xf>
    <xf numFmtId="0" fontId="35" fillId="20" borderId="18" xfId="3" applyFont="1" applyFill="1" applyBorder="1" applyAlignment="1">
      <alignment horizontal="center" wrapText="1"/>
    </xf>
    <xf numFmtId="0" fontId="17" fillId="20" borderId="19" xfId="3" applyFont="1" applyFill="1" applyBorder="1" applyAlignment="1">
      <alignment horizontal="center" wrapText="1"/>
    </xf>
    <xf numFmtId="0" fontId="17" fillId="20" borderId="18" xfId="3" applyFont="1" applyFill="1" applyBorder="1" applyAlignment="1">
      <alignment horizontal="center" wrapText="1"/>
    </xf>
    <xf numFmtId="170" fontId="35" fillId="20" borderId="0" xfId="1" applyNumberFormat="1" applyFont="1" applyFill="1"/>
    <xf numFmtId="0" fontId="17" fillId="20" borderId="0" xfId="3" applyFont="1" applyFill="1" applyAlignment="1">
      <alignment wrapText="1"/>
    </xf>
    <xf numFmtId="164" fontId="17" fillId="20" borderId="20" xfId="1" applyNumberFormat="1" applyFont="1" applyFill="1" applyBorder="1" applyAlignment="1">
      <alignment horizontal="center"/>
    </xf>
    <xf numFmtId="170" fontId="17" fillId="20" borderId="0" xfId="1" applyNumberFormat="1" applyFont="1" applyFill="1"/>
    <xf numFmtId="164" fontId="27" fillId="20" borderId="20" xfId="1" applyNumberFormat="1" applyFont="1" applyFill="1" applyBorder="1" applyAlignment="1">
      <alignment horizontal="center"/>
    </xf>
    <xf numFmtId="0" fontId="23" fillId="20" borderId="0" xfId="3" applyFont="1" applyFill="1"/>
    <xf numFmtId="0" fontId="17" fillId="20" borderId="0" xfId="3" applyFont="1" applyFill="1" applyAlignment="1">
      <alignment horizontal="right"/>
    </xf>
    <xf numFmtId="0" fontId="26" fillId="24" borderId="0" xfId="3" applyFont="1" applyFill="1"/>
    <xf numFmtId="1" fontId="36" fillId="20" borderId="0" xfId="0" applyNumberFormat="1" applyFont="1" applyFill="1" applyAlignment="1">
      <alignment horizontal="center"/>
    </xf>
    <xf numFmtId="0" fontId="36" fillId="20" borderId="0" xfId="0" applyFont="1" applyFill="1" applyAlignment="1">
      <alignment horizontal="center"/>
    </xf>
    <xf numFmtId="1" fontId="36" fillId="25" borderId="0" xfId="0" applyNumberFormat="1" applyFont="1" applyFill="1" applyAlignment="1">
      <alignment horizontal="center"/>
    </xf>
    <xf numFmtId="164" fontId="36" fillId="24" borderId="0" xfId="0" applyNumberFormat="1" applyFont="1" applyFill="1" applyAlignment="1">
      <alignment horizontal="center"/>
    </xf>
    <xf numFmtId="2" fontId="36" fillId="24" borderId="0" xfId="0" applyNumberFormat="1" applyFont="1" applyFill="1" applyAlignment="1">
      <alignment horizontal="center"/>
    </xf>
    <xf numFmtId="1" fontId="17" fillId="24" borderId="0" xfId="0" applyNumberFormat="1" applyFont="1" applyFill="1"/>
    <xf numFmtId="164" fontId="17" fillId="24" borderId="0" xfId="0" applyNumberFormat="1" applyFont="1" applyFill="1"/>
    <xf numFmtId="164" fontId="17" fillId="24" borderId="0" xfId="0" applyNumberFormat="1" applyFont="1" applyFill="1" applyAlignment="1">
      <alignment horizontal="left"/>
    </xf>
    <xf numFmtId="0" fontId="16" fillId="24" borderId="0" xfId="0" applyFont="1" applyFill="1"/>
    <xf numFmtId="0" fontId="18" fillId="24" borderId="0" xfId="0" applyFont="1" applyFill="1" applyAlignment="1">
      <alignment horizontal="center"/>
    </xf>
    <xf numFmtId="1" fontId="36" fillId="24" borderId="0" xfId="0" applyNumberFormat="1" applyFont="1" applyFill="1" applyAlignment="1">
      <alignment horizontal="center"/>
    </xf>
    <xf numFmtId="166" fontId="57" fillId="24" borderId="0" xfId="0" applyNumberFormat="1" applyFont="1" applyFill="1" applyAlignment="1">
      <alignment vertical="center"/>
    </xf>
    <xf numFmtId="0" fontId="17" fillId="24" borderId="0" xfId="0" quotePrefix="1" applyFont="1" applyFill="1" applyAlignment="1">
      <alignment horizontal="center"/>
    </xf>
    <xf numFmtId="0" fontId="24" fillId="24" borderId="0" xfId="0" applyFont="1" applyFill="1" applyAlignment="1">
      <alignment horizontal="left"/>
    </xf>
    <xf numFmtId="0" fontId="17" fillId="24" borderId="0" xfId="0" applyFont="1" applyFill="1" applyAlignment="1">
      <alignment horizontal="left" indent="1"/>
    </xf>
    <xf numFmtId="1" fontId="4" fillId="25" borderId="0" xfId="45" applyNumberFormat="1" applyFont="1" applyFill="1" applyAlignment="1">
      <alignment horizontal="center"/>
    </xf>
    <xf numFmtId="1" fontId="4" fillId="25" borderId="0" xfId="45" applyNumberFormat="1" applyFont="1" applyFill="1"/>
    <xf numFmtId="164" fontId="4" fillId="25" borderId="0" xfId="45" applyNumberFormat="1" applyFont="1" applyFill="1"/>
    <xf numFmtId="0" fontId="2" fillId="24" borderId="0" xfId="3" applyFill="1"/>
    <xf numFmtId="1" fontId="26" fillId="25" borderId="0" xfId="3" applyNumberFormat="1" applyFont="1" applyFill="1" applyAlignment="1">
      <alignment horizontal="center"/>
    </xf>
    <xf numFmtId="0" fontId="17" fillId="24" borderId="0" xfId="3" applyFont="1" applyFill="1"/>
    <xf numFmtId="0" fontId="34" fillId="24" borderId="0" xfId="3" applyFont="1" applyFill="1"/>
    <xf numFmtId="0" fontId="17" fillId="24" borderId="0" xfId="3" applyFont="1" applyFill="1" applyAlignment="1">
      <alignment horizontal="center"/>
    </xf>
    <xf numFmtId="0" fontId="36" fillId="24" borderId="0" xfId="3" applyFont="1" applyFill="1" applyAlignment="1">
      <alignment horizontal="center"/>
    </xf>
    <xf numFmtId="0" fontId="36" fillId="25" borderId="0" xfId="3" applyFont="1" applyFill="1" applyAlignment="1">
      <alignment horizontal="center"/>
    </xf>
    <xf numFmtId="0" fontId="36" fillId="25" borderId="0" xfId="3" quotePrefix="1" applyFont="1" applyFill="1" applyAlignment="1">
      <alignment horizontal="center"/>
    </xf>
    <xf numFmtId="2" fontId="36" fillId="25" borderId="0" xfId="3" quotePrefix="1" applyNumberFormat="1" applyFont="1" applyFill="1" applyAlignment="1">
      <alignment horizontal="center"/>
    </xf>
    <xf numFmtId="0" fontId="56" fillId="24" borderId="0" xfId="3" applyFont="1" applyFill="1"/>
    <xf numFmtId="1" fontId="32" fillId="25" borderId="0" xfId="3" applyNumberFormat="1" applyFont="1" applyFill="1" applyAlignment="1">
      <alignment horizontal="center"/>
    </xf>
    <xf numFmtId="1" fontId="2" fillId="25" borderId="0" xfId="45" applyNumberFormat="1" applyFill="1"/>
    <xf numFmtId="1" fontId="2" fillId="25" borderId="0" xfId="45" applyNumberFormat="1" applyFill="1" applyAlignment="1">
      <alignment horizontal="center"/>
    </xf>
    <xf numFmtId="164" fontId="55" fillId="25" borderId="0" xfId="45" applyNumberFormat="1" applyFont="1" applyFill="1" applyAlignment="1">
      <alignment horizontal="center"/>
    </xf>
    <xf numFmtId="2" fontId="55" fillId="25" borderId="0" xfId="45" applyNumberFormat="1" applyFont="1" applyFill="1" applyAlignment="1">
      <alignment horizontal="center"/>
    </xf>
    <xf numFmtId="0" fontId="30" fillId="24" borderId="0" xfId="0" applyFont="1" applyFill="1"/>
    <xf numFmtId="0" fontId="0" fillId="24" borderId="0" xfId="0" applyFill="1" applyAlignment="1">
      <alignment vertical="center"/>
    </xf>
    <xf numFmtId="0" fontId="25" fillId="24" borderId="0" xfId="0" applyFont="1" applyFill="1" applyAlignment="1">
      <alignment horizontal="center"/>
    </xf>
    <xf numFmtId="0" fontId="2" fillId="24" borderId="0" xfId="0" applyFont="1" applyFill="1" applyAlignment="1">
      <alignment vertical="center"/>
    </xf>
    <xf numFmtId="0" fontId="31" fillId="24" borderId="0" xfId="0" applyFont="1" applyFill="1" applyAlignment="1">
      <alignment vertical="center"/>
    </xf>
    <xf numFmtId="0" fontId="26" fillId="24" borderId="0" xfId="0" applyFont="1" applyFill="1" applyAlignment="1">
      <alignment vertical="center"/>
    </xf>
    <xf numFmtId="0" fontId="25" fillId="24" borderId="0" xfId="0" applyFont="1" applyFill="1" applyAlignment="1">
      <alignment horizontal="center" wrapText="1"/>
    </xf>
    <xf numFmtId="0" fontId="29" fillId="24" borderId="0" xfId="0" applyFont="1" applyFill="1" applyAlignment="1">
      <alignment vertical="center" wrapText="1"/>
    </xf>
    <xf numFmtId="167" fontId="31" fillId="24" borderId="0" xfId="2" applyNumberFormat="1" applyFont="1" applyFill="1" applyAlignment="1">
      <alignment vertical="center"/>
    </xf>
    <xf numFmtId="0" fontId="26" fillId="24" borderId="0" xfId="0" applyFont="1" applyFill="1" applyAlignment="1">
      <alignment horizontal="center" vertical="center"/>
    </xf>
    <xf numFmtId="0" fontId="17" fillId="24" borderId="0" xfId="0" applyFont="1" applyFill="1"/>
    <xf numFmtId="166" fontId="26" fillId="24" borderId="0" xfId="1" applyNumberFormat="1" applyFont="1" applyFill="1" applyAlignment="1">
      <alignment vertical="center"/>
    </xf>
    <xf numFmtId="1" fontId="0" fillId="24" borderId="0" xfId="0" applyNumberFormat="1" applyFill="1" applyAlignment="1">
      <alignment vertical="center"/>
    </xf>
    <xf numFmtId="0" fontId="0" fillId="24" borderId="0" xfId="0" applyFill="1" applyAlignment="1">
      <alignment horizontal="center" vertical="center"/>
    </xf>
    <xf numFmtId="0" fontId="25" fillId="24" borderId="0" xfId="0" applyFont="1" applyFill="1" applyAlignment="1">
      <alignment horizontal="center" vertical="center"/>
    </xf>
    <xf numFmtId="1" fontId="25" fillId="24" borderId="0" xfId="0" applyNumberFormat="1" applyFont="1" applyFill="1" applyAlignment="1">
      <alignment horizontal="center" vertical="center"/>
    </xf>
    <xf numFmtId="0" fontId="25" fillId="24" borderId="0" xfId="0" applyFont="1" applyFill="1" applyAlignment="1">
      <alignment vertical="center"/>
    </xf>
    <xf numFmtId="166" fontId="32" fillId="24" borderId="0" xfId="0" applyNumberFormat="1" applyFont="1" applyFill="1" applyAlignment="1">
      <alignment horizontal="center" vertical="center"/>
    </xf>
    <xf numFmtId="166" fontId="26" fillId="24" borderId="0" xfId="0" applyNumberFormat="1" applyFont="1" applyFill="1" applyAlignment="1">
      <alignment horizontal="center" vertical="center"/>
    </xf>
    <xf numFmtId="166" fontId="32" fillId="24" borderId="0" xfId="1" applyNumberFormat="1" applyFont="1" applyFill="1" applyAlignment="1">
      <alignment vertical="center"/>
    </xf>
    <xf numFmtId="166" fontId="57" fillId="24" borderId="0" xfId="0" applyNumberFormat="1" applyFont="1" applyFill="1" applyAlignment="1">
      <alignment horizontal="center" vertical="center"/>
    </xf>
    <xf numFmtId="0" fontId="28" fillId="24" borderId="0" xfId="0" applyFont="1" applyFill="1" applyAlignment="1">
      <alignment horizontal="left" indent="1"/>
    </xf>
    <xf numFmtId="1" fontId="26" fillId="24" borderId="0" xfId="0" applyNumberFormat="1" applyFont="1" applyFill="1" applyAlignment="1">
      <alignment vertical="center"/>
    </xf>
    <xf numFmtId="166" fontId="32" fillId="24" borderId="0" xfId="0" applyNumberFormat="1" applyFont="1" applyFill="1" applyAlignment="1">
      <alignment vertical="center"/>
    </xf>
    <xf numFmtId="166" fontId="55" fillId="24" borderId="0" xfId="0" applyNumberFormat="1" applyFont="1" applyFill="1" applyAlignment="1">
      <alignment vertical="center"/>
    </xf>
    <xf numFmtId="166" fontId="0" fillId="24" borderId="0" xfId="0" applyNumberFormat="1" applyFill="1" applyAlignment="1">
      <alignment vertical="center"/>
    </xf>
    <xf numFmtId="2" fontId="26" fillId="24" borderId="0" xfId="0" applyNumberFormat="1" applyFont="1" applyFill="1" applyAlignment="1">
      <alignment vertical="center"/>
    </xf>
    <xf numFmtId="0" fontId="5" fillId="24" borderId="0" xfId="0" applyFont="1" applyFill="1" applyAlignment="1">
      <alignment vertical="center"/>
    </xf>
    <xf numFmtId="0" fontId="4" fillId="24" borderId="0" xfId="0" applyFont="1" applyFill="1" applyAlignment="1">
      <alignment vertical="center"/>
    </xf>
    <xf numFmtId="166" fontId="0" fillId="24" borderId="0" xfId="1" applyNumberFormat="1" applyFont="1" applyFill="1" applyAlignment="1">
      <alignment vertical="center"/>
    </xf>
    <xf numFmtId="0" fontId="24" fillId="24" borderId="0" xfId="0" applyFont="1" applyFill="1" applyAlignment="1">
      <alignment horizontal="left" vertical="center"/>
    </xf>
    <xf numFmtId="0" fontId="26" fillId="24" borderId="0" xfId="0" applyFont="1" applyFill="1" applyAlignment="1">
      <alignment horizontal="left" vertical="center" indent="1"/>
    </xf>
    <xf numFmtId="2" fontId="26" fillId="24" borderId="0" xfId="0" applyNumberFormat="1" applyFont="1" applyFill="1" applyAlignment="1">
      <alignment horizontal="left" vertical="center" indent="1"/>
    </xf>
    <xf numFmtId="0" fontId="17" fillId="24" borderId="0" xfId="0" applyFont="1" applyFill="1" applyAlignment="1">
      <alignment horizontal="left" vertical="center" indent="1"/>
    </xf>
    <xf numFmtId="166" fontId="57" fillId="24" borderId="0" xfId="1" applyNumberFormat="1" applyFont="1" applyFill="1" applyAlignment="1">
      <alignment vertical="center"/>
    </xf>
    <xf numFmtId="43" fontId="57" fillId="24" borderId="0" xfId="1" applyFont="1" applyFill="1" applyAlignment="1">
      <alignment vertical="center"/>
    </xf>
    <xf numFmtId="43" fontId="26" fillId="24" borderId="0" xfId="1" applyFont="1" applyFill="1" applyAlignment="1">
      <alignment vertical="center"/>
    </xf>
    <xf numFmtId="43" fontId="25" fillId="24" borderId="0" xfId="1" applyFont="1" applyFill="1" applyAlignment="1">
      <alignment horizontal="center" vertical="center"/>
    </xf>
    <xf numFmtId="43" fontId="57" fillId="24" borderId="0" xfId="1" applyFont="1" applyFill="1" applyAlignment="1">
      <alignment horizontal="center" vertical="center"/>
    </xf>
    <xf numFmtId="1" fontId="26" fillId="24" borderId="0" xfId="0" applyNumberFormat="1" applyFont="1" applyFill="1" applyAlignment="1">
      <alignment horizontal="right" vertical="center"/>
    </xf>
    <xf numFmtId="169" fontId="57" fillId="24" borderId="0" xfId="1" applyNumberFormat="1" applyFont="1" applyFill="1" applyAlignment="1">
      <alignment vertical="center"/>
    </xf>
    <xf numFmtId="0" fontId="26" fillId="24" borderId="0" xfId="0" applyFont="1" applyFill="1" applyAlignment="1">
      <alignment horizontal="left" vertical="center"/>
    </xf>
    <xf numFmtId="0" fontId="5" fillId="24" borderId="0" xfId="0" applyFont="1" applyFill="1" applyAlignment="1">
      <alignment horizontal="center" vertical="center"/>
    </xf>
    <xf numFmtId="0" fontId="5" fillId="24" borderId="0" xfId="0" applyFont="1" applyFill="1" applyAlignment="1">
      <alignment horizontal="right" vertical="center"/>
    </xf>
    <xf numFmtId="0" fontId="0" fillId="24" borderId="0" xfId="0" applyFill="1" applyAlignment="1">
      <alignment horizontal="right" vertical="center"/>
    </xf>
    <xf numFmtId="0" fontId="5" fillId="24" borderId="0" xfId="0" applyFont="1" applyFill="1" applyAlignment="1">
      <alignment horizontal="left" vertical="center" wrapText="1"/>
    </xf>
    <xf numFmtId="0" fontId="57" fillId="48" borderId="0" xfId="0" applyFont="1" applyFill="1" applyAlignment="1">
      <alignment vertical="center"/>
    </xf>
    <xf numFmtId="0" fontId="2" fillId="24" borderId="0" xfId="0" applyFont="1" applyFill="1" applyAlignment="1">
      <alignment horizontal="center" vertical="center"/>
    </xf>
    <xf numFmtId="166" fontId="57" fillId="49" borderId="0" xfId="1" applyNumberFormat="1" applyFont="1" applyFill="1" applyAlignment="1">
      <alignment vertical="center"/>
    </xf>
    <xf numFmtId="166" fontId="26" fillId="24" borderId="0" xfId="1" applyNumberFormat="1" applyFont="1" applyFill="1" applyAlignment="1">
      <alignment horizontal="right" vertical="center"/>
    </xf>
    <xf numFmtId="0" fontId="17" fillId="25" borderId="0" xfId="3" applyFont="1" applyFill="1" applyAlignment="1">
      <alignment horizontal="center"/>
    </xf>
    <xf numFmtId="166" fontId="32" fillId="24" borderId="0" xfId="1" applyNumberFormat="1" applyFont="1" applyFill="1" applyAlignment="1">
      <alignment horizontal="center" vertical="center"/>
    </xf>
    <xf numFmtId="0" fontId="16" fillId="20" borderId="0" xfId="0" applyFont="1" applyFill="1"/>
    <xf numFmtId="166" fontId="57" fillId="0" borderId="0" xfId="1" applyNumberFormat="1" applyFont="1" applyFill="1" applyAlignment="1">
      <alignment vertical="center"/>
    </xf>
    <xf numFmtId="0" fontId="57" fillId="0" borderId="0" xfId="0" applyFont="1" applyAlignment="1">
      <alignment vertical="center"/>
    </xf>
    <xf numFmtId="1" fontId="19" fillId="50" borderId="0" xfId="0" applyNumberFormat="1" applyFont="1" applyFill="1" applyAlignment="1">
      <alignment horizontal="center"/>
    </xf>
    <xf numFmtId="0" fontId="58" fillId="49" borderId="0" xfId="3" applyFont="1" applyFill="1" applyAlignment="1">
      <alignment horizontal="left"/>
    </xf>
    <xf numFmtId="0" fontId="59" fillId="49" borderId="0" xfId="3" applyFont="1" applyFill="1"/>
    <xf numFmtId="0" fontId="60" fillId="49" borderId="0" xfId="3" applyFont="1" applyFill="1" applyAlignment="1">
      <alignment vertical="center"/>
    </xf>
    <xf numFmtId="0" fontId="60" fillId="49" borderId="0" xfId="3" applyFont="1" applyFill="1" applyAlignment="1">
      <alignment horizontal="center" vertical="center"/>
    </xf>
    <xf numFmtId="1" fontId="60" fillId="49" borderId="0" xfId="3" applyNumberFormat="1" applyFont="1" applyFill="1" applyAlignment="1">
      <alignment vertical="center"/>
    </xf>
    <xf numFmtId="0" fontId="30" fillId="51" borderId="0" xfId="3" applyFont="1" applyFill="1"/>
    <xf numFmtId="0" fontId="59" fillId="49" borderId="0" xfId="3" applyFont="1" applyFill="1" applyAlignment="1">
      <alignment vertical="center"/>
    </xf>
    <xf numFmtId="0" fontId="59" fillId="49" borderId="0" xfId="3" applyFont="1" applyFill="1" applyAlignment="1">
      <alignment horizontal="center" vertical="center"/>
    </xf>
    <xf numFmtId="1" fontId="59" fillId="49" borderId="0" xfId="3" applyNumberFormat="1" applyFont="1" applyFill="1" applyAlignment="1">
      <alignment vertical="center"/>
    </xf>
    <xf numFmtId="0" fontId="61" fillId="49" borderId="0" xfId="46" applyFont="1" applyFill="1"/>
    <xf numFmtId="0" fontId="59" fillId="51" borderId="0" xfId="3" applyFont="1" applyFill="1" applyAlignment="1">
      <alignment vertical="center"/>
    </xf>
    <xf numFmtId="0" fontId="2" fillId="49" borderId="0" xfId="3" applyFill="1" applyAlignment="1">
      <alignment horizontal="center"/>
    </xf>
    <xf numFmtId="0" fontId="2" fillId="49" borderId="0" xfId="3" applyFill="1"/>
    <xf numFmtId="0" fontId="26" fillId="49" borderId="0" xfId="3" applyFont="1" applyFill="1" applyAlignment="1">
      <alignment horizontal="left" vertical="center" indent="1"/>
    </xf>
    <xf numFmtId="2" fontId="26" fillId="49" borderId="0" xfId="3" applyNumberFormat="1" applyFont="1" applyFill="1" applyAlignment="1">
      <alignment horizontal="left" vertical="center" indent="1"/>
    </xf>
    <xf numFmtId="0" fontId="25" fillId="51" borderId="0" xfId="3" applyFont="1" applyFill="1" applyAlignment="1">
      <alignment horizontal="center"/>
    </xf>
    <xf numFmtId="0" fontId="57" fillId="49" borderId="0" xfId="3" applyFont="1" applyFill="1" applyAlignment="1">
      <alignment horizontal="left"/>
    </xf>
    <xf numFmtId="0" fontId="26" fillId="49" borderId="0" xfId="3" applyFont="1" applyFill="1" applyAlignment="1">
      <alignment vertical="center"/>
    </xf>
    <xf numFmtId="0" fontId="26" fillId="49" borderId="0" xfId="3" applyFont="1" applyFill="1" applyAlignment="1">
      <alignment horizontal="center" vertical="center"/>
    </xf>
    <xf numFmtId="0" fontId="2" fillId="49" borderId="0" xfId="3" applyFill="1" applyAlignment="1">
      <alignment vertical="center"/>
    </xf>
    <xf numFmtId="0" fontId="62" fillId="49" borderId="0" xfId="46" applyFont="1" applyFill="1"/>
    <xf numFmtId="0" fontId="63" fillId="49" borderId="0" xfId="46" applyFont="1" applyFill="1"/>
    <xf numFmtId="0" fontId="2" fillId="51" borderId="0" xfId="3" applyFill="1" applyAlignment="1">
      <alignment vertical="center"/>
    </xf>
    <xf numFmtId="0" fontId="64" fillId="49" borderId="0" xfId="3" applyFont="1" applyFill="1" applyAlignment="1">
      <alignment horizontal="left"/>
    </xf>
    <xf numFmtId="0" fontId="65" fillId="49" borderId="0" xfId="3" applyFont="1" applyFill="1" applyAlignment="1">
      <alignment horizontal="left"/>
    </xf>
    <xf numFmtId="1" fontId="26" fillId="49" borderId="0" xfId="3" applyNumberFormat="1" applyFont="1" applyFill="1" applyAlignment="1">
      <alignment horizontal="right" vertical="center"/>
    </xf>
    <xf numFmtId="1" fontId="26" fillId="49" borderId="0" xfId="3" applyNumberFormat="1" applyFont="1" applyFill="1" applyAlignment="1">
      <alignment vertical="center"/>
    </xf>
    <xf numFmtId="0" fontId="66" fillId="49" borderId="0" xfId="3" applyFont="1" applyFill="1" applyAlignment="1">
      <alignment horizontal="left"/>
    </xf>
    <xf numFmtId="0" fontId="26" fillId="49" borderId="0" xfId="3" applyFont="1" applyFill="1" applyAlignment="1">
      <alignment horizontal="left"/>
    </xf>
    <xf numFmtId="0" fontId="66" fillId="49" borderId="0" xfId="46" applyFont="1" applyFill="1"/>
    <xf numFmtId="0" fontId="2" fillId="49" borderId="0" xfId="3" applyFill="1" applyAlignment="1">
      <alignment horizontal="center" vertical="center"/>
    </xf>
    <xf numFmtId="1" fontId="2" fillId="49" borderId="0" xfId="3" applyNumberFormat="1" applyFill="1" applyAlignment="1">
      <alignment vertical="center"/>
    </xf>
    <xf numFmtId="0" fontId="67" fillId="49" borderId="0" xfId="46" applyFont="1" applyFill="1"/>
    <xf numFmtId="0" fontId="17" fillId="49" borderId="0" xfId="3" applyFont="1" applyFill="1" applyAlignment="1">
      <alignment horizontal="left"/>
    </xf>
    <xf numFmtId="0" fontId="26" fillId="49" borderId="0" xfId="3" applyFont="1" applyFill="1" applyAlignment="1">
      <alignment horizontal="center"/>
    </xf>
    <xf numFmtId="0" fontId="68" fillId="49" borderId="0" xfId="47" applyNumberFormat="1" applyFont="1" applyFill="1" applyAlignment="1">
      <alignment horizontal="left"/>
    </xf>
    <xf numFmtId="0" fontId="26" fillId="49" borderId="0" xfId="3" applyFont="1" applyFill="1"/>
    <xf numFmtId="0" fontId="69" fillId="49" borderId="1" xfId="46" applyFont="1" applyFill="1" applyBorder="1" applyAlignment="1">
      <alignment horizontal="center"/>
    </xf>
    <xf numFmtId="0" fontId="69" fillId="49" borderId="1" xfId="46" applyFont="1" applyFill="1" applyBorder="1" applyAlignment="1">
      <alignment horizontal="center" wrapText="1"/>
    </xf>
    <xf numFmtId="0" fontId="62" fillId="49" borderId="0" xfId="46" applyFont="1" applyFill="1" applyAlignment="1">
      <alignment horizontal="center"/>
    </xf>
    <xf numFmtId="0" fontId="25" fillId="49" borderId="0" xfId="3" applyFont="1" applyFill="1" applyAlignment="1">
      <alignment horizontal="center"/>
    </xf>
    <xf numFmtId="0" fontId="25" fillId="49" borderId="0" xfId="3" applyFont="1" applyFill="1"/>
    <xf numFmtId="0" fontId="25" fillId="49" borderId="0" xfId="3" applyFont="1" applyFill="1" applyAlignment="1">
      <alignment horizontal="center" vertical="center"/>
    </xf>
    <xf numFmtId="166" fontId="25" fillId="49" borderId="0" xfId="47" applyNumberFormat="1" applyFont="1" applyFill="1" applyAlignment="1">
      <alignment horizontal="center" vertical="center"/>
    </xf>
    <xf numFmtId="0" fontId="62" fillId="24" borderId="0" xfId="46" applyFont="1" applyFill="1" applyAlignment="1">
      <alignment horizontal="center"/>
    </xf>
    <xf numFmtId="3" fontId="57" fillId="24" borderId="0" xfId="46" applyNumberFormat="1" applyFont="1" applyFill="1" applyAlignment="1">
      <alignment horizontal="center"/>
    </xf>
    <xf numFmtId="3" fontId="62" fillId="24" borderId="0" xfId="46" applyNumberFormat="1" applyFont="1" applyFill="1" applyAlignment="1">
      <alignment horizontal="center"/>
    </xf>
    <xf numFmtId="9" fontId="62" fillId="52" borderId="0" xfId="48" applyFont="1" applyFill="1" applyAlignment="1">
      <alignment horizontal="center"/>
    </xf>
    <xf numFmtId="0" fontId="17" fillId="49" borderId="0" xfId="3" applyFont="1" applyFill="1"/>
    <xf numFmtId="3" fontId="57" fillId="52" borderId="0" xfId="3" applyNumberFormat="1" applyFont="1" applyFill="1" applyAlignment="1">
      <alignment horizontal="center" vertical="center"/>
    </xf>
    <xf numFmtId="3" fontId="26" fillId="52" borderId="0" xfId="3" applyNumberFormat="1" applyFont="1" applyFill="1" applyAlignment="1">
      <alignment horizontal="center" vertical="center"/>
    </xf>
    <xf numFmtId="0" fontId="17" fillId="49" borderId="0" xfId="3" quotePrefix="1" applyFont="1" applyFill="1" applyAlignment="1">
      <alignment horizontal="center"/>
    </xf>
    <xf numFmtId="3" fontId="26" fillId="52" borderId="0" xfId="47" applyNumberFormat="1" applyFont="1" applyFill="1" applyAlignment="1">
      <alignment horizontal="center" vertical="center"/>
    </xf>
    <xf numFmtId="3" fontId="70" fillId="52" borderId="0" xfId="3" applyNumberFormat="1" applyFont="1" applyFill="1" applyAlignment="1">
      <alignment horizontal="center" vertical="center"/>
    </xf>
    <xf numFmtId="3" fontId="70" fillId="52" borderId="0" xfId="47" applyNumberFormat="1" applyFont="1" applyFill="1" applyAlignment="1">
      <alignment horizontal="center" vertical="center"/>
    </xf>
    <xf numFmtId="0" fontId="62" fillId="24" borderId="0" xfId="46" applyFont="1" applyFill="1"/>
    <xf numFmtId="0" fontId="63" fillId="24" borderId="0" xfId="46" applyFont="1" applyFill="1"/>
    <xf numFmtId="3" fontId="71" fillId="52" borderId="0" xfId="3" applyNumberFormat="1" applyFont="1" applyFill="1" applyAlignment="1">
      <alignment horizontal="center" vertical="center"/>
    </xf>
    <xf numFmtId="9" fontId="62" fillId="53" borderId="0" xfId="48" applyFont="1" applyFill="1" applyAlignment="1">
      <alignment horizontal="center"/>
    </xf>
    <xf numFmtId="0" fontId="28" fillId="49" borderId="0" xfId="3" applyFont="1" applyFill="1" applyAlignment="1">
      <alignment horizontal="left"/>
    </xf>
    <xf numFmtId="3" fontId="26" fillId="49" borderId="0" xfId="3" applyNumberFormat="1" applyFont="1" applyFill="1" applyAlignment="1">
      <alignment horizontal="center" vertical="center"/>
    </xf>
    <xf numFmtId="3" fontId="26" fillId="49" borderId="0" xfId="47" applyNumberFormat="1" applyFont="1" applyFill="1" applyAlignment="1">
      <alignment horizontal="center" vertical="center"/>
    </xf>
    <xf numFmtId="3" fontId="2" fillId="49" borderId="0" xfId="3" applyNumberFormat="1" applyFill="1" applyAlignment="1">
      <alignment horizontal="center" vertical="center"/>
    </xf>
    <xf numFmtId="0" fontId="26" fillId="51" borderId="0" xfId="3" applyFont="1" applyFill="1" applyAlignment="1">
      <alignment vertical="center"/>
    </xf>
    <xf numFmtId="166" fontId="26" fillId="49" borderId="0" xfId="47" applyNumberFormat="1" applyFont="1" applyFill="1" applyAlignment="1">
      <alignment vertical="center"/>
    </xf>
    <xf numFmtId="0" fontId="26" fillId="49" borderId="1" xfId="3" applyFont="1" applyFill="1" applyBorder="1" applyAlignment="1">
      <alignment horizontal="center"/>
    </xf>
    <xf numFmtId="0" fontId="26" fillId="49" borderId="1" xfId="3" applyFont="1" applyFill="1" applyBorder="1"/>
    <xf numFmtId="3" fontId="70" fillId="52" borderId="1" xfId="3" applyNumberFormat="1" applyFont="1" applyFill="1" applyBorder="1" applyAlignment="1">
      <alignment horizontal="center" vertical="center"/>
    </xf>
    <xf numFmtId="0" fontId="72" fillId="49" borderId="0" xfId="46" applyFont="1" applyFill="1"/>
    <xf numFmtId="0" fontId="73" fillId="49" borderId="0" xfId="46" applyFont="1" applyFill="1"/>
    <xf numFmtId="43" fontId="26" fillId="49" borderId="0" xfId="47" applyFont="1" applyFill="1" applyAlignment="1">
      <alignment vertical="center"/>
    </xf>
    <xf numFmtId="0" fontId="74" fillId="49" borderId="0" xfId="46" applyFont="1" applyFill="1" applyAlignment="1">
      <alignment horizontal="center"/>
    </xf>
    <xf numFmtId="0" fontId="57" fillId="24" borderId="0" xfId="3" applyFont="1" applyFill="1" applyAlignment="1">
      <alignment horizontal="center" vertical="center"/>
    </xf>
    <xf numFmtId="2" fontId="57" fillId="49" borderId="0" xfId="47" applyNumberFormat="1" applyFont="1" applyFill="1" applyAlignment="1">
      <alignment horizontal="center" vertical="center"/>
    </xf>
    <xf numFmtId="0" fontId="73" fillId="24" borderId="0" xfId="46" applyFont="1" applyFill="1" applyAlignment="1">
      <alignment horizontal="center"/>
    </xf>
    <xf numFmtId="3" fontId="73" fillId="24" borderId="0" xfId="46" applyNumberFormat="1" applyFont="1" applyFill="1" applyAlignment="1">
      <alignment horizontal="center"/>
    </xf>
    <xf numFmtId="167" fontId="73" fillId="24" borderId="0" xfId="48" applyNumberFormat="1" applyFont="1" applyFill="1" applyAlignment="1">
      <alignment horizontal="center"/>
    </xf>
    <xf numFmtId="2" fontId="57" fillId="24" borderId="0" xfId="47" applyNumberFormat="1" applyFont="1" applyFill="1" applyAlignment="1">
      <alignment horizontal="center" vertical="center"/>
    </xf>
    <xf numFmtId="0" fontId="26" fillId="49" borderId="4" xfId="3" applyFont="1" applyFill="1" applyBorder="1" applyAlignment="1">
      <alignment horizontal="center"/>
    </xf>
    <xf numFmtId="0" fontId="26" fillId="49" borderId="4" xfId="3" applyFont="1" applyFill="1" applyBorder="1"/>
    <xf numFmtId="3" fontId="70" fillId="52" borderId="4" xfId="3" applyNumberFormat="1" applyFont="1" applyFill="1" applyBorder="1" applyAlignment="1">
      <alignment horizontal="center" vertical="center"/>
    </xf>
    <xf numFmtId="0" fontId="25" fillId="49" borderId="0" xfId="3" applyFont="1" applyFill="1" applyAlignment="1">
      <alignment horizontal="center" wrapText="1"/>
    </xf>
    <xf numFmtId="37" fontId="57" fillId="24" borderId="0" xfId="47" applyNumberFormat="1" applyFont="1" applyFill="1" applyAlignment="1">
      <alignment horizontal="center" vertical="center"/>
    </xf>
    <xf numFmtId="37" fontId="70" fillId="53" borderId="0" xfId="47" applyNumberFormat="1" applyFont="1" applyFill="1" applyAlignment="1">
      <alignment horizontal="center" vertical="center"/>
    </xf>
    <xf numFmtId="0" fontId="17" fillId="49" borderId="0" xfId="3" applyFont="1" applyFill="1" applyAlignment="1">
      <alignment horizontal="left" vertical="center" indent="1"/>
    </xf>
    <xf numFmtId="0" fontId="25" fillId="24" borderId="0" xfId="3" applyFont="1" applyFill="1" applyAlignment="1">
      <alignment horizontal="center" vertical="center"/>
    </xf>
    <xf numFmtId="0" fontId="2" fillId="51" borderId="0" xfId="3" applyFill="1" applyAlignment="1">
      <alignment horizontal="center"/>
    </xf>
    <xf numFmtId="0" fontId="2" fillId="51" borderId="0" xfId="3" applyFill="1"/>
    <xf numFmtId="0" fontId="2" fillId="51" borderId="0" xfId="3" applyFill="1" applyAlignment="1">
      <alignment horizontal="center" vertical="center"/>
    </xf>
    <xf numFmtId="1" fontId="2" fillId="51" borderId="0" xfId="3" applyNumberFormat="1" applyFill="1" applyAlignment="1">
      <alignment vertical="center"/>
    </xf>
    <xf numFmtId="1" fontId="25" fillId="49" borderId="0" xfId="3" applyNumberFormat="1" applyFont="1" applyFill="1" applyAlignment="1">
      <alignment horizontal="center" vertical="center"/>
    </xf>
    <xf numFmtId="37" fontId="70" fillId="24" borderId="0" xfId="47" applyNumberFormat="1" applyFont="1" applyFill="1" applyAlignment="1">
      <alignment horizontal="center" vertical="center"/>
    </xf>
    <xf numFmtId="37" fontId="26" fillId="53" borderId="0" xfId="47" applyNumberFormat="1" applyFont="1" applyFill="1" applyAlignment="1">
      <alignment horizontal="center" vertical="center"/>
    </xf>
    <xf numFmtId="0" fontId="57" fillId="53" borderId="0" xfId="47" applyNumberFormat="1" applyFont="1" applyFill="1" applyAlignment="1">
      <alignment horizontal="center" vertical="center"/>
    </xf>
    <xf numFmtId="37" fontId="57" fillId="24" borderId="1" xfId="47" applyNumberFormat="1" applyFont="1" applyFill="1" applyBorder="1" applyAlignment="1">
      <alignment horizontal="center" vertical="center"/>
    </xf>
    <xf numFmtId="37" fontId="70" fillId="24" borderId="1" xfId="47" applyNumberFormat="1" applyFont="1" applyFill="1" applyBorder="1" applyAlignment="1">
      <alignment horizontal="center" vertical="center"/>
    </xf>
    <xf numFmtId="37" fontId="70" fillId="53" borderId="1" xfId="47" applyNumberFormat="1" applyFont="1" applyFill="1" applyBorder="1" applyAlignment="1">
      <alignment horizontal="center" vertical="center"/>
    </xf>
    <xf numFmtId="37" fontId="26" fillId="53" borderId="1" xfId="47" applyNumberFormat="1" applyFont="1" applyFill="1" applyBorder="1" applyAlignment="1">
      <alignment horizontal="center" vertical="center"/>
    </xf>
    <xf numFmtId="0" fontId="57" fillId="53" borderId="1" xfId="47" applyNumberFormat="1" applyFont="1" applyFill="1" applyBorder="1" applyAlignment="1">
      <alignment horizontal="center" vertical="center"/>
    </xf>
    <xf numFmtId="2" fontId="26" fillId="51" borderId="0" xfId="3" applyNumberFormat="1" applyFont="1" applyFill="1" applyAlignment="1">
      <alignment horizontal="left" vertical="center" indent="1"/>
    </xf>
    <xf numFmtId="37" fontId="26" fillId="24" borderId="0" xfId="47" applyNumberFormat="1" applyFont="1" applyFill="1" applyAlignment="1">
      <alignment horizontal="center" vertical="center"/>
    </xf>
    <xf numFmtId="37" fontId="57" fillId="24" borderId="4" xfId="47" applyNumberFormat="1" applyFont="1" applyFill="1" applyBorder="1" applyAlignment="1">
      <alignment horizontal="center" vertical="center"/>
    </xf>
    <xf numFmtId="37" fontId="70" fillId="24" borderId="4" xfId="47" applyNumberFormat="1" applyFont="1" applyFill="1" applyBorder="1" applyAlignment="1">
      <alignment horizontal="center" vertical="center"/>
    </xf>
    <xf numFmtId="37" fontId="70" fillId="53" borderId="4" xfId="47" applyNumberFormat="1" applyFont="1" applyFill="1" applyBorder="1" applyAlignment="1">
      <alignment horizontal="center" vertical="center"/>
    </xf>
    <xf numFmtId="37" fontId="26" fillId="53" borderId="4" xfId="47" applyNumberFormat="1" applyFont="1" applyFill="1" applyBorder="1" applyAlignment="1">
      <alignment horizontal="center" vertical="center"/>
    </xf>
    <xf numFmtId="0" fontId="57" fillId="53" borderId="4" xfId="47" applyNumberFormat="1" applyFont="1" applyFill="1" applyBorder="1" applyAlignment="1">
      <alignment horizontal="center" vertical="center"/>
    </xf>
    <xf numFmtId="0" fontId="2" fillId="49" borderId="0" xfId="3" applyFill="1" applyAlignment="1">
      <alignment horizontal="left" wrapText="1"/>
    </xf>
    <xf numFmtId="0" fontId="2" fillId="49" borderId="0" xfId="3" applyFill="1" applyAlignment="1">
      <alignment horizontal="left" vertical="center" wrapText="1"/>
    </xf>
    <xf numFmtId="0" fontId="75" fillId="54" borderId="0" xfId="3" applyFont="1" applyFill="1"/>
    <xf numFmtId="0" fontId="2" fillId="54" borderId="0" xfId="3" applyFill="1"/>
    <xf numFmtId="0" fontId="2" fillId="54" borderId="0" xfId="3" applyFill="1" applyAlignment="1">
      <alignment vertical="center"/>
    </xf>
    <xf numFmtId="0" fontId="2" fillId="54" borderId="0" xfId="3" applyFill="1" applyAlignment="1">
      <alignment horizontal="center" vertical="center"/>
    </xf>
    <xf numFmtId="1" fontId="2" fillId="54" borderId="0" xfId="3" applyNumberFormat="1" applyFill="1" applyAlignment="1">
      <alignment vertical="center"/>
    </xf>
    <xf numFmtId="0" fontId="26" fillId="49" borderId="0" xfId="46" applyFont="1" applyFill="1" applyAlignment="1">
      <alignment horizontal="center" vertical="center"/>
    </xf>
    <xf numFmtId="0" fontId="26" fillId="49" borderId="0" xfId="46" applyFont="1" applyFill="1" applyAlignment="1">
      <alignment vertical="center"/>
    </xf>
    <xf numFmtId="166" fontId="26" fillId="49" borderId="0" xfId="49" applyNumberFormat="1" applyFont="1" applyFill="1" applyAlignment="1">
      <alignment vertical="center"/>
    </xf>
    <xf numFmtId="166" fontId="25" fillId="49" borderId="0" xfId="49" applyNumberFormat="1" applyFont="1" applyFill="1" applyAlignment="1">
      <alignment horizontal="center" vertical="center"/>
    </xf>
    <xf numFmtId="1" fontId="26" fillId="49" borderId="0" xfId="46" applyNumberFormat="1" applyFont="1" applyFill="1" applyAlignment="1">
      <alignment vertical="center"/>
    </xf>
    <xf numFmtId="0" fontId="25" fillId="49" borderId="0" xfId="46" applyFont="1" applyFill="1" applyAlignment="1">
      <alignment horizontal="center" vertical="center"/>
    </xf>
    <xf numFmtId="166" fontId="25" fillId="49" borderId="0" xfId="49" applyNumberFormat="1" applyFont="1" applyFill="1" applyBorder="1" applyAlignment="1">
      <alignment horizontal="center" vertical="center"/>
    </xf>
    <xf numFmtId="0" fontId="17" fillId="49" borderId="0" xfId="46" quotePrefix="1" applyFont="1" applyFill="1" applyAlignment="1">
      <alignment horizontal="center" vertical="center"/>
    </xf>
    <xf numFmtId="3" fontId="70" fillId="24" borderId="0" xfId="49" applyNumberFormat="1" applyFont="1" applyFill="1" applyBorder="1" applyAlignment="1">
      <alignment horizontal="center" vertical="center"/>
    </xf>
    <xf numFmtId="3" fontId="26" fillId="49" borderId="0" xfId="3" applyNumberFormat="1" applyFont="1" applyFill="1" applyAlignment="1">
      <alignment vertical="center"/>
    </xf>
    <xf numFmtId="9" fontId="62" fillId="49" borderId="0" xfId="48" applyFont="1" applyFill="1" applyAlignment="1">
      <alignment horizontal="center"/>
    </xf>
    <xf numFmtId="3" fontId="57" fillId="24" borderId="0" xfId="49" applyNumberFormat="1" applyFont="1" applyFill="1" applyBorder="1" applyAlignment="1">
      <alignment horizontal="center" vertical="center"/>
    </xf>
    <xf numFmtId="3" fontId="57" fillId="24" borderId="0" xfId="49" applyNumberFormat="1" applyFont="1" applyFill="1" applyBorder="1" applyAlignment="1">
      <alignment horizontal="center"/>
    </xf>
    <xf numFmtId="0" fontId="26" fillId="51" borderId="0" xfId="3" applyFont="1" applyFill="1" applyAlignment="1">
      <alignment horizontal="left" vertical="center"/>
    </xf>
    <xf numFmtId="3" fontId="26" fillId="24" borderId="0" xfId="49" applyNumberFormat="1" applyFont="1" applyFill="1" applyBorder="1" applyAlignment="1">
      <alignment horizontal="center" vertical="center"/>
    </xf>
    <xf numFmtId="0" fontId="2" fillId="51" borderId="0" xfId="3" applyFill="1" applyAlignment="1">
      <alignment horizontal="left" vertical="center" wrapText="1"/>
    </xf>
    <xf numFmtId="167" fontId="62" fillId="49" borderId="0" xfId="48" applyNumberFormat="1" applyFont="1" applyFill="1" applyAlignment="1">
      <alignment horizontal="center"/>
    </xf>
    <xf numFmtId="167" fontId="62" fillId="55" borderId="0" xfId="48" applyNumberFormat="1" applyFont="1" applyFill="1" applyAlignment="1">
      <alignment horizontal="center"/>
    </xf>
    <xf numFmtId="167" fontId="26" fillId="49" borderId="0" xfId="3" applyNumberFormat="1" applyFont="1" applyFill="1" applyAlignment="1">
      <alignment vertical="center"/>
    </xf>
    <xf numFmtId="0" fontId="2" fillId="51" borderId="0" xfId="3" applyFill="1" applyAlignment="1">
      <alignment horizontal="left" wrapText="1"/>
    </xf>
    <xf numFmtId="3" fontId="32" fillId="25" borderId="0" xfId="3" applyNumberFormat="1" applyFont="1" applyFill="1" applyAlignment="1">
      <alignment horizontal="center"/>
    </xf>
    <xf numFmtId="1" fontId="2" fillId="49" borderId="0" xfId="45" applyNumberFormat="1" applyFill="1" applyAlignment="1">
      <alignment horizontal="center"/>
    </xf>
    <xf numFmtId="0" fontId="26" fillId="51" borderId="0" xfId="3" applyFont="1" applyFill="1"/>
    <xf numFmtId="3" fontId="70" fillId="24" borderId="0" xfId="3" applyNumberFormat="1" applyFont="1" applyFill="1" applyAlignment="1">
      <alignment horizontal="center"/>
    </xf>
    <xf numFmtId="167" fontId="62" fillId="53" borderId="0" xfId="48" applyNumberFormat="1" applyFont="1" applyFill="1" applyAlignment="1">
      <alignment horizontal="center"/>
    </xf>
    <xf numFmtId="0" fontId="58" fillId="52" borderId="0" xfId="3" applyFont="1" applyFill="1" applyAlignment="1">
      <alignment horizontal="left"/>
    </xf>
    <xf numFmtId="1" fontId="4" fillId="52" borderId="0" xfId="45" applyNumberFormat="1" applyFont="1" applyFill="1" applyAlignment="1">
      <alignment horizontal="center"/>
    </xf>
    <xf numFmtId="0" fontId="18" fillId="20" borderId="0" xfId="0" applyFont="1" applyFill="1" applyAlignment="1">
      <alignment horizontal="center"/>
    </xf>
    <xf numFmtId="0" fontId="20" fillId="20" borderId="0" xfId="0" applyFont="1" applyFill="1" applyAlignment="1">
      <alignment horizontal="center"/>
    </xf>
    <xf numFmtId="0" fontId="16" fillId="20" borderId="0" xfId="0" applyFont="1" applyFill="1" applyAlignment="1">
      <alignment horizontal="center"/>
    </xf>
    <xf numFmtId="0" fontId="30" fillId="24" borderId="0" xfId="0" applyFont="1" applyFill="1" applyAlignment="1">
      <alignment horizontal="center"/>
    </xf>
    <xf numFmtId="0" fontId="5" fillId="24" borderId="0" xfId="0" applyFont="1" applyFill="1" applyAlignment="1">
      <alignment horizontal="left" vertical="center" wrapText="1"/>
    </xf>
    <xf numFmtId="0" fontId="5" fillId="0" borderId="0" xfId="0" applyFont="1" applyAlignment="1">
      <alignment horizontal="left" wrapText="1"/>
    </xf>
    <xf numFmtId="167" fontId="57" fillId="22" borderId="0" xfId="48" applyNumberFormat="1" applyFont="1" applyFill="1" applyAlignment="1">
      <alignment horizontal="center" vertical="center"/>
    </xf>
  </cellXfs>
  <cellStyles count="50">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Calculation 2" xfId="29" xr:uid="{00000000-0005-0000-0000-000019000000}"/>
    <cellStyle name="Check Cell 2" xfId="30" xr:uid="{00000000-0005-0000-0000-00001A000000}"/>
    <cellStyle name="Comma" xfId="1" builtinId="3"/>
    <cellStyle name="Comma 2" xfId="47" xr:uid="{D160C03D-3B03-4DBA-93D3-0BCB9B1236F2}"/>
    <cellStyle name="Comma 3" xfId="49" xr:uid="{35D00B66-9DF4-4167-9560-58A1CAFA667A}"/>
    <cellStyle name="Explanatory Text 2" xfId="31" xr:uid="{00000000-0005-0000-0000-00001C000000}"/>
    <cellStyle name="Good 2" xfId="32" xr:uid="{00000000-0005-0000-0000-00001D000000}"/>
    <cellStyle name="Heading 1 2" xfId="33" xr:uid="{00000000-0005-0000-0000-00001E000000}"/>
    <cellStyle name="Heading 2 2" xfId="34" xr:uid="{00000000-0005-0000-0000-00001F000000}"/>
    <cellStyle name="Heading 3 2" xfId="35" xr:uid="{00000000-0005-0000-0000-000020000000}"/>
    <cellStyle name="Heading 4 2" xfId="36" xr:uid="{00000000-0005-0000-0000-000021000000}"/>
    <cellStyle name="Input 2" xfId="37" xr:uid="{00000000-0005-0000-0000-000022000000}"/>
    <cellStyle name="Linked Cell 2" xfId="38" xr:uid="{00000000-0005-0000-0000-000023000000}"/>
    <cellStyle name="Neutral 2" xfId="39" xr:uid="{00000000-0005-0000-0000-000024000000}"/>
    <cellStyle name="Normal" xfId="0" builtinId="0"/>
    <cellStyle name="Normal 2" xfId="3" xr:uid="{00000000-0005-0000-0000-000026000000}"/>
    <cellStyle name="Normal 3" xfId="46" xr:uid="{5810F5D3-7B8E-4DA4-8DFB-367AA9FD0788}"/>
    <cellStyle name="Normal_Export" xfId="45" xr:uid="{00000000-0005-0000-0000-000027000000}"/>
    <cellStyle name="Note 2" xfId="40" xr:uid="{00000000-0005-0000-0000-000028000000}"/>
    <cellStyle name="Output 2" xfId="41" xr:uid="{00000000-0005-0000-0000-000029000000}"/>
    <cellStyle name="Percent" xfId="2" builtinId="5"/>
    <cellStyle name="Percent 2" xfId="48" xr:uid="{D4F49EE8-825A-4C97-9577-D19CE9B3B0A7}"/>
    <cellStyle name="Title 2" xfId="42" xr:uid="{00000000-0005-0000-0000-00002B000000}"/>
    <cellStyle name="Total 2" xfId="43" xr:uid="{00000000-0005-0000-0000-00002C000000}"/>
    <cellStyle name="Warning Text 2" xfId="44" xr:uid="{00000000-0005-0000-0000-00002D000000}"/>
  </cellStyles>
  <dxfs count="0"/>
  <tableStyles count="0" defaultTableStyle="TableStyleMedium9" defaultPivotStyle="PivotStyleLight16"/>
  <colors>
    <mruColors>
      <color rgb="FFFFFFCC"/>
      <color rgb="FFFFFF99"/>
      <color rgb="FFFF00FF"/>
      <color rgb="FF0000FF"/>
      <color rgb="FF008000"/>
      <color rgb="FFFF80FF"/>
      <color rgb="FF9933FF"/>
      <color rgb="FFFF9900"/>
      <color rgb="FFFFCC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 By Area Type</a:t>
            </a:r>
          </a:p>
        </c:rich>
      </c:tx>
      <c:layout>
        <c:manualLayout>
          <c:xMode val="edge"/>
          <c:yMode val="edge"/>
          <c:x val="0.2803712360162473"/>
          <c:y val="3.0935361536721821E-2"/>
        </c:manualLayout>
      </c:layout>
      <c:overlay val="0"/>
      <c:spPr>
        <a:noFill/>
        <a:ln w="25400">
          <a:noFill/>
        </a:ln>
      </c:spPr>
    </c:title>
    <c:autoTitleDeleted val="0"/>
    <c:plotArea>
      <c:layout>
        <c:manualLayout>
          <c:layoutTarget val="inner"/>
          <c:xMode val="edge"/>
          <c:yMode val="edge"/>
          <c:x val="8.5267525992475279E-2"/>
          <c:y val="0.147341205753245"/>
          <c:w val="0.88736035524372259"/>
          <c:h val="0.6693527820714692"/>
        </c:manualLayout>
      </c:layout>
      <c:lineChart>
        <c:grouping val="standard"/>
        <c:varyColors val="0"/>
        <c:ser>
          <c:idx val="1"/>
          <c:order val="0"/>
          <c:tx>
            <c:strRef>
              <c:f>'SFF 8.3'!$B$6</c:f>
              <c:strCache>
                <c:ptCount val="1"/>
                <c:pt idx="0">
                  <c:v>Principal Arterial</c:v>
                </c:pt>
              </c:strCache>
            </c:strRef>
          </c:tx>
          <c:spPr>
            <a:ln w="31750">
              <a:solidFill>
                <a:srgbClr val="FF0000"/>
              </a:solidFill>
              <a:prstDash val="solid"/>
            </a:ln>
          </c:spPr>
          <c:marker>
            <c:symbol val="square"/>
            <c:size val="7"/>
            <c:spPr>
              <a:noFill/>
              <a:ln w="19050">
                <a:solidFill>
                  <a:srgbClr val="FF0000"/>
                </a:solidFill>
                <a:prstDash val="solid"/>
              </a:ln>
            </c:spPr>
          </c:marker>
          <c:cat>
            <c:strRef>
              <c:f>'SFF 8.3'!$C$4:$G$4</c:f>
              <c:strCache>
                <c:ptCount val="5"/>
                <c:pt idx="0">
                  <c:v>Rural</c:v>
                </c:pt>
                <c:pt idx="1">
                  <c:v>Transition</c:v>
                </c:pt>
                <c:pt idx="2">
                  <c:v>Suburban</c:v>
                </c:pt>
                <c:pt idx="3">
                  <c:v>Urban</c:v>
                </c:pt>
                <c:pt idx="4">
                  <c:v>CBD-Like</c:v>
                </c:pt>
              </c:strCache>
            </c:strRef>
          </c:cat>
          <c:val>
            <c:numRef>
              <c:f>'SFF 8.3'!$C$6:$G$6</c:f>
              <c:numCache>
                <c:formatCode>0</c:formatCode>
                <c:ptCount val="5"/>
                <c:pt idx="0">
                  <c:v>58</c:v>
                </c:pt>
                <c:pt idx="1">
                  <c:v>47.710843373493979</c:v>
                </c:pt>
                <c:pt idx="2">
                  <c:v>38.297872340425535</c:v>
                </c:pt>
                <c:pt idx="3">
                  <c:v>32.223940109040605</c:v>
                </c:pt>
                <c:pt idx="4">
                  <c:v>24.347826086956523</c:v>
                </c:pt>
              </c:numCache>
            </c:numRef>
          </c:val>
          <c:smooth val="0"/>
          <c:extLst>
            <c:ext xmlns:c16="http://schemas.microsoft.com/office/drawing/2014/chart" uri="{C3380CC4-5D6E-409C-BE32-E72D297353CC}">
              <c16:uniqueId val="{00000000-A6CD-4665-923A-C75CC54998C9}"/>
            </c:ext>
          </c:extLst>
        </c:ser>
        <c:ser>
          <c:idx val="2"/>
          <c:order val="1"/>
          <c:tx>
            <c:strRef>
              <c:f>'SFF 8.3'!$B$7</c:f>
              <c:strCache>
                <c:ptCount val="1"/>
                <c:pt idx="0">
                  <c:v>Minor Arterial</c:v>
                </c:pt>
              </c:strCache>
            </c:strRef>
          </c:tx>
          <c:spPr>
            <a:ln w="31750">
              <a:solidFill>
                <a:srgbClr val="008000"/>
              </a:solidFill>
              <a:prstDash val="solid"/>
            </a:ln>
          </c:spPr>
          <c:marker>
            <c:symbol val="triangle"/>
            <c:size val="7"/>
            <c:spPr>
              <a:noFill/>
              <a:ln w="22225">
                <a:solidFill>
                  <a:srgbClr val="008000"/>
                </a:solidFill>
                <a:prstDash val="solid"/>
              </a:ln>
            </c:spPr>
          </c:marker>
          <c:cat>
            <c:strRef>
              <c:f>'SFF 8.3'!$C$4:$G$4</c:f>
              <c:strCache>
                <c:ptCount val="5"/>
                <c:pt idx="0">
                  <c:v>Rural</c:v>
                </c:pt>
                <c:pt idx="1">
                  <c:v>Transition</c:v>
                </c:pt>
                <c:pt idx="2">
                  <c:v>Suburban</c:v>
                </c:pt>
                <c:pt idx="3">
                  <c:v>Urban</c:v>
                </c:pt>
                <c:pt idx="4">
                  <c:v>CBD-Like</c:v>
                </c:pt>
              </c:strCache>
            </c:strRef>
          </c:cat>
          <c:val>
            <c:numRef>
              <c:f>'SFF 8.3'!$C$7:$G$7</c:f>
              <c:numCache>
                <c:formatCode>0</c:formatCode>
                <c:ptCount val="5"/>
                <c:pt idx="0">
                  <c:v>55</c:v>
                </c:pt>
                <c:pt idx="1">
                  <c:v>42.739726027397261</c:v>
                </c:pt>
                <c:pt idx="2">
                  <c:v>34.750462107208875</c:v>
                </c:pt>
                <c:pt idx="3">
                  <c:v>30.120940138434623</c:v>
                </c:pt>
                <c:pt idx="4">
                  <c:v>21.290322580645164</c:v>
                </c:pt>
              </c:numCache>
            </c:numRef>
          </c:val>
          <c:smooth val="0"/>
          <c:extLst>
            <c:ext xmlns:c16="http://schemas.microsoft.com/office/drawing/2014/chart" uri="{C3380CC4-5D6E-409C-BE32-E72D297353CC}">
              <c16:uniqueId val="{00000001-A6CD-4665-923A-C75CC54998C9}"/>
            </c:ext>
          </c:extLst>
        </c:ser>
        <c:ser>
          <c:idx val="3"/>
          <c:order val="2"/>
          <c:tx>
            <c:strRef>
              <c:f>'SFF 8.3'!$B$8</c:f>
              <c:strCache>
                <c:ptCount val="1"/>
                <c:pt idx="0">
                  <c:v>Major Collector</c:v>
                </c:pt>
              </c:strCache>
            </c:strRef>
          </c:tx>
          <c:spPr>
            <a:ln w="31750">
              <a:solidFill>
                <a:srgbClr val="0000FF"/>
              </a:solidFill>
              <a:prstDash val="solid"/>
            </a:ln>
          </c:spPr>
          <c:marker>
            <c:symbol val="x"/>
            <c:size val="7"/>
            <c:spPr>
              <a:noFill/>
              <a:ln w="19050">
                <a:solidFill>
                  <a:srgbClr val="0000FF"/>
                </a:solidFill>
                <a:prstDash val="solid"/>
              </a:ln>
            </c:spPr>
          </c:marker>
          <c:cat>
            <c:strRef>
              <c:f>'SFF 8.3'!$C$4:$G$4</c:f>
              <c:strCache>
                <c:ptCount val="5"/>
                <c:pt idx="0">
                  <c:v>Rural</c:v>
                </c:pt>
                <c:pt idx="1">
                  <c:v>Transition</c:v>
                </c:pt>
                <c:pt idx="2">
                  <c:v>Suburban</c:v>
                </c:pt>
                <c:pt idx="3">
                  <c:v>Urban</c:v>
                </c:pt>
                <c:pt idx="4">
                  <c:v>CBD-Like</c:v>
                </c:pt>
              </c:strCache>
            </c:strRef>
          </c:cat>
          <c:val>
            <c:numRef>
              <c:f>'SFF 8.3'!$C$8:$G$8</c:f>
              <c:numCache>
                <c:formatCode>0</c:formatCode>
                <c:ptCount val="5"/>
                <c:pt idx="0">
                  <c:v>48</c:v>
                </c:pt>
                <c:pt idx="1">
                  <c:v>38.463287110706979</c:v>
                </c:pt>
                <c:pt idx="2">
                  <c:v>33.563032022699637</c:v>
                </c:pt>
                <c:pt idx="3">
                  <c:v>27.906976744186046</c:v>
                </c:pt>
                <c:pt idx="4">
                  <c:v>18.666666666666664</c:v>
                </c:pt>
              </c:numCache>
            </c:numRef>
          </c:val>
          <c:smooth val="0"/>
          <c:extLst>
            <c:ext xmlns:c16="http://schemas.microsoft.com/office/drawing/2014/chart" uri="{C3380CC4-5D6E-409C-BE32-E72D297353CC}">
              <c16:uniqueId val="{00000002-A6CD-4665-923A-C75CC54998C9}"/>
            </c:ext>
          </c:extLst>
        </c:ser>
        <c:ser>
          <c:idx val="4"/>
          <c:order val="3"/>
          <c:tx>
            <c:strRef>
              <c:f>'SFF 8.3'!$B$9</c:f>
              <c:strCache>
                <c:ptCount val="1"/>
                <c:pt idx="0">
                  <c:v>Minor Collector</c:v>
                </c:pt>
              </c:strCache>
            </c:strRef>
          </c:tx>
          <c:spPr>
            <a:ln w="31750">
              <a:solidFill>
                <a:srgbClr val="9933FF"/>
              </a:solidFill>
              <a:prstDash val="solid"/>
            </a:ln>
          </c:spPr>
          <c:marker>
            <c:spPr>
              <a:ln w="19050">
                <a:solidFill>
                  <a:srgbClr val="9933FF"/>
                </a:solidFill>
              </a:ln>
            </c:spPr>
          </c:marker>
          <c:cat>
            <c:strRef>
              <c:f>'SFF 8.3'!$C$4:$G$4</c:f>
              <c:strCache>
                <c:ptCount val="5"/>
                <c:pt idx="0">
                  <c:v>Rural</c:v>
                </c:pt>
                <c:pt idx="1">
                  <c:v>Transition</c:v>
                </c:pt>
                <c:pt idx="2">
                  <c:v>Suburban</c:v>
                </c:pt>
                <c:pt idx="3">
                  <c:v>Urban</c:v>
                </c:pt>
                <c:pt idx="4">
                  <c:v>CBD-Like</c:v>
                </c:pt>
              </c:strCache>
            </c:strRef>
          </c:cat>
          <c:val>
            <c:numRef>
              <c:f>'SFF 8.3'!$C$9:$G$9</c:f>
              <c:numCache>
                <c:formatCode>0</c:formatCode>
                <c:ptCount val="5"/>
                <c:pt idx="0">
                  <c:v>42</c:v>
                </c:pt>
                <c:pt idx="1">
                  <c:v>32.463287110706979</c:v>
                </c:pt>
                <c:pt idx="2">
                  <c:v>25.563032022699637</c:v>
                </c:pt>
                <c:pt idx="3">
                  <c:v>22.906976744186046</c:v>
                </c:pt>
                <c:pt idx="4">
                  <c:v>14.666666666666664</c:v>
                </c:pt>
              </c:numCache>
            </c:numRef>
          </c:val>
          <c:smooth val="0"/>
          <c:extLst>
            <c:ext xmlns:c16="http://schemas.microsoft.com/office/drawing/2014/chart" uri="{C3380CC4-5D6E-409C-BE32-E72D297353CC}">
              <c16:uniqueId val="{00000003-A6CD-4665-923A-C75CC54998C9}"/>
            </c:ext>
          </c:extLst>
        </c:ser>
        <c:ser>
          <c:idx val="0"/>
          <c:order val="4"/>
          <c:tx>
            <c:strRef>
              <c:f>'SFF 8.3'!$B$5</c:f>
              <c:strCache>
                <c:ptCount val="1"/>
                <c:pt idx="0">
                  <c:v>Centroid Connector / Local</c:v>
                </c:pt>
              </c:strCache>
            </c:strRef>
          </c:tx>
          <c:spPr>
            <a:ln w="31750">
              <a:solidFill>
                <a:srgbClr val="969696"/>
              </a:solidFill>
              <a:prstDash val="solid"/>
            </a:ln>
          </c:spPr>
          <c:marker>
            <c:symbol val="diamond"/>
            <c:size val="7"/>
            <c:spPr>
              <a:noFill/>
              <a:ln w="19050">
                <a:solidFill>
                  <a:srgbClr val="969696"/>
                </a:solidFill>
                <a:prstDash val="solid"/>
              </a:ln>
            </c:spPr>
          </c:marker>
          <c:cat>
            <c:strRef>
              <c:f>'SFF 8.3'!$C$4:$G$4</c:f>
              <c:strCache>
                <c:ptCount val="5"/>
                <c:pt idx="0">
                  <c:v>Rural</c:v>
                </c:pt>
                <c:pt idx="1">
                  <c:v>Transition</c:v>
                </c:pt>
                <c:pt idx="2">
                  <c:v>Suburban</c:v>
                </c:pt>
                <c:pt idx="3">
                  <c:v>Urban</c:v>
                </c:pt>
                <c:pt idx="4">
                  <c:v>CBD-Like</c:v>
                </c:pt>
              </c:strCache>
            </c:strRef>
          </c:cat>
          <c:val>
            <c:numRef>
              <c:f>'SFF 8.3'!$C$5:$G$5</c:f>
              <c:numCache>
                <c:formatCode>0</c:formatCode>
                <c:ptCount val="5"/>
                <c:pt idx="0">
                  <c:v>30</c:v>
                </c:pt>
                <c:pt idx="1">
                  <c:v>24</c:v>
                </c:pt>
                <c:pt idx="2">
                  <c:v>20.16</c:v>
                </c:pt>
                <c:pt idx="3">
                  <c:v>17.034700315457414</c:v>
                </c:pt>
                <c:pt idx="4">
                  <c:v>13.535791757049891</c:v>
                </c:pt>
              </c:numCache>
            </c:numRef>
          </c:val>
          <c:smooth val="0"/>
          <c:extLst>
            <c:ext xmlns:c16="http://schemas.microsoft.com/office/drawing/2014/chart" uri="{C3380CC4-5D6E-409C-BE32-E72D297353CC}">
              <c16:uniqueId val="{00000004-A6CD-4665-923A-C75CC54998C9}"/>
            </c:ext>
          </c:extLst>
        </c:ser>
        <c:ser>
          <c:idx val="5"/>
          <c:order val="5"/>
          <c:tx>
            <c:v>Old Centroid Conector</c:v>
          </c:tx>
          <c:spPr>
            <a:ln w="31750">
              <a:solidFill>
                <a:schemeClr val="bg1">
                  <a:lumMod val="65000"/>
                </a:schemeClr>
              </a:solidFill>
              <a:prstDash val="dash"/>
            </a:ln>
          </c:spPr>
          <c:marker>
            <c:symbol val="none"/>
          </c:marker>
          <c:val>
            <c:numRef>
              <c:f>'SFF 7.0'!$C$5:$G$5</c:f>
              <c:numCache>
                <c:formatCode>0.0</c:formatCode>
                <c:ptCount val="5"/>
                <c:pt idx="0">
                  <c:v>30</c:v>
                </c:pt>
                <c:pt idx="1">
                  <c:v>23.225806451612904</c:v>
                </c:pt>
                <c:pt idx="2">
                  <c:v>21.176470588235293</c:v>
                </c:pt>
                <c:pt idx="3">
                  <c:v>16.216216216216218</c:v>
                </c:pt>
                <c:pt idx="4">
                  <c:v>13.535791757049891</c:v>
                </c:pt>
              </c:numCache>
            </c:numRef>
          </c:val>
          <c:smooth val="0"/>
          <c:extLst>
            <c:ext xmlns:c16="http://schemas.microsoft.com/office/drawing/2014/chart" uri="{C3380CC4-5D6E-409C-BE32-E72D297353CC}">
              <c16:uniqueId val="{00000005-A6CD-4665-923A-C75CC54998C9}"/>
            </c:ext>
          </c:extLst>
        </c:ser>
        <c:ser>
          <c:idx val="9"/>
          <c:order val="6"/>
          <c:tx>
            <c:v>Old Principal Arterial</c:v>
          </c:tx>
          <c:spPr>
            <a:ln>
              <a:solidFill>
                <a:srgbClr val="FF0000"/>
              </a:solidFill>
              <a:prstDash val="dash"/>
            </a:ln>
          </c:spPr>
          <c:marker>
            <c:symbol val="none"/>
          </c:marker>
          <c:val>
            <c:numRef>
              <c:f>'SFF 7.0'!$C$6:$G$6</c:f>
              <c:numCache>
                <c:formatCode>0.0</c:formatCode>
                <c:ptCount val="5"/>
                <c:pt idx="0">
                  <c:v>55</c:v>
                </c:pt>
                <c:pt idx="1">
                  <c:v>44.745762711864408</c:v>
                </c:pt>
                <c:pt idx="2">
                  <c:v>39.560439560439562</c:v>
                </c:pt>
                <c:pt idx="3">
                  <c:v>32.757051865332116</c:v>
                </c:pt>
                <c:pt idx="4">
                  <c:v>23.398328690807801</c:v>
                </c:pt>
              </c:numCache>
            </c:numRef>
          </c:val>
          <c:smooth val="0"/>
          <c:extLst>
            <c:ext xmlns:c16="http://schemas.microsoft.com/office/drawing/2014/chart" uri="{C3380CC4-5D6E-409C-BE32-E72D297353CC}">
              <c16:uniqueId val="{00000006-A6CD-4665-923A-C75CC54998C9}"/>
            </c:ext>
          </c:extLst>
        </c:ser>
        <c:ser>
          <c:idx val="6"/>
          <c:order val="7"/>
          <c:tx>
            <c:v>Old Minor Arterial</c:v>
          </c:tx>
          <c:spPr>
            <a:ln>
              <a:solidFill>
                <a:srgbClr val="008000"/>
              </a:solidFill>
              <a:prstDash val="dash"/>
            </a:ln>
          </c:spPr>
          <c:marker>
            <c:symbol val="none"/>
          </c:marker>
          <c:val>
            <c:numRef>
              <c:f>'SFF 7.0'!$C$7:$G$7</c:f>
              <c:numCache>
                <c:formatCode>0.0</c:formatCode>
                <c:ptCount val="5"/>
                <c:pt idx="0">
                  <c:v>50</c:v>
                </c:pt>
                <c:pt idx="1">
                  <c:v>39.130434782608695</c:v>
                </c:pt>
                <c:pt idx="2">
                  <c:v>36.363636363636367</c:v>
                </c:pt>
                <c:pt idx="3">
                  <c:v>31.044955194780847</c:v>
                </c:pt>
                <c:pt idx="4">
                  <c:v>22.527075812274372</c:v>
                </c:pt>
              </c:numCache>
            </c:numRef>
          </c:val>
          <c:smooth val="0"/>
          <c:extLst>
            <c:ext xmlns:c16="http://schemas.microsoft.com/office/drawing/2014/chart" uri="{C3380CC4-5D6E-409C-BE32-E72D297353CC}">
              <c16:uniqueId val="{00000007-A6CD-4665-923A-C75CC54998C9}"/>
            </c:ext>
          </c:extLst>
        </c:ser>
        <c:ser>
          <c:idx val="7"/>
          <c:order val="8"/>
          <c:tx>
            <c:v>Old Major Collector</c:v>
          </c:tx>
          <c:spPr>
            <a:ln>
              <a:solidFill>
                <a:srgbClr val="0000FF"/>
              </a:solidFill>
              <a:prstDash val="dash"/>
            </a:ln>
          </c:spPr>
          <c:marker>
            <c:symbol val="none"/>
          </c:marker>
          <c:val>
            <c:numRef>
              <c:f>'SFF 7.0'!$C$8:$G$8</c:f>
              <c:numCache>
                <c:formatCode>0.0</c:formatCode>
                <c:ptCount val="5"/>
                <c:pt idx="0">
                  <c:v>40</c:v>
                </c:pt>
                <c:pt idx="1">
                  <c:v>33.772455089820355</c:v>
                </c:pt>
                <c:pt idx="2">
                  <c:v>30.323212536728697</c:v>
                </c:pt>
                <c:pt idx="3">
                  <c:v>25.678098432710659</c:v>
                </c:pt>
                <c:pt idx="4">
                  <c:v>18.378378378378379</c:v>
                </c:pt>
              </c:numCache>
            </c:numRef>
          </c:val>
          <c:smooth val="0"/>
          <c:extLst>
            <c:ext xmlns:c16="http://schemas.microsoft.com/office/drawing/2014/chart" uri="{C3380CC4-5D6E-409C-BE32-E72D297353CC}">
              <c16:uniqueId val="{00000008-A6CD-4665-923A-C75CC54998C9}"/>
            </c:ext>
          </c:extLst>
        </c:ser>
        <c:ser>
          <c:idx val="8"/>
          <c:order val="9"/>
          <c:tx>
            <c:v>Old Minor Collector</c:v>
          </c:tx>
          <c:spPr>
            <a:ln>
              <a:solidFill>
                <a:srgbClr val="9933FF"/>
              </a:solidFill>
              <a:prstDash val="dash"/>
            </a:ln>
          </c:spPr>
          <c:marker>
            <c:symbol val="none"/>
          </c:marker>
          <c:val>
            <c:numRef>
              <c:f>'SFF 7.0'!$C$9:$G$9</c:f>
              <c:numCache>
                <c:formatCode>0.0</c:formatCode>
                <c:ptCount val="5"/>
                <c:pt idx="0">
                  <c:v>37</c:v>
                </c:pt>
                <c:pt idx="1">
                  <c:v>30.772455089820355</c:v>
                </c:pt>
                <c:pt idx="2">
                  <c:v>27.323212536728697</c:v>
                </c:pt>
                <c:pt idx="3">
                  <c:v>22.678098432710659</c:v>
                </c:pt>
                <c:pt idx="4">
                  <c:v>15.378378378378379</c:v>
                </c:pt>
              </c:numCache>
            </c:numRef>
          </c:val>
          <c:smooth val="0"/>
          <c:extLst>
            <c:ext xmlns:c16="http://schemas.microsoft.com/office/drawing/2014/chart" uri="{C3380CC4-5D6E-409C-BE32-E72D297353CC}">
              <c16:uniqueId val="{00000009-A6CD-4665-923A-C75CC54998C9}"/>
            </c:ext>
          </c:extLst>
        </c:ser>
        <c:dLbls>
          <c:showLegendKey val="0"/>
          <c:showVal val="0"/>
          <c:showCatName val="0"/>
          <c:showSerName val="0"/>
          <c:showPercent val="0"/>
          <c:showBubbleSize val="0"/>
        </c:dLbls>
        <c:marker val="1"/>
        <c:smooth val="0"/>
        <c:axId val="241102864"/>
        <c:axId val="241103256"/>
      </c:lineChart>
      <c:catAx>
        <c:axId val="241102864"/>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1103256"/>
        <c:crosses val="autoZero"/>
        <c:auto val="1"/>
        <c:lblAlgn val="ctr"/>
        <c:lblOffset val="100"/>
        <c:tickLblSkip val="1"/>
        <c:tickMarkSkip val="1"/>
        <c:noMultiLvlLbl val="0"/>
      </c:catAx>
      <c:valAx>
        <c:axId val="241103256"/>
        <c:scaling>
          <c:orientation val="minMax"/>
          <c:max val="60"/>
          <c:min val="0"/>
        </c:scaling>
        <c:delete val="0"/>
        <c:axPos val="l"/>
        <c:majorGridlines>
          <c:spPr>
            <a:ln w="3175">
              <a:solidFill>
                <a:srgbClr val="C0C0C0"/>
              </a:solidFill>
              <a:prstDash val="solid"/>
            </a:ln>
          </c:spPr>
        </c:majorGridlines>
        <c:title>
          <c:tx>
            <c:rich>
              <a:bodyPr rot="0" vert="horz"/>
              <a:lstStyle/>
              <a:p>
                <a:pPr algn="ctr">
                  <a:defRPr sz="1200" b="1" i="0" u="none" strike="noStrike" baseline="0">
                    <a:solidFill>
                      <a:srgbClr val="000000"/>
                    </a:solidFill>
                    <a:latin typeface="Calibri"/>
                    <a:ea typeface="Calibri"/>
                    <a:cs typeface="Calibri"/>
                  </a:defRPr>
                </a:pPr>
                <a:r>
                  <a:rPr lang="en-US"/>
                  <a:t>MPH</a:t>
                </a:r>
              </a:p>
            </c:rich>
          </c:tx>
          <c:layout>
            <c:manualLayout>
              <c:xMode val="edge"/>
              <c:yMode val="edge"/>
              <c:x val="2.450548128998719E-2"/>
              <c:y val="8.1575454032608699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1102864"/>
        <c:crosses val="autoZero"/>
        <c:crossBetween val="between"/>
      </c:valAx>
      <c:spPr>
        <a:solidFill>
          <a:srgbClr val="FFFFFF"/>
        </a:solidFill>
        <a:ln w="12700">
          <a:solidFill>
            <a:srgbClr val="C0C0C0"/>
          </a:solidFill>
          <a:prstDash val="solid"/>
        </a:ln>
      </c:spPr>
    </c:plotArea>
    <c:legend>
      <c:legendPos val="b"/>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7.2260924156814944E-3"/>
          <c:y val="0.9214881227584244"/>
          <c:w val="0.89999994119260807"/>
          <c:h val="4.1249078307885878E-2"/>
        </c:manualLayout>
      </c:layout>
      <c:overlay val="0"/>
      <c:spPr>
        <a:solidFill>
          <a:srgbClr val="FFFFFF"/>
        </a:solid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a:t>
            </a:r>
          </a:p>
        </c:rich>
      </c:tx>
      <c:layout>
        <c:manualLayout>
          <c:xMode val="edge"/>
          <c:yMode val="edge"/>
          <c:x val="0.37864560878017045"/>
          <c:y val="2.8136482939632456E-2"/>
        </c:manualLayout>
      </c:layout>
      <c:overlay val="0"/>
      <c:spPr>
        <a:noFill/>
        <a:ln w="25400">
          <a:noFill/>
        </a:ln>
      </c:spPr>
    </c:title>
    <c:autoTitleDeleted val="0"/>
    <c:plotArea>
      <c:layout>
        <c:manualLayout>
          <c:layoutTarget val="inner"/>
          <c:xMode val="edge"/>
          <c:yMode val="edge"/>
          <c:x val="0.24849260450336544"/>
          <c:y val="0.20913366596418331"/>
          <c:w val="0.71401872876933148"/>
          <c:h val="0.76063606903976544"/>
        </c:manualLayout>
      </c:layout>
      <c:barChart>
        <c:barDir val="bar"/>
        <c:grouping val="clustered"/>
        <c:varyColors val="0"/>
        <c:ser>
          <c:idx val="0"/>
          <c:order val="0"/>
          <c:tx>
            <c:strRef>
              <c:f>'SFF 8.3'!$C$14</c:f>
              <c:strCache>
                <c:ptCount val="1"/>
                <c:pt idx="0">
                  <c:v>Speed</c:v>
                </c:pt>
              </c:strCache>
            </c:strRef>
          </c:tx>
          <c:spPr>
            <a:solidFill>
              <a:srgbClr val="339966"/>
            </a:solidFill>
            <a:ln w="12700">
              <a:solidFill>
                <a:srgbClr val="C0C0C0"/>
              </a:solidFill>
              <a:prstDash val="solid"/>
            </a:ln>
          </c:spPr>
          <c:invertIfNegative val="0"/>
          <c:cat>
            <c:strRef>
              <c:f>('SFF 8.3'!$B$15:$B$18,'SFF 8.3'!$B$31:$B$40,'SFF 8.3'!$B$42:$B$43)</c:f>
              <c:strCache>
                <c:ptCount val="16"/>
                <c:pt idx="0">
                  <c:v>Expressway, posted 60-70 mph</c:v>
                </c:pt>
                <c:pt idx="1">
                  <c:v>Expressway, posted 55-65 mph</c:v>
                </c:pt>
                <c:pt idx="2">
                  <c:v>Expressway, posted 50-60 mph</c:v>
                </c:pt>
                <c:pt idx="3">
                  <c:v>Expressway, posted 45-55 mph</c:v>
                </c:pt>
                <c:pt idx="4">
                  <c:v>#REF!</c:v>
                </c:pt>
                <c:pt idx="5">
                  <c:v>#REF!</c:v>
                </c:pt>
                <c:pt idx="6">
                  <c:v>#REF!</c:v>
                </c:pt>
                <c:pt idx="7">
                  <c:v>#REF!</c:v>
                </c:pt>
                <c:pt idx="8">
                  <c:v>#REF!</c:v>
                </c:pt>
                <c:pt idx="9">
                  <c:v>#REF!</c:v>
                </c:pt>
                <c:pt idx="10">
                  <c:v>#REF!</c:v>
                </c:pt>
                <c:pt idx="11">
                  <c:v>#REF!</c:v>
                </c:pt>
                <c:pt idx="12">
                  <c:v>#REF!</c:v>
                </c:pt>
                <c:pt idx="13">
                  <c:v>#REF!</c:v>
                </c:pt>
                <c:pt idx="14">
                  <c:v>#REF!</c:v>
                </c:pt>
                <c:pt idx="15">
                  <c:v>#REF!</c:v>
                </c:pt>
              </c:strCache>
            </c:strRef>
          </c:cat>
          <c:val>
            <c:numRef>
              <c:f>('SFF 8.3'!$C$15:$C$18,'SFF 8.3'!$C$31:$C$40,'SFF 8.3'!$C$42:$C$43)</c:f>
              <c:numCache>
                <c:formatCode>0</c:formatCode>
                <c:ptCount val="16"/>
                <c:pt idx="0">
                  <c:v>56.124721603563479</c:v>
                </c:pt>
                <c:pt idx="1">
                  <c:v>53.333333333333336</c:v>
                </c:pt>
                <c:pt idx="2">
                  <c:v>47.710843373493979</c:v>
                </c:pt>
                <c:pt idx="3">
                  <c:v>42.603550295857993</c:v>
                </c:pt>
                <c:pt idx="4">
                  <c:v>35</c:v>
                </c:pt>
                <c:pt idx="5">
                  <c:v>55</c:v>
                </c:pt>
                <c:pt idx="6">
                  <c:v>65</c:v>
                </c:pt>
                <c:pt idx="7">
                  <c:v>75</c:v>
                </c:pt>
                <c:pt idx="8">
                  <c:v>73</c:v>
                </c:pt>
                <c:pt idx="9">
                  <c:v>80</c:v>
                </c:pt>
                <c:pt idx="10">
                  <c:v>77</c:v>
                </c:pt>
                <c:pt idx="11">
                  <c:v>77</c:v>
                </c:pt>
                <c:pt idx="12">
                  <c:v>77</c:v>
                </c:pt>
                <c:pt idx="13">
                  <c:v>77</c:v>
                </c:pt>
                <c:pt idx="14">
                  <c:v>23</c:v>
                </c:pt>
                <c:pt idx="15">
                  <c:v>26</c:v>
                </c:pt>
              </c:numCache>
            </c:numRef>
          </c:val>
          <c:extLst>
            <c:ext xmlns:c16="http://schemas.microsoft.com/office/drawing/2014/chart" uri="{C3380CC4-5D6E-409C-BE32-E72D297353CC}">
              <c16:uniqueId val="{00000000-71DB-4771-85C3-1FDC121B353B}"/>
            </c:ext>
          </c:extLst>
        </c:ser>
        <c:dLbls>
          <c:showLegendKey val="0"/>
          <c:showVal val="0"/>
          <c:showCatName val="0"/>
          <c:showSerName val="0"/>
          <c:showPercent val="0"/>
          <c:showBubbleSize val="0"/>
        </c:dLbls>
        <c:gapWidth val="100"/>
        <c:axId val="241104040"/>
        <c:axId val="241104432"/>
      </c:barChart>
      <c:catAx>
        <c:axId val="241104040"/>
        <c:scaling>
          <c:orientation val="maxMin"/>
        </c:scaling>
        <c:delete val="0"/>
        <c:axPos val="l"/>
        <c:title>
          <c:tx>
            <c:rich>
              <a:bodyPr rot="0" vert="horz"/>
              <a:lstStyle/>
              <a:p>
                <a:pPr algn="ctr">
                  <a:defRPr sz="1200" b="1" i="0" u="none" strike="noStrike" baseline="0">
                    <a:solidFill>
                      <a:srgbClr val="000000"/>
                    </a:solidFill>
                    <a:latin typeface="Calibri"/>
                    <a:ea typeface="Calibri"/>
                    <a:cs typeface="Calibri"/>
                  </a:defRPr>
                </a:pPr>
                <a:r>
                  <a:rPr lang="en-US"/>
                  <a:t>Functional Type</a:t>
                </a:r>
              </a:p>
            </c:rich>
          </c:tx>
          <c:layout>
            <c:manualLayout>
              <c:xMode val="edge"/>
              <c:yMode val="edge"/>
              <c:x val="4.9316860157255712E-2"/>
              <c:y val="0.15760823021528977"/>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241104432"/>
        <c:crosses val="autoZero"/>
        <c:auto val="1"/>
        <c:lblAlgn val="ctr"/>
        <c:lblOffset val="100"/>
        <c:tickLblSkip val="1"/>
        <c:tickMarkSkip val="1"/>
        <c:noMultiLvlLbl val="0"/>
      </c:catAx>
      <c:valAx>
        <c:axId val="241104432"/>
        <c:scaling>
          <c:orientation val="minMax"/>
          <c:max val="80"/>
        </c:scaling>
        <c:delete val="0"/>
        <c:axPos val="t"/>
        <c:majorGridlines>
          <c:spPr>
            <a:ln w="3175">
              <a:solidFill>
                <a:srgbClr val="C0C0C0"/>
              </a:solidFill>
              <a:prstDash val="solid"/>
            </a:ln>
          </c:spPr>
        </c:majorGridlines>
        <c:title>
          <c:tx>
            <c:rich>
              <a:bodyPr/>
              <a:lstStyle/>
              <a:p>
                <a:pPr>
                  <a:defRPr sz="1200" b="1" i="0" u="none" strike="noStrike" baseline="0">
                    <a:solidFill>
                      <a:srgbClr val="000000"/>
                    </a:solidFill>
                    <a:latin typeface="Calibri"/>
                    <a:ea typeface="Calibri"/>
                    <a:cs typeface="Calibri"/>
                  </a:defRPr>
                </a:pPr>
                <a:r>
                  <a:rPr lang="en-US"/>
                  <a:t>MPH</a:t>
                </a:r>
              </a:p>
            </c:rich>
          </c:tx>
          <c:layout>
            <c:manualLayout>
              <c:xMode val="edge"/>
              <c:yMode val="edge"/>
              <c:x val="0.57653934452464384"/>
              <c:y val="0.1217899695636282"/>
            </c:manualLayout>
          </c:layout>
          <c:overlay val="0"/>
          <c:spPr>
            <a:noFill/>
            <a:ln w="25400">
              <a:noFill/>
            </a:ln>
          </c:spPr>
        </c:title>
        <c:numFmt formatCode="0" sourceLinked="0"/>
        <c:majorTickMark val="out"/>
        <c:minorTickMark val="none"/>
        <c:tickLblPos val="nextTo"/>
        <c:spPr>
          <a:ln w="3175">
            <a:solidFill>
              <a:srgbClr val="C0C0C0"/>
            </a:solidFill>
            <a:prstDash val="solid"/>
          </a:ln>
        </c:spPr>
        <c:txPr>
          <a:bodyPr rot="0" vert="horz"/>
          <a:lstStyle/>
          <a:p>
            <a:pPr>
              <a:defRPr sz="1100" b="0" i="0" u="none" strike="noStrike" baseline="0">
                <a:solidFill>
                  <a:srgbClr val="000000"/>
                </a:solidFill>
                <a:latin typeface="Calibri"/>
                <a:ea typeface="Calibri"/>
                <a:cs typeface="Calibri"/>
              </a:defRPr>
            </a:pPr>
            <a:endParaRPr lang="en-US"/>
          </a:p>
        </c:txPr>
        <c:crossAx val="241104040"/>
        <c:crosses val="autoZero"/>
        <c:crossBetween val="between"/>
      </c:valAx>
      <c:spPr>
        <a:noFill/>
        <a:ln w="12700">
          <a:solidFill>
            <a:srgbClr val="C0C0C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'VDF V8.3x'!$A$1</c:f>
          <c:strCache>
            <c:ptCount val="1"/>
            <c:pt idx="0">
              <c:v>Volume Delay Function Curves v8.3</c:v>
            </c:pt>
          </c:strCache>
        </c:strRef>
      </c:tx>
      <c:layout>
        <c:manualLayout>
          <c:xMode val="edge"/>
          <c:yMode val="edge"/>
          <c:x val="0.22469162892027017"/>
          <c:y val="3.0769282133550572E-2"/>
        </c:manualLayout>
      </c:layout>
      <c:overlay val="0"/>
      <c:spPr>
        <a:noFill/>
        <a:ln w="25400">
          <a:noFill/>
        </a:ln>
      </c:spPr>
      <c:txPr>
        <a:bodyPr/>
        <a:lstStyle/>
        <a:p>
          <a:pPr>
            <a:defRPr sz="2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14567918798127424"/>
          <c:y val="0.16068402891965264"/>
          <c:w val="0.81605036657306962"/>
          <c:h val="0.51624017801845967"/>
        </c:manualLayout>
      </c:layout>
      <c:scatterChart>
        <c:scatterStyle val="smoothMarker"/>
        <c:varyColors val="0"/>
        <c:ser>
          <c:idx val="1"/>
          <c:order val="0"/>
          <c:tx>
            <c:strRef>
              <c:f>'VDF V8.3x'!$B$10</c:f>
              <c:strCache>
                <c:ptCount val="1"/>
                <c:pt idx="0">
                  <c:v>Fwy (x=0.7, y=8)</c:v>
                </c:pt>
              </c:strCache>
            </c:strRef>
          </c:tx>
          <c:spPr>
            <a:ln w="25400">
              <a:solidFill>
                <a:srgbClr val="800000"/>
              </a:solidFill>
              <a:prstDash val="solid"/>
            </a:ln>
          </c:spPr>
          <c:marker>
            <c:symbol val="none"/>
          </c:marker>
          <c:xVal>
            <c:numRef>
              <c:f>'VDF V8.3x'!$A$11:$A$27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V8.3x'!$B$11:$B$27</c:f>
              <c:numCache>
                <c:formatCode>_(* #,##0.0_);_(* \(#,##0.0\);_(* "-"??_);_(@_)</c:formatCode>
                <c:ptCount val="17"/>
                <c:pt idx="0">
                  <c:v>67</c:v>
                </c:pt>
                <c:pt idx="1">
                  <c:v>66.999999531000014</c:v>
                </c:pt>
                <c:pt idx="2">
                  <c:v>66.817296455005845</c:v>
                </c:pt>
                <c:pt idx="3">
                  <c:v>66.221414172492771</c:v>
                </c:pt>
                <c:pt idx="4">
                  <c:v>64.401180088377401</c:v>
                </c:pt>
                <c:pt idx="5">
                  <c:v>59.958449045384178</c:v>
                </c:pt>
                <c:pt idx="6">
                  <c:v>51.485904449967236</c:v>
                </c:pt>
                <c:pt idx="7">
                  <c:v>39.411764705882369</c:v>
                </c:pt>
                <c:pt idx="8">
                  <c:v>26.794510694336502</c:v>
                </c:pt>
                <c:pt idx="9">
                  <c:v>16.708763306839149</c:v>
                </c:pt>
                <c:pt idx="10">
                  <c:v>9.9849256727654421</c:v>
                </c:pt>
                <c:pt idx="11">
                  <c:v>5.9132308086761292</c:v>
                </c:pt>
                <c:pt idx="12">
                  <c:v>4.8056584125471131</c:v>
                </c:pt>
                <c:pt idx="13">
                  <c:v>4.8056584125471131</c:v>
                </c:pt>
                <c:pt idx="14">
                  <c:v>4.8056584125471131</c:v>
                </c:pt>
                <c:pt idx="15">
                  <c:v>4.8056584125471131</c:v>
                </c:pt>
                <c:pt idx="16">
                  <c:v>4.8056584125471131</c:v>
                </c:pt>
              </c:numCache>
            </c:numRef>
          </c:yVal>
          <c:smooth val="1"/>
          <c:extLst>
            <c:ext xmlns:c16="http://schemas.microsoft.com/office/drawing/2014/chart" uri="{C3380CC4-5D6E-409C-BE32-E72D297353CC}">
              <c16:uniqueId val="{00000000-BC05-45B7-A8AE-55B2A2FB1EDA}"/>
            </c:ext>
          </c:extLst>
        </c:ser>
        <c:ser>
          <c:idx val="2"/>
          <c:order val="1"/>
          <c:tx>
            <c:strRef>
              <c:f>'VDF V8.3x'!$C$10</c:f>
              <c:strCache>
                <c:ptCount val="1"/>
                <c:pt idx="0">
                  <c:v>Ramp (x=0.7, y=3)</c:v>
                </c:pt>
              </c:strCache>
            </c:strRef>
          </c:tx>
          <c:spPr>
            <a:ln w="25400">
              <a:solidFill>
                <a:srgbClr val="FF6600"/>
              </a:solidFill>
              <a:prstDash val="solid"/>
            </a:ln>
          </c:spPr>
          <c:marker>
            <c:symbol val="none"/>
          </c:marker>
          <c:xVal>
            <c:numRef>
              <c:f>'VDF V8.3x'!$A$11:$A$27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V8.3x'!$C$11:$C$27</c:f>
              <c:numCache>
                <c:formatCode>_(* #,##0.0_);_(* \(#,##0.0\);_(* "-"??_);_(@_)</c:formatCode>
                <c:ptCount val="17"/>
                <c:pt idx="0">
                  <c:v>23</c:v>
                </c:pt>
                <c:pt idx="1">
                  <c:v>22.983911262116521</c:v>
                </c:pt>
                <c:pt idx="2">
                  <c:v>21.149425287356323</c:v>
                </c:pt>
                <c:pt idx="3">
                  <c:v>19.979152189020152</c:v>
                </c:pt>
                <c:pt idx="4">
                  <c:v>18.546891379727441</c:v>
                </c:pt>
                <c:pt idx="5">
                  <c:v>16.931684334511193</c:v>
                </c:pt>
                <c:pt idx="6">
                  <c:v>15.228762497517051</c:v>
                </c:pt>
                <c:pt idx="7">
                  <c:v>13.529411764705884</c:v>
                </c:pt>
                <c:pt idx="8">
                  <c:v>11.906610757363982</c:v>
                </c:pt>
                <c:pt idx="9">
                  <c:v>10.409123823316436</c:v>
                </c:pt>
                <c:pt idx="10">
                  <c:v>9.0626108199692634</c:v>
                </c:pt>
                <c:pt idx="11">
                  <c:v>7.8745549164612427</c:v>
                </c:pt>
                <c:pt idx="12">
                  <c:v>6.8401486988847564</c:v>
                </c:pt>
                <c:pt idx="13">
                  <c:v>5.9474555233760844</c:v>
                </c:pt>
                <c:pt idx="14">
                  <c:v>5.549540202497897</c:v>
                </c:pt>
                <c:pt idx="15">
                  <c:v>5.549540202497897</c:v>
                </c:pt>
                <c:pt idx="16">
                  <c:v>5.549540202497897</c:v>
                </c:pt>
              </c:numCache>
            </c:numRef>
          </c:yVal>
          <c:smooth val="1"/>
          <c:extLst>
            <c:ext xmlns:c16="http://schemas.microsoft.com/office/drawing/2014/chart" uri="{C3380CC4-5D6E-409C-BE32-E72D297353CC}">
              <c16:uniqueId val="{00000001-BC05-45B7-A8AE-55B2A2FB1EDA}"/>
            </c:ext>
          </c:extLst>
        </c:ser>
        <c:ser>
          <c:idx val="3"/>
          <c:order val="2"/>
          <c:tx>
            <c:strRef>
              <c:f>'VDF V8.3x'!$D$10</c:f>
              <c:strCache>
                <c:ptCount val="1"/>
                <c:pt idx="0">
                  <c:v>Exp (x=0.6, y=6)</c:v>
                </c:pt>
              </c:strCache>
            </c:strRef>
          </c:tx>
          <c:spPr>
            <a:ln w="25400">
              <a:solidFill>
                <a:srgbClr val="008000"/>
              </a:solidFill>
              <a:prstDash val="solid"/>
            </a:ln>
          </c:spPr>
          <c:marker>
            <c:symbol val="none"/>
          </c:marker>
          <c:xVal>
            <c:numRef>
              <c:f>'VDF V8.3x'!$A$11:$A$27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V8.3x'!$D$11:$D$27</c:f>
              <c:numCache>
                <c:formatCode>_(* #,##0.0_);_(* \(#,##0.0\);_(* "-"??_);_(@_)</c:formatCode>
                <c:ptCount val="17"/>
                <c:pt idx="0">
                  <c:v>50</c:v>
                </c:pt>
                <c:pt idx="1">
                  <c:v>49.999970000018003</c:v>
                </c:pt>
                <c:pt idx="2">
                  <c:v>49.535603715170282</c:v>
                </c:pt>
                <c:pt idx="3">
                  <c:v>48.638435103097912</c:v>
                </c:pt>
                <c:pt idx="4">
                  <c:v>46.70324589427095</c:v>
                </c:pt>
                <c:pt idx="5">
                  <c:v>43.204517049539341</c:v>
                </c:pt>
                <c:pt idx="6">
                  <c:v>37.911397424724278</c:v>
                </c:pt>
                <c:pt idx="7">
                  <c:v>31.250000000000007</c:v>
                </c:pt>
                <c:pt idx="8">
                  <c:v>24.237293574606223</c:v>
                </c:pt>
                <c:pt idx="9">
                  <c:v>17.910937077301888</c:v>
                </c:pt>
                <c:pt idx="10">
                  <c:v>12.833394257733669</c:v>
                </c:pt>
                <c:pt idx="11">
                  <c:v>9.0617112686511732</c:v>
                </c:pt>
                <c:pt idx="12">
                  <c:v>6.3821300358994755</c:v>
                </c:pt>
                <c:pt idx="13">
                  <c:v>5.3646071277932883</c:v>
                </c:pt>
                <c:pt idx="14">
                  <c:v>5.3646071277932883</c:v>
                </c:pt>
                <c:pt idx="15">
                  <c:v>5.3646071277932883</c:v>
                </c:pt>
                <c:pt idx="16">
                  <c:v>5.3646071277932883</c:v>
                </c:pt>
              </c:numCache>
            </c:numRef>
          </c:yVal>
          <c:smooth val="1"/>
          <c:extLst>
            <c:ext xmlns:c16="http://schemas.microsoft.com/office/drawing/2014/chart" uri="{C3380CC4-5D6E-409C-BE32-E72D297353CC}">
              <c16:uniqueId val="{00000002-BC05-45B7-A8AE-55B2A2FB1EDA}"/>
            </c:ext>
          </c:extLst>
        </c:ser>
        <c:ser>
          <c:idx val="4"/>
          <c:order val="3"/>
          <c:tx>
            <c:strRef>
              <c:f>'VDF V8.3x'!$E$10</c:f>
              <c:strCache>
                <c:ptCount val="1"/>
                <c:pt idx="0">
                  <c:v>Art (x=0.6, y=4)</c:v>
                </c:pt>
              </c:strCache>
            </c:strRef>
          </c:tx>
          <c:spPr>
            <a:ln w="25400">
              <a:solidFill>
                <a:srgbClr val="3366FF"/>
              </a:solidFill>
              <a:prstDash val="solid"/>
            </a:ln>
          </c:spPr>
          <c:marker>
            <c:symbol val="none"/>
          </c:marker>
          <c:xVal>
            <c:numRef>
              <c:f>'VDF V8.3x'!$A$11:$A$27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V8.3x'!$E$11:$E$27</c:f>
              <c:numCache>
                <c:formatCode>_(* #,##0.0_);_(* \(#,##0.0\);_(* "-"??_);_(@_)</c:formatCode>
                <c:ptCount val="17"/>
                <c:pt idx="0">
                  <c:v>40</c:v>
                </c:pt>
                <c:pt idx="1">
                  <c:v>39.997600143991363</c:v>
                </c:pt>
                <c:pt idx="2">
                  <c:v>38.554216867469876</c:v>
                </c:pt>
                <c:pt idx="3">
                  <c:v>37.11401425178147</c:v>
                </c:pt>
                <c:pt idx="4">
                  <c:v>34.963201230704691</c:v>
                </c:pt>
                <c:pt idx="5">
                  <c:v>32.108913434369384</c:v>
                </c:pt>
                <c:pt idx="6">
                  <c:v>28.701404933771514</c:v>
                </c:pt>
                <c:pt idx="7">
                  <c:v>25.000000000000007</c:v>
                </c:pt>
                <c:pt idx="8">
                  <c:v>21.294038733856461</c:v>
                </c:pt>
                <c:pt idx="9">
                  <c:v>17.824041066590617</c:v>
                </c:pt>
                <c:pt idx="10">
                  <c:v>14.740240118511531</c:v>
                </c:pt>
                <c:pt idx="11">
                  <c:v>12.103020914020137</c:v>
                </c:pt>
                <c:pt idx="12">
                  <c:v>9.9071207430340529</c:v>
                </c:pt>
                <c:pt idx="13">
                  <c:v>8.1100369817686317</c:v>
                </c:pt>
                <c:pt idx="14">
                  <c:v>6.6541789907606663</c:v>
                </c:pt>
                <c:pt idx="15">
                  <c:v>5.4805331462644675</c:v>
                </c:pt>
                <c:pt idx="16">
                  <c:v>5.4805331462644675</c:v>
                </c:pt>
              </c:numCache>
            </c:numRef>
          </c:yVal>
          <c:smooth val="1"/>
          <c:extLst>
            <c:ext xmlns:c16="http://schemas.microsoft.com/office/drawing/2014/chart" uri="{C3380CC4-5D6E-409C-BE32-E72D297353CC}">
              <c16:uniqueId val="{00000003-BC05-45B7-A8AE-55B2A2FB1EDA}"/>
            </c:ext>
          </c:extLst>
        </c:ser>
        <c:ser>
          <c:idx val="0"/>
          <c:order val="4"/>
          <c:tx>
            <c:strRef>
              <c:f>'VDF V8.3x'!$F$10</c:f>
              <c:strCache>
                <c:ptCount val="1"/>
                <c:pt idx="0">
                  <c:v>Col (x=0.6, y=3)</c:v>
                </c:pt>
              </c:strCache>
            </c:strRef>
          </c:tx>
          <c:spPr>
            <a:ln w="25400">
              <a:solidFill>
                <a:srgbClr val="808080"/>
              </a:solidFill>
              <a:prstDash val="solid"/>
            </a:ln>
          </c:spPr>
          <c:marker>
            <c:symbol val="none"/>
          </c:marker>
          <c:xVal>
            <c:numRef>
              <c:f>'VDF V8.3x'!$A$11:$A$27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V8.3x'!$F$11:$F$27</c:f>
              <c:numCache>
                <c:formatCode>_(* #,##0.0_);_(* \(#,##0.0\);_(* "-"??_);_(@_)</c:formatCode>
                <c:ptCount val="17"/>
                <c:pt idx="0">
                  <c:v>30</c:v>
                </c:pt>
                <c:pt idx="1">
                  <c:v>29.982010793523887</c:v>
                </c:pt>
                <c:pt idx="2">
                  <c:v>27.906976744186046</c:v>
                </c:pt>
                <c:pt idx="3">
                  <c:v>26.558073654390935</c:v>
                </c:pt>
                <c:pt idx="4">
                  <c:v>24.87974788522143</c:v>
                </c:pt>
                <c:pt idx="5">
                  <c:v>22.949816401468791</c:v>
                </c:pt>
                <c:pt idx="6">
                  <c:v>20.871017114234036</c:v>
                </c:pt>
                <c:pt idx="7">
                  <c:v>18.750000000000004</c:v>
                </c:pt>
                <c:pt idx="8">
                  <c:v>16.679639719782056</c:v>
                </c:pt>
                <c:pt idx="9">
                  <c:v>14.728986645718775</c:v>
                </c:pt>
                <c:pt idx="10">
                  <c:v>12.941074971961005</c:v>
                </c:pt>
                <c:pt idx="11">
                  <c:v>11.336154776299878</c:v>
                </c:pt>
                <c:pt idx="12">
                  <c:v>9.9173553719008236</c:v>
                </c:pt>
                <c:pt idx="13">
                  <c:v>8.6765386395187392</c:v>
                </c:pt>
                <c:pt idx="14">
                  <c:v>7.5991691575054414</c:v>
                </c:pt>
                <c:pt idx="15">
                  <c:v>6.2513349204778095</c:v>
                </c:pt>
                <c:pt idx="16">
                  <c:v>6.2513349204778095</c:v>
                </c:pt>
              </c:numCache>
            </c:numRef>
          </c:yVal>
          <c:smooth val="1"/>
          <c:extLst>
            <c:ext xmlns:c16="http://schemas.microsoft.com/office/drawing/2014/chart" uri="{C3380CC4-5D6E-409C-BE32-E72D297353CC}">
              <c16:uniqueId val="{00000004-BC05-45B7-A8AE-55B2A2FB1EDA}"/>
            </c:ext>
          </c:extLst>
        </c:ser>
        <c:ser>
          <c:idx val="5"/>
          <c:order val="5"/>
          <c:tx>
            <c:strRef>
              <c:f>'VDF V8.3x'!$G$10</c:f>
              <c:strCache>
                <c:ptCount val="1"/>
                <c:pt idx="0">
                  <c:v>MM (x=0.7, y=8)</c:v>
                </c:pt>
              </c:strCache>
            </c:strRef>
          </c:tx>
          <c:marker>
            <c:symbol val="none"/>
          </c:marker>
          <c:xVal>
            <c:numRef>
              <c:f>'VDF V8.3x'!$A$11:$A$27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V8.3x'!$G$11:$G$27</c:f>
              <c:numCache>
                <c:formatCode>_(* #,##0.0_);_(* \(#,##0.0\);_(* "-"??_);_(@_)</c:formatCode>
                <c:ptCount val="17"/>
                <c:pt idx="0">
                  <c:v>67</c:v>
                </c:pt>
                <c:pt idx="1">
                  <c:v>66.999999531000014</c:v>
                </c:pt>
                <c:pt idx="2">
                  <c:v>66.817296455005845</c:v>
                </c:pt>
                <c:pt idx="3">
                  <c:v>66.221414172492771</c:v>
                </c:pt>
                <c:pt idx="4">
                  <c:v>64.401180088377401</c:v>
                </c:pt>
                <c:pt idx="5">
                  <c:v>59.958449045384178</c:v>
                </c:pt>
                <c:pt idx="6">
                  <c:v>51.485904449967236</c:v>
                </c:pt>
                <c:pt idx="7">
                  <c:v>39.411764705882369</c:v>
                </c:pt>
                <c:pt idx="8">
                  <c:v>26.794510694336502</c:v>
                </c:pt>
                <c:pt idx="9">
                  <c:v>16.708763306839149</c:v>
                </c:pt>
                <c:pt idx="10">
                  <c:v>9.9849256727654421</c:v>
                </c:pt>
                <c:pt idx="11">
                  <c:v>5.9132308086761292</c:v>
                </c:pt>
                <c:pt idx="12">
                  <c:v>4.8056584125471131</c:v>
                </c:pt>
                <c:pt idx="13">
                  <c:v>4.8056584125471131</c:v>
                </c:pt>
                <c:pt idx="14">
                  <c:v>4.8056584125471131</c:v>
                </c:pt>
                <c:pt idx="15">
                  <c:v>4.8056584125471131</c:v>
                </c:pt>
                <c:pt idx="16">
                  <c:v>4.8056584125471131</c:v>
                </c:pt>
              </c:numCache>
            </c:numRef>
          </c:yVal>
          <c:smooth val="1"/>
          <c:extLst>
            <c:ext xmlns:c16="http://schemas.microsoft.com/office/drawing/2014/chart" uri="{C3380CC4-5D6E-409C-BE32-E72D297353CC}">
              <c16:uniqueId val="{00000005-BC05-45B7-A8AE-55B2A2FB1EDA}"/>
            </c:ext>
          </c:extLst>
        </c:ser>
        <c:dLbls>
          <c:showLegendKey val="0"/>
          <c:showVal val="0"/>
          <c:showCatName val="0"/>
          <c:showSerName val="0"/>
          <c:showPercent val="0"/>
          <c:showBubbleSize val="0"/>
        </c:dLbls>
        <c:axId val="245011144"/>
        <c:axId val="245011536"/>
      </c:scatterChart>
      <c:valAx>
        <c:axId val="245011144"/>
        <c:scaling>
          <c:orientation val="minMax"/>
          <c:max val="1.7"/>
          <c:min val="0"/>
        </c:scaling>
        <c:delete val="0"/>
        <c:axPos val="b"/>
        <c:majorGridlines>
          <c:spPr>
            <a:ln w="25400">
              <a:solidFill>
                <a:srgbClr val="C0C0C0"/>
              </a:solidFill>
              <a:prstDash val="solid"/>
            </a:ln>
          </c:spPr>
        </c:majorGridlines>
        <c:minorGridlines>
          <c:spPr>
            <a:ln w="12700">
              <a:solidFill>
                <a:srgbClr val="C0C0C0"/>
              </a:solidFill>
              <a:prstDash val="solid"/>
            </a:ln>
          </c:spPr>
        </c:minorGridlines>
        <c:title>
          <c:tx>
            <c:rich>
              <a:bodyPr/>
              <a:lstStyle/>
              <a:p>
                <a:pPr>
                  <a:defRPr sz="1400" b="0" i="0" u="none" strike="noStrike" baseline="0">
                    <a:solidFill>
                      <a:srgbClr val="000000"/>
                    </a:solidFill>
                    <a:latin typeface="Calibri"/>
                    <a:ea typeface="Calibri"/>
                    <a:cs typeface="Calibri"/>
                  </a:defRPr>
                </a:pPr>
                <a:r>
                  <a:rPr lang="en-US"/>
                  <a:t>Volume/Capacity Ratio (V/C)</a:t>
                </a:r>
              </a:p>
            </c:rich>
          </c:tx>
          <c:layout>
            <c:manualLayout>
              <c:xMode val="edge"/>
              <c:yMode val="edge"/>
              <c:x val="0.41481531492973001"/>
              <c:y val="0.75726622139793831"/>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Calibri"/>
                <a:ea typeface="Calibri"/>
                <a:cs typeface="Calibri"/>
              </a:defRPr>
            </a:pPr>
            <a:endParaRPr lang="en-US"/>
          </a:p>
        </c:txPr>
        <c:crossAx val="245011536"/>
        <c:crosses val="autoZero"/>
        <c:crossBetween val="midCat"/>
        <c:majorUnit val="0.5"/>
        <c:minorUnit val="0.1"/>
      </c:valAx>
      <c:valAx>
        <c:axId val="245011536"/>
        <c:scaling>
          <c:orientation val="minMax"/>
          <c:min val="0"/>
        </c:scaling>
        <c:delete val="0"/>
        <c:axPos val="l"/>
        <c:majorGridlines>
          <c:spPr>
            <a:ln w="12700">
              <a:solidFill>
                <a:srgbClr val="C0C0C0"/>
              </a:solidFill>
              <a:prstDash val="solid"/>
            </a:ln>
          </c:spPr>
        </c:majorGridlines>
        <c:title>
          <c:tx>
            <c:rich>
              <a:bodyPr/>
              <a:lstStyle/>
              <a:p>
                <a:pPr>
                  <a:defRPr sz="1400" b="0" i="0" u="none" strike="noStrike" baseline="0">
                    <a:solidFill>
                      <a:srgbClr val="000000"/>
                    </a:solidFill>
                    <a:latin typeface="Calibri"/>
                    <a:ea typeface="Calibri"/>
                    <a:cs typeface="Calibri"/>
                  </a:defRPr>
                </a:pPr>
                <a:r>
                  <a:rPr lang="en-US"/>
                  <a:t>Speed (mph)</a:t>
                </a:r>
              </a:p>
            </c:rich>
          </c:tx>
          <c:layout>
            <c:manualLayout>
              <c:xMode val="edge"/>
              <c:yMode val="edge"/>
              <c:x val="3.3333373521139027E-2"/>
              <c:y val="0.32991508065418157"/>
            </c:manualLayout>
          </c:layout>
          <c:overlay val="0"/>
          <c:spPr>
            <a:noFill/>
            <a:ln w="25400">
              <a:noFill/>
            </a:ln>
          </c:spPr>
        </c:title>
        <c:numFmt formatCode="_(* #,##0_);_(* \(#,##0\);_(* &quot;-&quot;??_);_(@_)"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Calibri"/>
                <a:ea typeface="Calibri"/>
                <a:cs typeface="Calibri"/>
              </a:defRPr>
            </a:pPr>
            <a:endParaRPr lang="en-US"/>
          </a:p>
        </c:txPr>
        <c:crossAx val="245011144"/>
        <c:crosses val="autoZero"/>
        <c:crossBetween val="midCat"/>
      </c:valAx>
      <c:spPr>
        <a:noFill/>
        <a:ln w="25400">
          <a:noFill/>
        </a:ln>
      </c:spPr>
    </c:plotArea>
    <c:legend>
      <c:legendPos val="b"/>
      <c:layout>
        <c:manualLayout>
          <c:xMode val="edge"/>
          <c:yMode val="edge"/>
          <c:x val="0.10123468995308897"/>
          <c:y val="0.84786466323561571"/>
          <c:w val="0.57819932965127141"/>
          <c:h val="9.3595445839540325E-2"/>
        </c:manualLayout>
      </c:layout>
      <c:overlay val="0"/>
      <c:spPr>
        <a:solidFill>
          <a:srgbClr val="FFFFFF"/>
        </a:solidFill>
        <a:ln w="25400">
          <a:noFill/>
        </a:ln>
      </c:spPr>
      <c:txPr>
        <a:bodyPr/>
        <a:lstStyle/>
        <a:p>
          <a:pPr>
            <a:defRPr sz="1285"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C0C0C0"/>
      </a:solidFill>
      <a:prstDash val="solid"/>
    </a:ln>
  </c:spPr>
  <c:txPr>
    <a:bodyPr/>
    <a:lstStyle/>
    <a:p>
      <a:pPr>
        <a:defRPr sz="1725" b="0" i="0" u="none" strike="noStrike" baseline="0">
          <a:solidFill>
            <a:srgbClr val="000000"/>
          </a:solidFill>
          <a:latin typeface="Calibri"/>
          <a:ea typeface="Calibri"/>
          <a:cs typeface="Calibri"/>
        </a:defRPr>
      </a:pPr>
      <a:endParaRPr lang="en-US"/>
    </a:p>
  </c:txPr>
  <c:printSettings>
    <c:headerFooter alignWithMargins="0"/>
    <c:pageMargins b="1" l="0.75000000000000078" r="0.75000000000000078"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Capacity by Area Type</a:t>
            </a:r>
          </a:p>
        </c:rich>
      </c:tx>
      <c:overlay val="0"/>
    </c:title>
    <c:autoTitleDeleted val="0"/>
    <c:plotArea>
      <c:layout>
        <c:manualLayout>
          <c:layoutTarget val="inner"/>
          <c:xMode val="edge"/>
          <c:yMode val="edge"/>
          <c:x val="8.4893306030901158E-2"/>
          <c:y val="0.13250319799394841"/>
          <c:w val="0.89342553336120689"/>
          <c:h val="0.61226328707906308"/>
        </c:manualLayout>
      </c:layout>
      <c:lineChart>
        <c:grouping val="standard"/>
        <c:varyColors val="0"/>
        <c:ser>
          <c:idx val="0"/>
          <c:order val="0"/>
          <c:tx>
            <c:strRef>
              <c:f>'Cap1hr1ln V8.3x'!$W$7:$Y$7</c:f>
              <c:strCache>
                <c:ptCount val="3"/>
                <c:pt idx="0">
                  <c:v>Principal Arterial, 2 lanes</c:v>
                </c:pt>
              </c:strCache>
            </c:strRef>
          </c:tx>
          <c:spPr>
            <a:ln w="25400">
              <a:solidFill>
                <a:srgbClr val="FF0000"/>
              </a:solidFill>
            </a:ln>
          </c:spPr>
          <c:marker>
            <c:spPr>
              <a:noFill/>
              <a:ln>
                <a:solidFill>
                  <a:srgbClr val="FF0000"/>
                </a:solidFill>
              </a:ln>
            </c:spPr>
          </c:marker>
          <c:cat>
            <c:strRef>
              <c:f>'Cap1hr1ln V8.3x'!$Z$6:$AD$6</c:f>
              <c:strCache>
                <c:ptCount val="5"/>
                <c:pt idx="0">
                  <c:v>Rural</c:v>
                </c:pt>
                <c:pt idx="1">
                  <c:v>Transition</c:v>
                </c:pt>
                <c:pt idx="2">
                  <c:v>Suburban</c:v>
                </c:pt>
                <c:pt idx="3">
                  <c:v>Urban</c:v>
                </c:pt>
                <c:pt idx="4">
                  <c:v>CBD</c:v>
                </c:pt>
              </c:strCache>
            </c:strRef>
          </c:cat>
          <c:val>
            <c:numRef>
              <c:f>'Cap1hr1ln V8.3x'!$Z$7:$AD$7</c:f>
              <c:numCache>
                <c:formatCode>_(* #,##0_);_(* \(#,##0\);_(* "-"??_);_(@_)</c:formatCode>
                <c:ptCount val="5"/>
                <c:pt idx="0">
                  <c:v>1022.1354</c:v>
                </c:pt>
                <c:pt idx="1">
                  <c:v>975.67470000000003</c:v>
                </c:pt>
                <c:pt idx="2">
                  <c:v>929.21399999999994</c:v>
                </c:pt>
                <c:pt idx="3">
                  <c:v>882.75329999999985</c:v>
                </c:pt>
                <c:pt idx="4">
                  <c:v>836.29259999999999</c:v>
                </c:pt>
              </c:numCache>
            </c:numRef>
          </c:val>
          <c:smooth val="0"/>
          <c:extLst>
            <c:ext xmlns:c16="http://schemas.microsoft.com/office/drawing/2014/chart" uri="{C3380CC4-5D6E-409C-BE32-E72D297353CC}">
              <c16:uniqueId val="{00000000-C541-4D71-AA93-2FD230C11E6F}"/>
            </c:ext>
          </c:extLst>
        </c:ser>
        <c:ser>
          <c:idx val="1"/>
          <c:order val="1"/>
          <c:tx>
            <c:strRef>
              <c:f>'Cap1hr1ln V8.3x'!$W$8:$Y$8</c:f>
              <c:strCache>
                <c:ptCount val="3"/>
                <c:pt idx="0">
                  <c:v>Principal Arterial, 3 lanes</c:v>
                </c:pt>
              </c:strCache>
            </c:strRef>
          </c:tx>
          <c:spPr>
            <a:ln w="25400">
              <a:solidFill>
                <a:srgbClr val="FF0000"/>
              </a:solidFill>
              <a:prstDash val="dash"/>
            </a:ln>
          </c:spPr>
          <c:marker>
            <c:symbol val="none"/>
          </c:marker>
          <c:cat>
            <c:strRef>
              <c:f>'Cap1hr1ln V8.3x'!$Z$6:$AD$6</c:f>
              <c:strCache>
                <c:ptCount val="5"/>
                <c:pt idx="0">
                  <c:v>Rural</c:v>
                </c:pt>
                <c:pt idx="1">
                  <c:v>Transition</c:v>
                </c:pt>
                <c:pt idx="2">
                  <c:v>Suburban</c:v>
                </c:pt>
                <c:pt idx="3">
                  <c:v>Urban</c:v>
                </c:pt>
                <c:pt idx="4">
                  <c:v>CBD</c:v>
                </c:pt>
              </c:strCache>
            </c:strRef>
          </c:cat>
          <c:val>
            <c:numRef>
              <c:f>'Cap1hr1ln V8.3x'!$Z$8:$AD$8</c:f>
              <c:numCache>
                <c:formatCode>_(* #,##0_);_(* \(#,##0\);_(* "-"??_);_(@_)</c:formatCode>
                <c:ptCount val="5"/>
                <c:pt idx="0">
                  <c:v>979.09812000000011</c:v>
                </c:pt>
                <c:pt idx="1">
                  <c:v>934.59366</c:v>
                </c:pt>
                <c:pt idx="2">
                  <c:v>890.08920000000001</c:v>
                </c:pt>
                <c:pt idx="3">
                  <c:v>845.58474000000001</c:v>
                </c:pt>
                <c:pt idx="4">
                  <c:v>801.08028000000002</c:v>
                </c:pt>
              </c:numCache>
            </c:numRef>
          </c:val>
          <c:smooth val="0"/>
          <c:extLst>
            <c:ext xmlns:c16="http://schemas.microsoft.com/office/drawing/2014/chart" uri="{C3380CC4-5D6E-409C-BE32-E72D297353CC}">
              <c16:uniqueId val="{00000001-C541-4D71-AA93-2FD230C11E6F}"/>
            </c:ext>
          </c:extLst>
        </c:ser>
        <c:ser>
          <c:idx val="2"/>
          <c:order val="2"/>
          <c:tx>
            <c:strRef>
              <c:f>'Cap1hr1ln V8.3x'!$W$9:$Y$9</c:f>
              <c:strCache>
                <c:ptCount val="3"/>
                <c:pt idx="0">
                  <c:v>Minor Arterial, 2 lanes</c:v>
                </c:pt>
              </c:strCache>
            </c:strRef>
          </c:tx>
          <c:spPr>
            <a:ln w="25400">
              <a:solidFill>
                <a:srgbClr val="008000"/>
              </a:solidFill>
            </a:ln>
          </c:spPr>
          <c:marker>
            <c:spPr>
              <a:noFill/>
              <a:ln>
                <a:solidFill>
                  <a:srgbClr val="008000"/>
                </a:solidFill>
              </a:ln>
            </c:spPr>
          </c:marker>
          <c:cat>
            <c:strRef>
              <c:f>'Cap1hr1ln V8.3x'!$Z$6:$AD$6</c:f>
              <c:strCache>
                <c:ptCount val="5"/>
                <c:pt idx="0">
                  <c:v>Rural</c:v>
                </c:pt>
                <c:pt idx="1">
                  <c:v>Transition</c:v>
                </c:pt>
                <c:pt idx="2">
                  <c:v>Suburban</c:v>
                </c:pt>
                <c:pt idx="3">
                  <c:v>Urban</c:v>
                </c:pt>
                <c:pt idx="4">
                  <c:v>CBD</c:v>
                </c:pt>
              </c:strCache>
            </c:strRef>
          </c:cat>
          <c:val>
            <c:numRef>
              <c:f>'Cap1hr1ln V8.3x'!$Z$9:$AD$9</c:f>
              <c:numCache>
                <c:formatCode>_(* #,##0_);_(* \(#,##0\);_(* "-"??_);_(@_)</c:formatCode>
                <c:ptCount val="5"/>
                <c:pt idx="0">
                  <c:v>943.50959999999998</c:v>
                </c:pt>
                <c:pt idx="1">
                  <c:v>900.62279999999987</c:v>
                </c:pt>
                <c:pt idx="2">
                  <c:v>857.73599999999988</c:v>
                </c:pt>
                <c:pt idx="3">
                  <c:v>814.84919999999988</c:v>
                </c:pt>
                <c:pt idx="4">
                  <c:v>771.96239999999989</c:v>
                </c:pt>
              </c:numCache>
            </c:numRef>
          </c:val>
          <c:smooth val="0"/>
          <c:extLst>
            <c:ext xmlns:c16="http://schemas.microsoft.com/office/drawing/2014/chart" uri="{C3380CC4-5D6E-409C-BE32-E72D297353CC}">
              <c16:uniqueId val="{00000002-C541-4D71-AA93-2FD230C11E6F}"/>
            </c:ext>
          </c:extLst>
        </c:ser>
        <c:ser>
          <c:idx val="3"/>
          <c:order val="3"/>
          <c:tx>
            <c:strRef>
              <c:f>'Cap1hr1ln V8.3x'!$W$10:$Y$10</c:f>
              <c:strCache>
                <c:ptCount val="3"/>
                <c:pt idx="0">
                  <c:v>Minor Arterial, 3 lanes</c:v>
                </c:pt>
              </c:strCache>
            </c:strRef>
          </c:tx>
          <c:spPr>
            <a:ln w="25400">
              <a:solidFill>
                <a:srgbClr val="008000"/>
              </a:solidFill>
              <a:prstDash val="dash"/>
            </a:ln>
          </c:spPr>
          <c:marker>
            <c:symbol val="none"/>
          </c:marker>
          <c:cat>
            <c:strRef>
              <c:f>'Cap1hr1ln V8.3x'!$Z$6:$AD$6</c:f>
              <c:strCache>
                <c:ptCount val="5"/>
                <c:pt idx="0">
                  <c:v>Rural</c:v>
                </c:pt>
                <c:pt idx="1">
                  <c:v>Transition</c:v>
                </c:pt>
                <c:pt idx="2">
                  <c:v>Suburban</c:v>
                </c:pt>
                <c:pt idx="3">
                  <c:v>Urban</c:v>
                </c:pt>
                <c:pt idx="4">
                  <c:v>CBD</c:v>
                </c:pt>
              </c:strCache>
            </c:strRef>
          </c:cat>
          <c:val>
            <c:numRef>
              <c:f>'Cap1hr1ln V8.3x'!$Z$10:$AD$10</c:f>
              <c:numCache>
                <c:formatCode>_(* #,##0_);_(* \(#,##0\);_(* "-"??_);_(@_)</c:formatCode>
                <c:ptCount val="5"/>
                <c:pt idx="0">
                  <c:v>903.78288000000009</c:v>
                </c:pt>
                <c:pt idx="1">
                  <c:v>862.70184000000006</c:v>
                </c:pt>
                <c:pt idx="2">
                  <c:v>821.62080000000003</c:v>
                </c:pt>
                <c:pt idx="3">
                  <c:v>780.53976</c:v>
                </c:pt>
                <c:pt idx="4">
                  <c:v>739.45872000000008</c:v>
                </c:pt>
              </c:numCache>
            </c:numRef>
          </c:val>
          <c:smooth val="0"/>
          <c:extLst>
            <c:ext xmlns:c16="http://schemas.microsoft.com/office/drawing/2014/chart" uri="{C3380CC4-5D6E-409C-BE32-E72D297353CC}">
              <c16:uniqueId val="{00000003-C541-4D71-AA93-2FD230C11E6F}"/>
            </c:ext>
          </c:extLst>
        </c:ser>
        <c:ser>
          <c:idx val="4"/>
          <c:order val="4"/>
          <c:tx>
            <c:strRef>
              <c:f>'Cap1hr1ln V8.3x'!$W$11:$Y$11</c:f>
              <c:strCache>
                <c:ptCount val="3"/>
                <c:pt idx="0">
                  <c:v>Major Collector, 1 lane</c:v>
                </c:pt>
              </c:strCache>
            </c:strRef>
          </c:tx>
          <c:spPr>
            <a:ln w="25400">
              <a:solidFill>
                <a:srgbClr val="0000FF"/>
              </a:solidFill>
            </a:ln>
          </c:spPr>
          <c:marker>
            <c:spPr>
              <a:ln>
                <a:solidFill>
                  <a:srgbClr val="0000FF"/>
                </a:solidFill>
              </a:ln>
            </c:spPr>
          </c:marker>
          <c:cat>
            <c:strRef>
              <c:f>'Cap1hr1ln V8.3x'!$Z$6:$AD$6</c:f>
              <c:strCache>
                <c:ptCount val="5"/>
                <c:pt idx="0">
                  <c:v>Rural</c:v>
                </c:pt>
                <c:pt idx="1">
                  <c:v>Transition</c:v>
                </c:pt>
                <c:pt idx="2">
                  <c:v>Suburban</c:v>
                </c:pt>
                <c:pt idx="3">
                  <c:v>Urban</c:v>
                </c:pt>
                <c:pt idx="4">
                  <c:v>CBD</c:v>
                </c:pt>
              </c:strCache>
            </c:strRef>
          </c:cat>
          <c:val>
            <c:numRef>
              <c:f>'Cap1hr1ln V8.3x'!$Z$11:$AD$11</c:f>
              <c:numCache>
                <c:formatCode>_(* #,##0_);_(* \(#,##0\);_(* "-"??_);_(@_)</c:formatCode>
                <c:ptCount val="5"/>
                <c:pt idx="0">
                  <c:v>822.80000000000007</c:v>
                </c:pt>
                <c:pt idx="1">
                  <c:v>785.4</c:v>
                </c:pt>
                <c:pt idx="2">
                  <c:v>748</c:v>
                </c:pt>
                <c:pt idx="3">
                  <c:v>710.6</c:v>
                </c:pt>
                <c:pt idx="4">
                  <c:v>673.2</c:v>
                </c:pt>
              </c:numCache>
            </c:numRef>
          </c:val>
          <c:smooth val="0"/>
          <c:extLst>
            <c:ext xmlns:c16="http://schemas.microsoft.com/office/drawing/2014/chart" uri="{C3380CC4-5D6E-409C-BE32-E72D297353CC}">
              <c16:uniqueId val="{00000004-C541-4D71-AA93-2FD230C11E6F}"/>
            </c:ext>
          </c:extLst>
        </c:ser>
        <c:ser>
          <c:idx val="5"/>
          <c:order val="5"/>
          <c:tx>
            <c:strRef>
              <c:f>'Cap1hr1ln V8.3x'!$W$12:$Y$12</c:f>
              <c:strCache>
                <c:ptCount val="3"/>
                <c:pt idx="0">
                  <c:v>Major Collector, 2 lanes</c:v>
                </c:pt>
              </c:strCache>
            </c:strRef>
          </c:tx>
          <c:spPr>
            <a:ln w="25400">
              <a:solidFill>
                <a:srgbClr val="0000FF"/>
              </a:solidFill>
              <a:prstDash val="dash"/>
            </a:ln>
          </c:spPr>
          <c:marker>
            <c:symbol val="none"/>
          </c:marker>
          <c:cat>
            <c:strRef>
              <c:f>'Cap1hr1ln V8.3x'!$Z$6:$AD$6</c:f>
              <c:strCache>
                <c:ptCount val="5"/>
                <c:pt idx="0">
                  <c:v>Rural</c:v>
                </c:pt>
                <c:pt idx="1">
                  <c:v>Transition</c:v>
                </c:pt>
                <c:pt idx="2">
                  <c:v>Suburban</c:v>
                </c:pt>
                <c:pt idx="3">
                  <c:v>Urban</c:v>
                </c:pt>
                <c:pt idx="4">
                  <c:v>CBD</c:v>
                </c:pt>
              </c:strCache>
            </c:strRef>
          </c:cat>
          <c:val>
            <c:numRef>
              <c:f>'Cap1hr1ln V8.3x'!$Z$12:$AD$12</c:f>
              <c:numCache>
                <c:formatCode>_(* #,##0_);_(* \(#,##0\);_(* "-"??_);_(@_)</c:formatCode>
                <c:ptCount val="5"/>
                <c:pt idx="0">
                  <c:v>781.66000000000008</c:v>
                </c:pt>
                <c:pt idx="1">
                  <c:v>746.13000000000011</c:v>
                </c:pt>
                <c:pt idx="2">
                  <c:v>710.6</c:v>
                </c:pt>
                <c:pt idx="3">
                  <c:v>675.06999999999994</c:v>
                </c:pt>
                <c:pt idx="4">
                  <c:v>639.54000000000008</c:v>
                </c:pt>
              </c:numCache>
            </c:numRef>
          </c:val>
          <c:smooth val="0"/>
          <c:extLst>
            <c:ext xmlns:c16="http://schemas.microsoft.com/office/drawing/2014/chart" uri="{C3380CC4-5D6E-409C-BE32-E72D297353CC}">
              <c16:uniqueId val="{00000005-C541-4D71-AA93-2FD230C11E6F}"/>
            </c:ext>
          </c:extLst>
        </c:ser>
        <c:ser>
          <c:idx val="6"/>
          <c:order val="6"/>
          <c:tx>
            <c:strRef>
              <c:f>'Cap1hr1ln V8.3x'!$W$13:$Y$13</c:f>
              <c:strCache>
                <c:ptCount val="3"/>
                <c:pt idx="0">
                  <c:v>Minor Collector, 1 lane</c:v>
                </c:pt>
              </c:strCache>
            </c:strRef>
          </c:tx>
          <c:spPr>
            <a:ln w="25400">
              <a:solidFill>
                <a:srgbClr val="FF80FF"/>
              </a:solidFill>
            </a:ln>
          </c:spPr>
          <c:marker>
            <c:spPr>
              <a:ln>
                <a:solidFill>
                  <a:srgbClr val="FF80FF"/>
                </a:solidFill>
              </a:ln>
            </c:spPr>
          </c:marker>
          <c:cat>
            <c:strRef>
              <c:f>'Cap1hr1ln V8.3x'!$Z$6:$AD$6</c:f>
              <c:strCache>
                <c:ptCount val="5"/>
                <c:pt idx="0">
                  <c:v>Rural</c:v>
                </c:pt>
                <c:pt idx="1">
                  <c:v>Transition</c:v>
                </c:pt>
                <c:pt idx="2">
                  <c:v>Suburban</c:v>
                </c:pt>
                <c:pt idx="3">
                  <c:v>Urban</c:v>
                </c:pt>
                <c:pt idx="4">
                  <c:v>CBD</c:v>
                </c:pt>
              </c:strCache>
            </c:strRef>
          </c:cat>
          <c:val>
            <c:numRef>
              <c:f>'Cap1hr1ln V8.3x'!$Z$13:$AD$13</c:f>
              <c:numCache>
                <c:formatCode>_(* #,##0_);_(* \(#,##0\);_(* "-"??_);_(@_)</c:formatCode>
                <c:ptCount val="5"/>
                <c:pt idx="0">
                  <c:v>577.5</c:v>
                </c:pt>
                <c:pt idx="1">
                  <c:v>551.25</c:v>
                </c:pt>
                <c:pt idx="2">
                  <c:v>525</c:v>
                </c:pt>
                <c:pt idx="3">
                  <c:v>498.75</c:v>
                </c:pt>
                <c:pt idx="4">
                  <c:v>472.5</c:v>
                </c:pt>
              </c:numCache>
            </c:numRef>
          </c:val>
          <c:smooth val="0"/>
          <c:extLst>
            <c:ext xmlns:c16="http://schemas.microsoft.com/office/drawing/2014/chart" uri="{C3380CC4-5D6E-409C-BE32-E72D297353CC}">
              <c16:uniqueId val="{00000006-C541-4D71-AA93-2FD230C11E6F}"/>
            </c:ext>
          </c:extLst>
        </c:ser>
        <c:dLbls>
          <c:showLegendKey val="0"/>
          <c:showVal val="0"/>
          <c:showCatName val="0"/>
          <c:showSerName val="0"/>
          <c:showPercent val="0"/>
          <c:showBubbleSize val="0"/>
        </c:dLbls>
        <c:marker val="1"/>
        <c:smooth val="0"/>
        <c:axId val="244168432"/>
        <c:axId val="244168824"/>
      </c:lineChart>
      <c:catAx>
        <c:axId val="244168432"/>
        <c:scaling>
          <c:orientation val="minMax"/>
        </c:scaling>
        <c:delete val="0"/>
        <c:axPos val="b"/>
        <c:numFmt formatCode="General" sourceLinked="0"/>
        <c:majorTickMark val="out"/>
        <c:minorTickMark val="none"/>
        <c:tickLblPos val="nextTo"/>
        <c:txPr>
          <a:bodyPr/>
          <a:lstStyle/>
          <a:p>
            <a:pPr>
              <a:defRPr sz="1100" b="1" i="0" baseline="0"/>
            </a:pPr>
            <a:endParaRPr lang="en-US"/>
          </a:p>
        </c:txPr>
        <c:crossAx val="244168824"/>
        <c:crosses val="autoZero"/>
        <c:auto val="1"/>
        <c:lblAlgn val="ctr"/>
        <c:lblOffset val="100"/>
        <c:noMultiLvlLbl val="0"/>
      </c:catAx>
      <c:valAx>
        <c:axId val="244168824"/>
        <c:scaling>
          <c:orientation val="minMax"/>
          <c:max val="1100"/>
          <c:min val="400"/>
        </c:scaling>
        <c:delete val="0"/>
        <c:axPos val="l"/>
        <c:majorGridlines/>
        <c:numFmt formatCode="_(* #,##0_);_(* \(#,##0\);_(* &quot;-&quot;??_);_(@_)" sourceLinked="1"/>
        <c:majorTickMark val="out"/>
        <c:minorTickMark val="none"/>
        <c:tickLblPos val="nextTo"/>
        <c:crossAx val="244168432"/>
        <c:crosses val="autoZero"/>
        <c:crossBetween val="between"/>
      </c:valAx>
    </c:plotArea>
    <c:legend>
      <c:legendPos val="r"/>
      <c:layout>
        <c:manualLayout>
          <c:xMode val="edge"/>
          <c:yMode val="edge"/>
          <c:x val="0.11186935680672044"/>
          <c:y val="0.820286501576867"/>
          <c:w val="0.83294223437319093"/>
          <c:h val="0.15927881920070855"/>
        </c:manualLayout>
      </c:layout>
      <c:overlay val="1"/>
      <c:spPr>
        <a:solidFill>
          <a:srgbClr val="FFFFFF"/>
        </a:solidFill>
      </c:spPr>
      <c:txPr>
        <a:bodyPr/>
        <a:lstStyle/>
        <a:p>
          <a:pPr>
            <a:defRPr sz="900" baseline="0"/>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Hourly Capacity per Direction, FT 32 Freeway</a:t>
            </a:r>
            <a:endParaRPr lang="en-US"/>
          </a:p>
        </c:rich>
      </c:tx>
      <c:overlay val="0"/>
      <c:spPr>
        <a:noFill/>
        <a:ln w="25400">
          <a:noFill/>
        </a:ln>
      </c:spPr>
    </c:title>
    <c:autoTitleDeleted val="0"/>
    <c:plotArea>
      <c:layout>
        <c:manualLayout>
          <c:layoutTarget val="inner"/>
          <c:xMode val="edge"/>
          <c:yMode val="edge"/>
          <c:x val="0.14476717555093577"/>
          <c:y val="0.15596363721797704"/>
          <c:w val="0.65724297700124601"/>
          <c:h val="0.64059371780667496"/>
        </c:manualLayout>
      </c:layout>
      <c:scatterChart>
        <c:scatterStyle val="smoothMarker"/>
        <c:varyColors val="0"/>
        <c:ser>
          <c:idx val="0"/>
          <c:order val="0"/>
          <c:tx>
            <c:strRef>
              <c:f>'Cap1hr1ln V8.3x'!$AJ$43</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V8.3x'!$AI$44:$AI$49</c:f>
              <c:numCache>
                <c:formatCode>General</c:formatCode>
                <c:ptCount val="6"/>
                <c:pt idx="0">
                  <c:v>2</c:v>
                </c:pt>
                <c:pt idx="1">
                  <c:v>3</c:v>
                </c:pt>
                <c:pt idx="2">
                  <c:v>4</c:v>
                </c:pt>
                <c:pt idx="3">
                  <c:v>5</c:v>
                </c:pt>
                <c:pt idx="4">
                  <c:v>6</c:v>
                </c:pt>
                <c:pt idx="5">
                  <c:v>7</c:v>
                </c:pt>
              </c:numCache>
            </c:numRef>
          </c:xVal>
          <c:yVal>
            <c:numRef>
              <c:f>'Cap1hr1ln V8.3x'!$AJ$44:$AJ$49</c:f>
              <c:numCache>
                <c:formatCode>_(* #,##0_);_(* \(#,##0\);_(* "-"??_);_(@_)</c:formatCode>
                <c:ptCount val="6"/>
                <c:pt idx="0">
                  <c:v>3642.5</c:v>
                </c:pt>
                <c:pt idx="1">
                  <c:v>5463.75</c:v>
                </c:pt>
                <c:pt idx="2">
                  <c:v>7285</c:v>
                </c:pt>
                <c:pt idx="3">
                  <c:v>9106.25</c:v>
                </c:pt>
                <c:pt idx="4">
                  <c:v>10927.5</c:v>
                </c:pt>
                <c:pt idx="5">
                  <c:v>12748.75</c:v>
                </c:pt>
              </c:numCache>
            </c:numRef>
          </c:yVal>
          <c:smooth val="1"/>
          <c:extLst>
            <c:ext xmlns:c16="http://schemas.microsoft.com/office/drawing/2014/chart" uri="{C3380CC4-5D6E-409C-BE32-E72D297353CC}">
              <c16:uniqueId val="{00000000-2EC6-4892-A9D5-595B18058CB5}"/>
            </c:ext>
          </c:extLst>
        </c:ser>
        <c:ser>
          <c:idx val="1"/>
          <c:order val="1"/>
          <c:tx>
            <c:strRef>
              <c:f>'Cap1hr1ln V8.3x'!$AK$43</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V8.3x'!$AI$44:$AI$49</c:f>
              <c:numCache>
                <c:formatCode>General</c:formatCode>
                <c:ptCount val="6"/>
                <c:pt idx="0">
                  <c:v>2</c:v>
                </c:pt>
                <c:pt idx="1">
                  <c:v>3</c:v>
                </c:pt>
                <c:pt idx="2">
                  <c:v>4</c:v>
                </c:pt>
                <c:pt idx="3">
                  <c:v>5</c:v>
                </c:pt>
                <c:pt idx="4">
                  <c:v>6</c:v>
                </c:pt>
                <c:pt idx="5">
                  <c:v>7</c:v>
                </c:pt>
              </c:numCache>
            </c:numRef>
          </c:xVal>
          <c:yVal>
            <c:numRef>
              <c:f>'Cap1hr1ln V8.3x'!$AK$44:$AK$49</c:f>
              <c:numCache>
                <c:formatCode>_(* #,##0_);_(* \(#,##0\);_(* "-"??_);_(@_)</c:formatCode>
                <c:ptCount val="6"/>
                <c:pt idx="0">
                  <c:v>4160.375</c:v>
                </c:pt>
                <c:pt idx="1">
                  <c:v>5890.5625</c:v>
                </c:pt>
                <c:pt idx="2">
                  <c:v>7482.335</c:v>
                </c:pt>
                <c:pt idx="3">
                  <c:v>8918.390625</c:v>
                </c:pt>
                <c:pt idx="4">
                  <c:v>10146.82375</c:v>
                </c:pt>
                <c:pt idx="5">
                  <c:v>11357.955</c:v>
                </c:pt>
              </c:numCache>
            </c:numRef>
          </c:yVal>
          <c:smooth val="1"/>
          <c:extLst>
            <c:ext xmlns:c16="http://schemas.microsoft.com/office/drawing/2014/chart" uri="{C3380CC4-5D6E-409C-BE32-E72D297353CC}">
              <c16:uniqueId val="{00000001-2EC6-4892-A9D5-595B18058CB5}"/>
            </c:ext>
          </c:extLst>
        </c:ser>
        <c:dLbls>
          <c:showLegendKey val="0"/>
          <c:showVal val="0"/>
          <c:showCatName val="0"/>
          <c:showSerName val="0"/>
          <c:showPercent val="0"/>
          <c:showBubbleSize val="0"/>
        </c:dLbls>
        <c:axId val="244169608"/>
        <c:axId val="244170000"/>
      </c:scatterChart>
      <c:valAx>
        <c:axId val="244169608"/>
        <c:scaling>
          <c:orientation val="minMax"/>
        </c:scaling>
        <c:delete val="0"/>
        <c:axPos val="b"/>
        <c:title>
          <c:tx>
            <c:rich>
              <a:bodyPr/>
              <a:lstStyle/>
              <a:p>
                <a:pPr>
                  <a:defRPr/>
                </a:pPr>
                <a:r>
                  <a:rPr lang="en-US"/>
                  <a:t>Total Lanes</a:t>
                </a:r>
              </a:p>
            </c:rich>
          </c:tx>
          <c:layout>
            <c:manualLayout>
              <c:xMode val="edge"/>
              <c:yMode val="edge"/>
              <c:x val="0.43107474253907063"/>
              <c:y val="0.8893830405215909"/>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4170000"/>
        <c:crosses val="autoZero"/>
        <c:crossBetween val="midCat"/>
      </c:valAx>
      <c:valAx>
        <c:axId val="244170000"/>
        <c:scaling>
          <c:orientation val="minMax"/>
          <c:min val="4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4169608"/>
        <c:crosses val="autoZero"/>
        <c:crossBetween val="midCat"/>
      </c:valAx>
    </c:plotArea>
    <c:legend>
      <c:legendPos val="r"/>
      <c:layout>
        <c:manualLayout>
          <c:xMode val="edge"/>
          <c:yMode val="edge"/>
          <c:x val="0.14950605136033324"/>
          <c:y val="0.17844612624920517"/>
          <c:w val="0.28808672828939952"/>
          <c:h val="0.15928197078259154"/>
        </c:manualLayout>
      </c:layout>
      <c:overlay val="0"/>
      <c:spPr>
        <a:solidFill>
          <a:sysClr val="window" lastClr="FFFFFF"/>
        </a:solidFill>
      </c:spPr>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Daily Capacity, Both Directions, FT 32 Freeway</a:t>
            </a:r>
            <a:endParaRPr lang="en-US"/>
          </a:p>
        </c:rich>
      </c:tx>
      <c:overlay val="0"/>
      <c:spPr>
        <a:noFill/>
        <a:ln w="25400">
          <a:noFill/>
        </a:ln>
      </c:spPr>
    </c:title>
    <c:autoTitleDeleted val="0"/>
    <c:plotArea>
      <c:layout>
        <c:manualLayout>
          <c:layoutTarget val="inner"/>
          <c:xMode val="edge"/>
          <c:yMode val="edge"/>
          <c:x val="0.16213923661704746"/>
          <c:y val="0.31192727443595414"/>
          <c:w val="0.62394652662453343"/>
          <c:h val="0.45793578587405992"/>
        </c:manualLayout>
      </c:layout>
      <c:scatterChart>
        <c:scatterStyle val="smoothMarker"/>
        <c:varyColors val="0"/>
        <c:ser>
          <c:idx val="0"/>
          <c:order val="0"/>
          <c:tx>
            <c:strRef>
              <c:f>'Cap1hr1ln V8.3x'!$AJ$52</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V8.3x'!$AI$53:$AI$58</c:f>
              <c:numCache>
                <c:formatCode>General</c:formatCode>
                <c:ptCount val="6"/>
                <c:pt idx="0">
                  <c:v>2</c:v>
                </c:pt>
                <c:pt idx="1">
                  <c:v>3</c:v>
                </c:pt>
                <c:pt idx="2">
                  <c:v>4</c:v>
                </c:pt>
                <c:pt idx="3">
                  <c:v>5</c:v>
                </c:pt>
                <c:pt idx="4">
                  <c:v>6</c:v>
                </c:pt>
                <c:pt idx="5">
                  <c:v>7</c:v>
                </c:pt>
              </c:numCache>
            </c:numRef>
          </c:xVal>
          <c:yVal>
            <c:numRef>
              <c:f>'Cap1hr1ln V8.3x'!$AJ$53:$AJ$58</c:f>
              <c:numCache>
                <c:formatCode>_(* #,##0_);_(* \(#,##0\);_(* "-"??_);_(@_)</c:formatCode>
                <c:ptCount val="6"/>
                <c:pt idx="0">
                  <c:v>81000</c:v>
                </c:pt>
                <c:pt idx="1">
                  <c:v>121000</c:v>
                </c:pt>
                <c:pt idx="2">
                  <c:v>162000</c:v>
                </c:pt>
                <c:pt idx="3">
                  <c:v>202000</c:v>
                </c:pt>
                <c:pt idx="4">
                  <c:v>243000</c:v>
                </c:pt>
                <c:pt idx="5">
                  <c:v>283000</c:v>
                </c:pt>
              </c:numCache>
            </c:numRef>
          </c:yVal>
          <c:smooth val="1"/>
          <c:extLst>
            <c:ext xmlns:c16="http://schemas.microsoft.com/office/drawing/2014/chart" uri="{C3380CC4-5D6E-409C-BE32-E72D297353CC}">
              <c16:uniqueId val="{00000000-3EA2-4E65-8FA8-796AC0F72175}"/>
            </c:ext>
          </c:extLst>
        </c:ser>
        <c:ser>
          <c:idx val="1"/>
          <c:order val="1"/>
          <c:tx>
            <c:strRef>
              <c:f>'Cap1hr1ln V8.3x'!$AK$52</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V8.3x'!$AI$53:$AI$58</c:f>
              <c:numCache>
                <c:formatCode>General</c:formatCode>
                <c:ptCount val="6"/>
                <c:pt idx="0">
                  <c:v>2</c:v>
                </c:pt>
                <c:pt idx="1">
                  <c:v>3</c:v>
                </c:pt>
                <c:pt idx="2">
                  <c:v>4</c:v>
                </c:pt>
                <c:pt idx="3">
                  <c:v>5</c:v>
                </c:pt>
                <c:pt idx="4">
                  <c:v>6</c:v>
                </c:pt>
                <c:pt idx="5">
                  <c:v>7</c:v>
                </c:pt>
              </c:numCache>
            </c:numRef>
          </c:xVal>
          <c:yVal>
            <c:numRef>
              <c:f>'Cap1hr1ln V8.3x'!$AK$53:$AK$58</c:f>
              <c:numCache>
                <c:formatCode>_(* #,##0_);_(* \(#,##0\);_(* "-"??_);_(@_)</c:formatCode>
                <c:ptCount val="6"/>
                <c:pt idx="0">
                  <c:v>92000</c:v>
                </c:pt>
                <c:pt idx="1">
                  <c:v>131000</c:v>
                </c:pt>
                <c:pt idx="2">
                  <c:v>166000</c:v>
                </c:pt>
                <c:pt idx="3">
                  <c:v>198000</c:v>
                </c:pt>
                <c:pt idx="4">
                  <c:v>225000</c:v>
                </c:pt>
                <c:pt idx="5">
                  <c:v>252000</c:v>
                </c:pt>
              </c:numCache>
            </c:numRef>
          </c:yVal>
          <c:smooth val="1"/>
          <c:extLst>
            <c:ext xmlns:c16="http://schemas.microsoft.com/office/drawing/2014/chart" uri="{C3380CC4-5D6E-409C-BE32-E72D297353CC}">
              <c16:uniqueId val="{00000001-3EA2-4E65-8FA8-796AC0F72175}"/>
            </c:ext>
          </c:extLst>
        </c:ser>
        <c:dLbls>
          <c:showLegendKey val="0"/>
          <c:showVal val="0"/>
          <c:showCatName val="0"/>
          <c:showSerName val="0"/>
          <c:showPercent val="0"/>
          <c:showBubbleSize val="0"/>
        </c:dLbls>
        <c:axId val="244170784"/>
        <c:axId val="244171176"/>
      </c:scatterChart>
      <c:valAx>
        <c:axId val="244170784"/>
        <c:scaling>
          <c:orientation val="minMax"/>
        </c:scaling>
        <c:delete val="0"/>
        <c:axPos val="b"/>
        <c:title>
          <c:tx>
            <c:rich>
              <a:bodyPr/>
              <a:lstStyle/>
              <a:p>
                <a:pPr>
                  <a:defRPr/>
                </a:pPr>
                <a:r>
                  <a:rPr lang="en-US"/>
                  <a:t>Total Lanes </a:t>
                </a:r>
                <a:r>
                  <a:rPr lang="en-US" baseline="0"/>
                  <a:t> Both Di</a:t>
                </a:r>
                <a:r>
                  <a:rPr lang="en-US"/>
                  <a:t>rections</a:t>
                </a:r>
              </a:p>
            </c:rich>
          </c:tx>
          <c:layout>
            <c:manualLayout>
              <c:xMode val="edge"/>
              <c:yMode val="edge"/>
              <c:x val="0.41993297663216744"/>
              <c:y val="0.88880511563958731"/>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4171176"/>
        <c:crosses val="autoZero"/>
        <c:crossBetween val="midCat"/>
      </c:valAx>
      <c:valAx>
        <c:axId val="244171176"/>
        <c:scaling>
          <c:orientation val="minMax"/>
          <c:min val="100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4170784"/>
        <c:crosses val="autoZero"/>
        <c:crossBetween val="midCat"/>
      </c:valAx>
    </c:plotArea>
    <c:legend>
      <c:legendPos val="r"/>
      <c:layout>
        <c:manualLayout>
          <c:xMode val="edge"/>
          <c:yMode val="edge"/>
          <c:x val="0.16359653452023176"/>
          <c:y val="0.31628746985904277"/>
          <c:w val="0.29190746146464347"/>
          <c:h val="0.15928197078259154"/>
        </c:manualLayout>
      </c:layout>
      <c:overlay val="0"/>
      <c:spPr>
        <a:solidFill>
          <a:sysClr val="window" lastClr="FFFFFF"/>
        </a:solidFill>
      </c:spPr>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Capacity per Hour per Lane, FT 32 Freeway</a:t>
            </a:r>
            <a:endParaRPr lang="en-US"/>
          </a:p>
        </c:rich>
      </c:tx>
      <c:overlay val="0"/>
      <c:spPr>
        <a:noFill/>
        <a:ln w="25400">
          <a:noFill/>
        </a:ln>
      </c:spPr>
    </c:title>
    <c:autoTitleDeleted val="0"/>
    <c:plotArea>
      <c:layout>
        <c:manualLayout>
          <c:layoutTarget val="inner"/>
          <c:xMode val="edge"/>
          <c:yMode val="edge"/>
          <c:x val="0.1881973282162159"/>
          <c:y val="0.30648774912214993"/>
          <c:w val="0.60657446555841865"/>
          <c:h val="0.46306301226063784"/>
        </c:manualLayout>
      </c:layout>
      <c:scatterChart>
        <c:scatterStyle val="smoothMarker"/>
        <c:varyColors val="0"/>
        <c:ser>
          <c:idx val="0"/>
          <c:order val="0"/>
          <c:tx>
            <c:strRef>
              <c:f>'Cap1hr1ln V8.3x'!$AJ$34</c:f>
              <c:strCache>
                <c:ptCount val="1"/>
                <c:pt idx="0">
                  <c:v>Sat Flow</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V8.3x'!$AI$35:$AI$40</c:f>
              <c:numCache>
                <c:formatCode>General</c:formatCode>
                <c:ptCount val="6"/>
                <c:pt idx="0">
                  <c:v>2</c:v>
                </c:pt>
                <c:pt idx="1">
                  <c:v>3</c:v>
                </c:pt>
                <c:pt idx="2">
                  <c:v>4</c:v>
                </c:pt>
                <c:pt idx="3">
                  <c:v>5</c:v>
                </c:pt>
                <c:pt idx="4">
                  <c:v>6</c:v>
                </c:pt>
                <c:pt idx="5">
                  <c:v>7</c:v>
                </c:pt>
              </c:numCache>
            </c:numRef>
          </c:xVal>
          <c:yVal>
            <c:numRef>
              <c:f>'Cap1hr1ln V8.3x'!$AJ$35:$AJ$40</c:f>
              <c:numCache>
                <c:formatCode>_(* #,##0_);_(* \(#,##0\);_(* "-"??_);_(@_)</c:formatCode>
                <c:ptCount val="6"/>
                <c:pt idx="0">
                  <c:v>1821.25</c:v>
                </c:pt>
                <c:pt idx="1">
                  <c:v>1821.25</c:v>
                </c:pt>
                <c:pt idx="2">
                  <c:v>1821.25</c:v>
                </c:pt>
                <c:pt idx="3">
                  <c:v>1821.25</c:v>
                </c:pt>
                <c:pt idx="4">
                  <c:v>1821.25</c:v>
                </c:pt>
                <c:pt idx="5">
                  <c:v>1821.25</c:v>
                </c:pt>
              </c:numCache>
            </c:numRef>
          </c:yVal>
          <c:smooth val="1"/>
          <c:extLst>
            <c:ext xmlns:c16="http://schemas.microsoft.com/office/drawing/2014/chart" uri="{C3380CC4-5D6E-409C-BE32-E72D297353CC}">
              <c16:uniqueId val="{00000000-0BB0-4BEC-BE96-D25FA9EE6D18}"/>
            </c:ext>
          </c:extLst>
        </c:ser>
        <c:ser>
          <c:idx val="1"/>
          <c:order val="1"/>
          <c:tx>
            <c:strRef>
              <c:f>'Cap1hr1ln V8.3x'!$AK$34</c:f>
              <c:strCache>
                <c:ptCount val="1"/>
                <c:pt idx="0">
                  <c:v>Cap1hr1ln</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V8.3x'!$AI$35:$AI$40</c:f>
              <c:numCache>
                <c:formatCode>General</c:formatCode>
                <c:ptCount val="6"/>
                <c:pt idx="0">
                  <c:v>2</c:v>
                </c:pt>
                <c:pt idx="1">
                  <c:v>3</c:v>
                </c:pt>
                <c:pt idx="2">
                  <c:v>4</c:v>
                </c:pt>
                <c:pt idx="3">
                  <c:v>5</c:v>
                </c:pt>
                <c:pt idx="4">
                  <c:v>6</c:v>
                </c:pt>
                <c:pt idx="5">
                  <c:v>7</c:v>
                </c:pt>
              </c:numCache>
            </c:numRef>
          </c:xVal>
          <c:yVal>
            <c:numRef>
              <c:f>'Cap1hr1ln V8.3x'!$AK$35:$AK$40</c:f>
              <c:numCache>
                <c:formatCode>_(* #,##0_);_(* \(#,##0\);_(* "-"??_);_(@_)</c:formatCode>
                <c:ptCount val="6"/>
                <c:pt idx="0">
                  <c:v>2080.1875</c:v>
                </c:pt>
                <c:pt idx="1">
                  <c:v>1963.5208333333333</c:v>
                </c:pt>
                <c:pt idx="2">
                  <c:v>1870.58375</c:v>
                </c:pt>
                <c:pt idx="3">
                  <c:v>1783.6781249999999</c:v>
                </c:pt>
                <c:pt idx="4">
                  <c:v>1691.1372916666667</c:v>
                </c:pt>
                <c:pt idx="5">
                  <c:v>1622.5650000000001</c:v>
                </c:pt>
              </c:numCache>
            </c:numRef>
          </c:yVal>
          <c:smooth val="1"/>
          <c:extLst>
            <c:ext xmlns:c16="http://schemas.microsoft.com/office/drawing/2014/chart" uri="{C3380CC4-5D6E-409C-BE32-E72D297353CC}">
              <c16:uniqueId val="{00000001-0BB0-4BEC-BE96-D25FA9EE6D18}"/>
            </c:ext>
          </c:extLst>
        </c:ser>
        <c:dLbls>
          <c:showLegendKey val="0"/>
          <c:showVal val="0"/>
          <c:showCatName val="0"/>
          <c:showSerName val="0"/>
          <c:showPercent val="0"/>
          <c:showBubbleSize val="0"/>
        </c:dLbls>
        <c:axId val="244171960"/>
        <c:axId val="244338520"/>
      </c:scatterChart>
      <c:valAx>
        <c:axId val="244171960"/>
        <c:scaling>
          <c:orientation val="minMax"/>
        </c:scaling>
        <c:delete val="0"/>
        <c:axPos val="b"/>
        <c:title>
          <c:tx>
            <c:rich>
              <a:bodyPr/>
              <a:lstStyle/>
              <a:p>
                <a:pPr>
                  <a:defRPr/>
                </a:pPr>
                <a:r>
                  <a:rPr lang="en-US"/>
                  <a:t>Total Lanes</a:t>
                </a:r>
              </a:p>
            </c:rich>
          </c:tx>
          <c:layout>
            <c:manualLayout>
              <c:xMode val="edge"/>
              <c:yMode val="edge"/>
              <c:x val="0.4571519336647884"/>
              <c:y val="0.87343705395874116"/>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4338520"/>
        <c:crosses val="autoZero"/>
        <c:crossBetween val="midCat"/>
      </c:valAx>
      <c:valAx>
        <c:axId val="244338520"/>
        <c:scaling>
          <c:orientation val="minMax"/>
          <c:min val="1500"/>
        </c:scaling>
        <c:delete val="0"/>
        <c:axPos val="l"/>
        <c:majorGridlines/>
        <c:title>
          <c:tx>
            <c:rich>
              <a:bodyPr rot="-5400000" vert="horz"/>
              <a:lstStyle/>
              <a:p>
                <a:pPr>
                  <a:defRPr sz="1400"/>
                </a:pPr>
                <a:r>
                  <a:rPr lang="en-US" sz="1400"/>
                  <a:t>Cap1hr1ln</a:t>
                </a:r>
              </a:p>
            </c:rich>
          </c:tx>
          <c:overlay val="0"/>
          <c:spPr>
            <a:noFill/>
            <a:ln w="25400">
              <a:noFill/>
            </a:ln>
          </c:spPr>
        </c:title>
        <c:numFmt formatCode="_(* #,##0_);_(* \(#,##0\);_(* &quot;-&quot;??_);_(@_)" sourceLinked="1"/>
        <c:majorTickMark val="out"/>
        <c:minorTickMark val="none"/>
        <c:tickLblPos val="nextTo"/>
        <c:crossAx val="244171960"/>
        <c:crosses val="autoZero"/>
        <c:crossBetween val="midCat"/>
      </c:valAx>
    </c:plotArea>
    <c:legend>
      <c:legendPos val="r"/>
      <c:layout>
        <c:manualLayout>
          <c:xMode val="edge"/>
          <c:yMode val="edge"/>
          <c:x val="0.19399758206651913"/>
          <c:y val="0.60300742527121931"/>
          <c:w val="0.14042420784358475"/>
          <c:h val="0.15990652781305559"/>
        </c:manualLayout>
      </c:layout>
      <c:overlay val="0"/>
      <c:spPr>
        <a:solidFill>
          <a:sysClr val="window" lastClr="FFFFFF"/>
        </a:solidFill>
      </c:spPr>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Expressway</a:t>
            </a:r>
            <a:r>
              <a:rPr lang="en-US" sz="1800" baseline="0"/>
              <a:t> </a:t>
            </a:r>
            <a:r>
              <a:rPr lang="en-US" sz="1800"/>
              <a:t>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V8.3x'!$B$16</c:f>
              <c:strCache>
                <c:ptCount val="1"/>
                <c:pt idx="0">
                  <c:v>Expressway, posted 60-70 mph</c:v>
                </c:pt>
              </c:strCache>
            </c:strRef>
          </c:tx>
          <c:spPr>
            <a:ln w="38100">
              <a:solidFill>
                <a:srgbClr val="FF0000"/>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V8.3x'!$C$16:$I$16</c:f>
              <c:numCache>
                <c:formatCode>_(* #,##0_);_(* \(#,##0\);_(* "-"??_);_(@_)</c:formatCode>
                <c:ptCount val="7"/>
                <c:pt idx="0">
                  <c:v>1102</c:v>
                </c:pt>
                <c:pt idx="1">
                  <c:v>1057.9199999999998</c:v>
                </c:pt>
                <c:pt idx="2">
                  <c:v>1024.8599999999999</c:v>
                </c:pt>
                <c:pt idx="3">
                  <c:v>1002.8199999999999</c:v>
                </c:pt>
                <c:pt idx="4">
                  <c:v>981.25397849462354</c:v>
                </c:pt>
                <c:pt idx="5">
                  <c:v>960.15174239796499</c:v>
                </c:pt>
                <c:pt idx="6">
                  <c:v>939.50331783026684</c:v>
                </c:pt>
              </c:numCache>
            </c:numRef>
          </c:val>
          <c:smooth val="0"/>
          <c:extLst>
            <c:ext xmlns:c16="http://schemas.microsoft.com/office/drawing/2014/chart" uri="{C3380CC4-5D6E-409C-BE32-E72D297353CC}">
              <c16:uniqueId val="{00000000-D576-43E8-B1A2-FF09241B53DD}"/>
            </c:ext>
          </c:extLst>
        </c:ser>
        <c:ser>
          <c:idx val="1"/>
          <c:order val="1"/>
          <c:tx>
            <c:strRef>
              <c:f>'Cap1hr1ln V8.3x'!$B$17</c:f>
              <c:strCache>
                <c:ptCount val="1"/>
                <c:pt idx="0">
                  <c:v>Expressway, posted 55-65 mph</c:v>
                </c:pt>
              </c:strCache>
            </c:strRef>
          </c:tx>
          <c:spPr>
            <a:ln w="38100">
              <a:solidFill>
                <a:srgbClr val="008000"/>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V8.3x'!$C$17:$I$17</c:f>
              <c:numCache>
                <c:formatCode>_(* #,##0_);_(* \(#,##0\);_(* "-"??_);_(@_)</c:formatCode>
                <c:ptCount val="7"/>
                <c:pt idx="0">
                  <c:v>1064</c:v>
                </c:pt>
                <c:pt idx="1">
                  <c:v>1021.44</c:v>
                </c:pt>
                <c:pt idx="2">
                  <c:v>989.5200000000001</c:v>
                </c:pt>
                <c:pt idx="3">
                  <c:v>968.24000000000012</c:v>
                </c:pt>
                <c:pt idx="4">
                  <c:v>947.41763440860223</c:v>
                </c:pt>
                <c:pt idx="5">
                  <c:v>927.04306162562148</c:v>
                </c:pt>
                <c:pt idx="6">
                  <c:v>907.10665169818867</c:v>
                </c:pt>
              </c:numCache>
            </c:numRef>
          </c:val>
          <c:smooth val="0"/>
          <c:extLst>
            <c:ext xmlns:c16="http://schemas.microsoft.com/office/drawing/2014/chart" uri="{C3380CC4-5D6E-409C-BE32-E72D297353CC}">
              <c16:uniqueId val="{00000001-D576-43E8-B1A2-FF09241B53DD}"/>
            </c:ext>
          </c:extLst>
        </c:ser>
        <c:ser>
          <c:idx val="2"/>
          <c:order val="2"/>
          <c:tx>
            <c:strRef>
              <c:f>'Cap1hr1ln V8.3x'!$B$18</c:f>
              <c:strCache>
                <c:ptCount val="1"/>
                <c:pt idx="0">
                  <c:v>Expressway, posted 50-60 mph</c:v>
                </c:pt>
              </c:strCache>
            </c:strRef>
          </c:tx>
          <c:spPr>
            <a:ln w="38100">
              <a:solidFill>
                <a:srgbClr val="0000FF"/>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V8.3x'!$C$18:$I$18</c:f>
              <c:numCache>
                <c:formatCode>_(* #,##0_);_(* \(#,##0\);_(* "-"??_);_(@_)</c:formatCode>
                <c:ptCount val="7"/>
                <c:pt idx="0">
                  <c:v>1026</c:v>
                </c:pt>
                <c:pt idx="1">
                  <c:v>984.96</c:v>
                </c:pt>
                <c:pt idx="2">
                  <c:v>954.18000000000006</c:v>
                </c:pt>
                <c:pt idx="3">
                  <c:v>933.66000000000008</c:v>
                </c:pt>
                <c:pt idx="4">
                  <c:v>913.58129032258068</c:v>
                </c:pt>
                <c:pt idx="5">
                  <c:v>893.93438085327784</c:v>
                </c:pt>
                <c:pt idx="6">
                  <c:v>874.7099855661105</c:v>
                </c:pt>
              </c:numCache>
            </c:numRef>
          </c:val>
          <c:smooth val="0"/>
          <c:extLst>
            <c:ext xmlns:c16="http://schemas.microsoft.com/office/drawing/2014/chart" uri="{C3380CC4-5D6E-409C-BE32-E72D297353CC}">
              <c16:uniqueId val="{00000002-D576-43E8-B1A2-FF09241B53DD}"/>
            </c:ext>
          </c:extLst>
        </c:ser>
        <c:ser>
          <c:idx val="3"/>
          <c:order val="3"/>
          <c:tx>
            <c:strRef>
              <c:f>'Cap1hr1ln V8.3x'!$B$19</c:f>
              <c:strCache>
                <c:ptCount val="1"/>
                <c:pt idx="0">
                  <c:v>Expressway, posted 45-55 mph</c:v>
                </c:pt>
              </c:strCache>
            </c:strRef>
          </c:tx>
          <c:spPr>
            <a:ln w="38100">
              <a:solidFill>
                <a:srgbClr val="FF00FF"/>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V8.3x'!$C$19:$I$19</c:f>
              <c:numCache>
                <c:formatCode>_(* #,##0_);_(* \(#,##0\);_(* "-"??_);_(@_)</c:formatCode>
                <c:ptCount val="7"/>
                <c:pt idx="0">
                  <c:v>988</c:v>
                </c:pt>
                <c:pt idx="1">
                  <c:v>948.48</c:v>
                </c:pt>
                <c:pt idx="2">
                  <c:v>918.84</c:v>
                </c:pt>
                <c:pt idx="3">
                  <c:v>899.08</c:v>
                </c:pt>
                <c:pt idx="4">
                  <c:v>879.74494623655914</c:v>
                </c:pt>
                <c:pt idx="5">
                  <c:v>860.8257000809341</c:v>
                </c:pt>
                <c:pt idx="6">
                  <c:v>842.31331943403211</c:v>
                </c:pt>
              </c:numCache>
            </c:numRef>
          </c:val>
          <c:smooth val="0"/>
          <c:extLst>
            <c:ext xmlns:c16="http://schemas.microsoft.com/office/drawing/2014/chart" uri="{C3380CC4-5D6E-409C-BE32-E72D297353CC}">
              <c16:uniqueId val="{00000003-D576-43E8-B1A2-FF09241B53DD}"/>
            </c:ext>
          </c:extLst>
        </c:ser>
        <c:dLbls>
          <c:showLegendKey val="0"/>
          <c:showVal val="0"/>
          <c:showCatName val="0"/>
          <c:showSerName val="0"/>
          <c:showPercent val="0"/>
          <c:showBubbleSize val="0"/>
        </c:dLbls>
        <c:smooth val="0"/>
        <c:axId val="244339304"/>
        <c:axId val="244339696"/>
      </c:lineChart>
      <c:catAx>
        <c:axId val="244339304"/>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339696"/>
        <c:crosses val="autoZero"/>
        <c:auto val="1"/>
        <c:lblAlgn val="ctr"/>
        <c:lblOffset val="100"/>
        <c:noMultiLvlLbl val="0"/>
      </c:catAx>
      <c:valAx>
        <c:axId val="244339696"/>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339304"/>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V8.3x'!$B$36</c:f>
              <c:strCache>
                <c:ptCount val="1"/>
                <c:pt idx="0">
                  <c:v>Fwy: posted 55-60 mph</c:v>
                </c:pt>
              </c:strCache>
            </c:strRef>
          </c:tx>
          <c:spPr>
            <a:ln w="38100">
              <a:solidFill>
                <a:srgbClr val="FF0000"/>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V8.3x'!$D$36:$I$36</c:f>
              <c:numCache>
                <c:formatCode>_(* #,##0_);_(* \(#,##0\);_(* "-"??_);_(@_)</c:formatCode>
                <c:ptCount val="6"/>
                <c:pt idx="0">
                  <c:v>1693.375</c:v>
                </c:pt>
                <c:pt idx="1">
                  <c:v>1693.375</c:v>
                </c:pt>
                <c:pt idx="2">
                  <c:v>1659.5074999999999</c:v>
                </c:pt>
                <c:pt idx="3">
                  <c:v>1608.70625</c:v>
                </c:pt>
                <c:pt idx="4">
                  <c:v>1540.9712499999998</c:v>
                </c:pt>
                <c:pt idx="5">
                  <c:v>1490.17</c:v>
                </c:pt>
              </c:numCache>
            </c:numRef>
          </c:val>
          <c:smooth val="0"/>
          <c:extLst>
            <c:ext xmlns:c16="http://schemas.microsoft.com/office/drawing/2014/chart" uri="{C3380CC4-5D6E-409C-BE32-E72D297353CC}">
              <c16:uniqueId val="{00000000-0258-42F2-9ADA-B170215D060C}"/>
            </c:ext>
          </c:extLst>
        </c:ser>
        <c:ser>
          <c:idx val="1"/>
          <c:order val="1"/>
          <c:tx>
            <c:strRef>
              <c:f>'Cap1hr1ln V8.3x'!$B$37</c:f>
              <c:strCache>
                <c:ptCount val="1"/>
                <c:pt idx="0">
                  <c:v>Fwy: posted 65 mph, no aux lane</c:v>
                </c:pt>
              </c:strCache>
            </c:strRef>
          </c:tx>
          <c:spPr>
            <a:ln w="38100">
              <a:solidFill>
                <a:srgbClr val="008000"/>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V8.3x'!$D$37:$I$37</c:f>
              <c:numCache>
                <c:formatCode>_(* #,##0_);_(* \(#,##0\);_(* "-"??_);_(@_)</c:formatCode>
                <c:ptCount val="6"/>
                <c:pt idx="0">
                  <c:v>1730.1875</c:v>
                </c:pt>
                <c:pt idx="1">
                  <c:v>1730.1875</c:v>
                </c:pt>
                <c:pt idx="2">
                  <c:v>1695.58375</c:v>
                </c:pt>
                <c:pt idx="3">
                  <c:v>1643.6781249999999</c:v>
                </c:pt>
                <c:pt idx="4">
                  <c:v>1574.4706249999999</c:v>
                </c:pt>
                <c:pt idx="5">
                  <c:v>1522.5650000000001</c:v>
                </c:pt>
              </c:numCache>
            </c:numRef>
          </c:val>
          <c:smooth val="0"/>
          <c:extLst>
            <c:ext xmlns:c16="http://schemas.microsoft.com/office/drawing/2014/chart" uri="{C3380CC4-5D6E-409C-BE32-E72D297353CC}">
              <c16:uniqueId val="{00000001-0258-42F2-9ADA-B170215D060C}"/>
            </c:ext>
          </c:extLst>
        </c:ser>
        <c:ser>
          <c:idx val="2"/>
          <c:order val="2"/>
          <c:tx>
            <c:strRef>
              <c:f>'Cap1hr1ln V8.3x'!$B$38</c:f>
              <c:strCache>
                <c:ptCount val="1"/>
                <c:pt idx="0">
                  <c:v>Fwy: posted 65 mph, aux lane</c:v>
                </c:pt>
              </c:strCache>
            </c:strRef>
          </c:tx>
          <c:spPr>
            <a:ln w="38100">
              <a:solidFill>
                <a:srgbClr val="0000FF"/>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V8.3x'!$D$38:$I$38</c:f>
              <c:numCache>
                <c:formatCode>_(* #,##0_);_(* \(#,##0\);_(* "-"??_);_(@_)</c:formatCode>
                <c:ptCount val="6"/>
                <c:pt idx="0">
                  <c:v>2080.1875</c:v>
                </c:pt>
                <c:pt idx="1">
                  <c:v>1963.5208333333333</c:v>
                </c:pt>
                <c:pt idx="2">
                  <c:v>1870.58375</c:v>
                </c:pt>
                <c:pt idx="3">
                  <c:v>1783.6781249999999</c:v>
                </c:pt>
                <c:pt idx="4">
                  <c:v>1691.1372916666667</c:v>
                </c:pt>
                <c:pt idx="5">
                  <c:v>1622.5650000000001</c:v>
                </c:pt>
              </c:numCache>
            </c:numRef>
          </c:val>
          <c:smooth val="0"/>
          <c:extLst>
            <c:ext xmlns:c16="http://schemas.microsoft.com/office/drawing/2014/chart" uri="{C3380CC4-5D6E-409C-BE32-E72D297353CC}">
              <c16:uniqueId val="{00000002-0258-42F2-9ADA-B170215D060C}"/>
            </c:ext>
          </c:extLst>
        </c:ser>
        <c:ser>
          <c:idx val="3"/>
          <c:order val="3"/>
          <c:tx>
            <c:strRef>
              <c:f>'Cap1hr1ln V8.3x'!$B$39</c:f>
              <c:strCache>
                <c:ptCount val="1"/>
                <c:pt idx="0">
                  <c:v>Fwy: posted 75 mph, no aux lane</c:v>
                </c:pt>
              </c:strCache>
            </c:strRef>
          </c:tx>
          <c:spPr>
            <a:ln w="38100">
              <a:solidFill>
                <a:srgbClr val="FF00FF"/>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V8.3x'!$D$39:$I$39</c:f>
              <c:numCache>
                <c:formatCode>_(* #,##0_);_(* \(#,##0\);_(* "-"??_);_(@_)</c:formatCode>
                <c:ptCount val="6"/>
                <c:pt idx="0">
                  <c:v>1767</c:v>
                </c:pt>
                <c:pt idx="1">
                  <c:v>1767</c:v>
                </c:pt>
                <c:pt idx="2">
                  <c:v>1731.66</c:v>
                </c:pt>
                <c:pt idx="3">
                  <c:v>1678.65</c:v>
                </c:pt>
                <c:pt idx="4">
                  <c:v>1607.97</c:v>
                </c:pt>
                <c:pt idx="5">
                  <c:v>1554.9599999999998</c:v>
                </c:pt>
              </c:numCache>
            </c:numRef>
          </c:val>
          <c:smooth val="0"/>
          <c:extLst>
            <c:ext xmlns:c16="http://schemas.microsoft.com/office/drawing/2014/chart" uri="{C3380CC4-5D6E-409C-BE32-E72D297353CC}">
              <c16:uniqueId val="{00000003-0258-42F2-9ADA-B170215D060C}"/>
            </c:ext>
          </c:extLst>
        </c:ser>
        <c:ser>
          <c:idx val="4"/>
          <c:order val="4"/>
          <c:tx>
            <c:strRef>
              <c:f>'Cap1hr1ln V8.3x'!$B$40</c:f>
              <c:strCache>
                <c:ptCount val="1"/>
                <c:pt idx="0">
                  <c:v>Fwy: posted 75 mph, aux lane</c:v>
                </c:pt>
              </c:strCache>
            </c:strRef>
          </c:tx>
          <c:spPr>
            <a:ln w="38100">
              <a:solidFill>
                <a:schemeClr val="bg1">
                  <a:lumMod val="50000"/>
                </a:schemeClr>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V8.3x'!$D$40:$I$40</c:f>
              <c:numCache>
                <c:formatCode>_(* #,##0_);_(* \(#,##0\);_(* "-"??_);_(@_)</c:formatCode>
                <c:ptCount val="6"/>
                <c:pt idx="0">
                  <c:v>2117</c:v>
                </c:pt>
                <c:pt idx="1">
                  <c:v>2000.3333333333333</c:v>
                </c:pt>
                <c:pt idx="2">
                  <c:v>1906.66</c:v>
                </c:pt>
                <c:pt idx="3">
                  <c:v>1818.65</c:v>
                </c:pt>
                <c:pt idx="4">
                  <c:v>1724.6366666666665</c:v>
                </c:pt>
                <c:pt idx="5">
                  <c:v>1654.9599999999998</c:v>
                </c:pt>
              </c:numCache>
            </c:numRef>
          </c:val>
          <c:smooth val="0"/>
          <c:extLst>
            <c:ext xmlns:c16="http://schemas.microsoft.com/office/drawing/2014/chart" uri="{C3380CC4-5D6E-409C-BE32-E72D297353CC}">
              <c16:uniqueId val="{00000004-0258-42F2-9ADA-B170215D060C}"/>
            </c:ext>
          </c:extLst>
        </c:ser>
        <c:dLbls>
          <c:showLegendKey val="0"/>
          <c:showVal val="0"/>
          <c:showCatName val="0"/>
          <c:showSerName val="0"/>
          <c:showPercent val="0"/>
          <c:showBubbleSize val="0"/>
        </c:dLbls>
        <c:smooth val="0"/>
        <c:axId val="244340480"/>
        <c:axId val="244340872"/>
      </c:lineChart>
      <c:catAx>
        <c:axId val="244340480"/>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340872"/>
        <c:crosses val="autoZero"/>
        <c:auto val="1"/>
        <c:lblAlgn val="ctr"/>
        <c:lblOffset val="100"/>
        <c:noMultiLvlLbl val="0"/>
      </c:catAx>
      <c:valAx>
        <c:axId val="244340872"/>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340480"/>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Managed Lane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V8.3x'!$B$25</c:f>
              <c:strCache>
                <c:ptCount val="1"/>
                <c:pt idx="0">
                  <c:v>MM: posted 55-60 mph</c:v>
                </c:pt>
              </c:strCache>
            </c:strRef>
          </c:tx>
          <c:spPr>
            <a:ln w="38100">
              <a:solidFill>
                <a:srgbClr val="FF0000"/>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V8.3x'!$D$25:$I$25</c:f>
              <c:numCache>
                <c:formatCode>_(* #,##0_);_(* \(#,##0\);_(* "-"??_);_(@_)</c:formatCode>
                <c:ptCount val="6"/>
                <c:pt idx="0">
                  <c:v>2100</c:v>
                </c:pt>
                <c:pt idx="1">
                  <c:v>2100</c:v>
                </c:pt>
                <c:pt idx="2">
                  <c:v>2058</c:v>
                </c:pt>
                <c:pt idx="3">
                  <c:v>1995</c:v>
                </c:pt>
                <c:pt idx="4">
                  <c:v>1911</c:v>
                </c:pt>
                <c:pt idx="5">
                  <c:v>1848</c:v>
                </c:pt>
              </c:numCache>
            </c:numRef>
          </c:val>
          <c:smooth val="0"/>
          <c:extLst>
            <c:ext xmlns:c16="http://schemas.microsoft.com/office/drawing/2014/chart" uri="{C3380CC4-5D6E-409C-BE32-E72D297353CC}">
              <c16:uniqueId val="{00000000-EB32-44E1-8A01-A4C209A21ABA}"/>
            </c:ext>
          </c:extLst>
        </c:ser>
        <c:ser>
          <c:idx val="1"/>
          <c:order val="1"/>
          <c:tx>
            <c:strRef>
              <c:f>'Cap1hr1ln V8.3x'!$B$26</c:f>
              <c:strCache>
                <c:ptCount val="1"/>
                <c:pt idx="0">
                  <c:v>MM: posted 65 mph, no aux lane</c:v>
                </c:pt>
              </c:strCache>
            </c:strRef>
          </c:tx>
          <c:spPr>
            <a:ln w="38100">
              <a:solidFill>
                <a:srgbClr val="008000"/>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V8.3x'!$D$26:$I$26</c:f>
              <c:numCache>
                <c:formatCode>_(* #,##0_);_(* \(#,##0\);_(* "-"??_);_(@_)</c:formatCode>
                <c:ptCount val="6"/>
                <c:pt idx="0">
                  <c:v>2100</c:v>
                </c:pt>
                <c:pt idx="1">
                  <c:v>2100</c:v>
                </c:pt>
                <c:pt idx="2">
                  <c:v>2058</c:v>
                </c:pt>
                <c:pt idx="3">
                  <c:v>1995</c:v>
                </c:pt>
                <c:pt idx="4">
                  <c:v>1911</c:v>
                </c:pt>
                <c:pt idx="5">
                  <c:v>1848</c:v>
                </c:pt>
              </c:numCache>
            </c:numRef>
          </c:val>
          <c:smooth val="0"/>
          <c:extLst>
            <c:ext xmlns:c16="http://schemas.microsoft.com/office/drawing/2014/chart" uri="{C3380CC4-5D6E-409C-BE32-E72D297353CC}">
              <c16:uniqueId val="{00000001-EB32-44E1-8A01-A4C209A21ABA}"/>
            </c:ext>
          </c:extLst>
        </c:ser>
        <c:ser>
          <c:idx val="2"/>
          <c:order val="2"/>
          <c:tx>
            <c:strRef>
              <c:f>'Cap1hr1ln V8.3x'!$B$27</c:f>
              <c:strCache>
                <c:ptCount val="1"/>
                <c:pt idx="0">
                  <c:v>MM: posted 65 mph, aux lane</c:v>
                </c:pt>
              </c:strCache>
            </c:strRef>
          </c:tx>
          <c:spPr>
            <a:ln w="38100">
              <a:solidFill>
                <a:srgbClr val="0000FF"/>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V8.3x'!$D$27:$I$27</c:f>
              <c:numCache>
                <c:formatCode>_(* #,##0_);_(* \(#,##0\);_(* "-"??_);_(@_)</c:formatCode>
                <c:ptCount val="6"/>
                <c:pt idx="0">
                  <c:v>2450</c:v>
                </c:pt>
                <c:pt idx="1">
                  <c:v>2333.3333333333335</c:v>
                </c:pt>
                <c:pt idx="2">
                  <c:v>2233</c:v>
                </c:pt>
                <c:pt idx="3">
                  <c:v>2135</c:v>
                </c:pt>
                <c:pt idx="4">
                  <c:v>2027.6666666666667</c:v>
                </c:pt>
                <c:pt idx="5">
                  <c:v>1948</c:v>
                </c:pt>
              </c:numCache>
            </c:numRef>
          </c:val>
          <c:smooth val="0"/>
          <c:extLst>
            <c:ext xmlns:c16="http://schemas.microsoft.com/office/drawing/2014/chart" uri="{C3380CC4-5D6E-409C-BE32-E72D297353CC}">
              <c16:uniqueId val="{00000002-EB32-44E1-8A01-A4C209A21ABA}"/>
            </c:ext>
          </c:extLst>
        </c:ser>
        <c:ser>
          <c:idx val="3"/>
          <c:order val="3"/>
          <c:tx>
            <c:strRef>
              <c:f>'Cap1hr1ln V8.3x'!$B$28</c:f>
              <c:strCache>
                <c:ptCount val="1"/>
                <c:pt idx="0">
                  <c:v>MM: posted 75 mph, no aux lane</c:v>
                </c:pt>
              </c:strCache>
            </c:strRef>
          </c:tx>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V8.3x'!$D$28:$I$28</c:f>
              <c:numCache>
                <c:formatCode>_(* #,##0_);_(* \(#,##0\);_(* "-"??_);_(@_)</c:formatCode>
                <c:ptCount val="6"/>
                <c:pt idx="0">
                  <c:v>2100</c:v>
                </c:pt>
                <c:pt idx="1">
                  <c:v>2100</c:v>
                </c:pt>
                <c:pt idx="2">
                  <c:v>2058</c:v>
                </c:pt>
                <c:pt idx="3">
                  <c:v>1995</c:v>
                </c:pt>
                <c:pt idx="4">
                  <c:v>1911</c:v>
                </c:pt>
                <c:pt idx="5">
                  <c:v>1848</c:v>
                </c:pt>
              </c:numCache>
            </c:numRef>
          </c:val>
          <c:smooth val="0"/>
          <c:extLst>
            <c:ext xmlns:c16="http://schemas.microsoft.com/office/drawing/2014/chart" uri="{C3380CC4-5D6E-409C-BE32-E72D297353CC}">
              <c16:uniqueId val="{00000003-EB32-44E1-8A01-A4C209A21ABA}"/>
            </c:ext>
          </c:extLst>
        </c:ser>
        <c:ser>
          <c:idx val="4"/>
          <c:order val="4"/>
          <c:tx>
            <c:strRef>
              <c:f>'Cap1hr1ln V8.3x'!$B$29</c:f>
              <c:strCache>
                <c:ptCount val="1"/>
                <c:pt idx="0">
                  <c:v>MM: posted 75 mph, aux lane</c:v>
                </c:pt>
              </c:strCache>
            </c:strRef>
          </c:tx>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V8.3x'!$D$29:$I$29</c:f>
              <c:numCache>
                <c:formatCode>_(* #,##0_);_(* \(#,##0\);_(* "-"??_);_(@_)</c:formatCode>
                <c:ptCount val="6"/>
                <c:pt idx="0">
                  <c:v>2450</c:v>
                </c:pt>
                <c:pt idx="1">
                  <c:v>2333.3333333333335</c:v>
                </c:pt>
                <c:pt idx="2">
                  <c:v>2233</c:v>
                </c:pt>
                <c:pt idx="3">
                  <c:v>2135</c:v>
                </c:pt>
                <c:pt idx="4">
                  <c:v>2027.6666666666667</c:v>
                </c:pt>
                <c:pt idx="5">
                  <c:v>1948</c:v>
                </c:pt>
              </c:numCache>
            </c:numRef>
          </c:val>
          <c:smooth val="0"/>
          <c:extLst>
            <c:ext xmlns:c16="http://schemas.microsoft.com/office/drawing/2014/chart" uri="{C3380CC4-5D6E-409C-BE32-E72D297353CC}">
              <c16:uniqueId val="{00000004-EB32-44E1-8A01-A4C209A21ABA}"/>
            </c:ext>
          </c:extLst>
        </c:ser>
        <c:dLbls>
          <c:showLegendKey val="0"/>
          <c:showVal val="0"/>
          <c:showCatName val="0"/>
          <c:showSerName val="0"/>
          <c:showPercent val="0"/>
          <c:showBubbleSize val="0"/>
        </c:dLbls>
        <c:smooth val="0"/>
        <c:axId val="244341656"/>
        <c:axId val="244342048"/>
      </c:lineChart>
      <c:catAx>
        <c:axId val="244341656"/>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342048"/>
        <c:crosses val="autoZero"/>
        <c:auto val="1"/>
        <c:lblAlgn val="ctr"/>
        <c:lblOffset val="100"/>
        <c:noMultiLvlLbl val="0"/>
      </c:catAx>
      <c:valAx>
        <c:axId val="244342048"/>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341656"/>
        <c:crosses val="autoZero"/>
        <c:crossBetween val="between"/>
      </c:valAx>
    </c:plotArea>
    <c:legend>
      <c:legendPos val="r"/>
      <c:layout>
        <c:manualLayout>
          <c:xMode val="edge"/>
          <c:yMode val="edge"/>
          <c:x val="5.6223406171327144E-2"/>
          <c:y val="0.8409233570168434"/>
          <c:w val="0.91494469876042528"/>
          <c:h val="0.15584915269485275"/>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Ramp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V8.3x'!$B$45</c:f>
              <c:strCache>
                <c:ptCount val="1"/>
                <c:pt idx="0">
                  <c:v>Fwy: On-ramp</c:v>
                </c:pt>
              </c:strCache>
            </c:strRef>
          </c:tx>
          <c:spPr>
            <a:ln w="38100">
              <a:solidFill>
                <a:srgbClr val="FF0000"/>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V8.3x'!$C$45:$I$45</c:f>
              <c:numCache>
                <c:formatCode>_(* #,##0_);_(* \(#,##0\);_(* "-"??_);_(@_)</c:formatCode>
                <c:ptCount val="7"/>
                <c:pt idx="0">
                  <c:v>1200</c:v>
                </c:pt>
                <c:pt idx="1">
                  <c:v>900</c:v>
                </c:pt>
                <c:pt idx="2">
                  <c:v>600</c:v>
                </c:pt>
                <c:pt idx="3">
                  <c:v>600</c:v>
                </c:pt>
                <c:pt idx="4">
                  <c:v>600</c:v>
                </c:pt>
                <c:pt idx="5">
                  <c:v>600</c:v>
                </c:pt>
                <c:pt idx="6">
                  <c:v>600</c:v>
                </c:pt>
              </c:numCache>
            </c:numRef>
          </c:val>
          <c:smooth val="0"/>
          <c:extLst>
            <c:ext xmlns:c16="http://schemas.microsoft.com/office/drawing/2014/chart" uri="{C3380CC4-5D6E-409C-BE32-E72D297353CC}">
              <c16:uniqueId val="{00000000-7196-4C3C-8C1C-546A61576D34}"/>
            </c:ext>
          </c:extLst>
        </c:ser>
        <c:ser>
          <c:idx val="1"/>
          <c:order val="1"/>
          <c:tx>
            <c:strRef>
              <c:f>'Cap1hr1ln V8.3x'!$B$46</c:f>
              <c:strCache>
                <c:ptCount val="1"/>
                <c:pt idx="0">
                  <c:v>Fwy: Off-ramp</c:v>
                </c:pt>
              </c:strCache>
            </c:strRef>
          </c:tx>
          <c:spPr>
            <a:ln w="38100">
              <a:solidFill>
                <a:srgbClr val="008000"/>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V8.3x'!$C$46:$I$46</c:f>
              <c:numCache>
                <c:formatCode>_(* #,##0_);_(* \(#,##0\);_(* "-"??_);_(@_)</c:formatCode>
                <c:ptCount val="7"/>
                <c:pt idx="0">
                  <c:v>983.13600000000008</c:v>
                </c:pt>
                <c:pt idx="1">
                  <c:v>943.50959999999998</c:v>
                </c:pt>
                <c:pt idx="2">
                  <c:v>903.78288000000009</c:v>
                </c:pt>
                <c:pt idx="3">
                  <c:v>882.81600000000003</c:v>
                </c:pt>
                <c:pt idx="4">
                  <c:v>862.33553113553103</c:v>
                </c:pt>
                <c:pt idx="5">
                  <c:v>842.33018914337572</c:v>
                </c:pt>
                <c:pt idx="6">
                  <c:v>822.7889515442007</c:v>
                </c:pt>
              </c:numCache>
            </c:numRef>
          </c:val>
          <c:smooth val="0"/>
          <c:extLst>
            <c:ext xmlns:c16="http://schemas.microsoft.com/office/drawing/2014/chart" uri="{C3380CC4-5D6E-409C-BE32-E72D297353CC}">
              <c16:uniqueId val="{00000001-7196-4C3C-8C1C-546A61576D34}"/>
            </c:ext>
          </c:extLst>
        </c:ser>
        <c:ser>
          <c:idx val="2"/>
          <c:order val="2"/>
          <c:tx>
            <c:strRef>
              <c:f>'Cap1hr1ln V8.3x'!$B$34</c:f>
              <c:strCache>
                <c:ptCount val="1"/>
                <c:pt idx="0">
                  <c:v>Fwy: fwy-to-fwy loop ramp</c:v>
                </c:pt>
              </c:strCache>
            </c:strRef>
          </c:tx>
          <c:marker>
            <c:symbol val="none"/>
          </c:marker>
          <c:val>
            <c:numRef>
              <c:f>'Cap1hr1ln V8.3x'!$C$34:$I$34</c:f>
              <c:numCache>
                <c:formatCode>_(* #,##0_);_(* \(#,##0\);_(* "-"??_);_(@_)</c:formatCode>
                <c:ptCount val="7"/>
                <c:pt idx="0">
                  <c:v>1350</c:v>
                </c:pt>
                <c:pt idx="1">
                  <c:v>1080</c:v>
                </c:pt>
                <c:pt idx="2">
                  <c:v>864</c:v>
                </c:pt>
                <c:pt idx="3">
                  <c:v>864</c:v>
                </c:pt>
                <c:pt idx="4">
                  <c:v>864</c:v>
                </c:pt>
                <c:pt idx="5">
                  <c:v>864</c:v>
                </c:pt>
                <c:pt idx="6">
                  <c:v>864</c:v>
                </c:pt>
              </c:numCache>
            </c:numRef>
          </c:val>
          <c:smooth val="0"/>
          <c:extLst>
            <c:ext xmlns:c16="http://schemas.microsoft.com/office/drawing/2014/chart" uri="{C3380CC4-5D6E-409C-BE32-E72D297353CC}">
              <c16:uniqueId val="{00000002-7196-4C3C-8C1C-546A61576D34}"/>
            </c:ext>
          </c:extLst>
        </c:ser>
        <c:dLbls>
          <c:showLegendKey val="0"/>
          <c:showVal val="0"/>
          <c:showCatName val="0"/>
          <c:showSerName val="0"/>
          <c:showPercent val="0"/>
          <c:showBubbleSize val="0"/>
        </c:dLbls>
        <c:smooth val="0"/>
        <c:axId val="244563448"/>
        <c:axId val="244563840"/>
      </c:lineChart>
      <c:catAx>
        <c:axId val="244563448"/>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563840"/>
        <c:crosses val="autoZero"/>
        <c:auto val="1"/>
        <c:lblAlgn val="ctr"/>
        <c:lblOffset val="100"/>
        <c:noMultiLvlLbl val="0"/>
      </c:catAx>
      <c:valAx>
        <c:axId val="244563840"/>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563448"/>
        <c:crosses val="autoZero"/>
        <c:crossBetween val="between"/>
      </c:valAx>
    </c:plotArea>
    <c:legend>
      <c:legendPos val="r"/>
      <c:layout>
        <c:manualLayout>
          <c:xMode val="edge"/>
          <c:yMode val="edge"/>
          <c:x val="8.5055332742960107E-2"/>
          <c:y val="0.84415080227800676"/>
          <c:w val="0.89392162961899524"/>
          <c:h val="0.15584919772199315"/>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Arterial</a:t>
            </a:r>
            <a:r>
              <a:rPr lang="en-US" sz="1800" baseline="0"/>
              <a:t> &amp; Local </a:t>
            </a:r>
            <a:r>
              <a:rPr lang="en-US" sz="1800"/>
              <a:t>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V8.3x'!$B$8</c:f>
              <c:strCache>
                <c:ptCount val="1"/>
                <c:pt idx="0">
                  <c:v>Principal Arterial</c:v>
                </c:pt>
              </c:strCache>
            </c:strRef>
          </c:tx>
          <c:spPr>
            <a:ln w="38100">
              <a:solidFill>
                <a:srgbClr val="FF0000"/>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V8.3x'!$C$8:$I$8</c:f>
              <c:numCache>
                <c:formatCode>_(* #,##0_);_(* \(#,##0\);_(* "-"??_);_(@_)</c:formatCode>
                <c:ptCount val="7"/>
                <c:pt idx="0">
                  <c:v>968.24</c:v>
                </c:pt>
                <c:pt idx="1">
                  <c:v>929.21399999999994</c:v>
                </c:pt>
                <c:pt idx="2">
                  <c:v>890.08920000000001</c:v>
                </c:pt>
                <c:pt idx="3">
                  <c:v>869.44</c:v>
                </c:pt>
                <c:pt idx="4">
                  <c:v>849.26984126984132</c:v>
                </c:pt>
                <c:pt idx="5">
                  <c:v>829.56761051999149</c:v>
                </c:pt>
                <c:pt idx="6">
                  <c:v>810.32245227837996</c:v>
                </c:pt>
              </c:numCache>
            </c:numRef>
          </c:val>
          <c:smooth val="0"/>
          <c:extLst>
            <c:ext xmlns:c16="http://schemas.microsoft.com/office/drawing/2014/chart" uri="{C3380CC4-5D6E-409C-BE32-E72D297353CC}">
              <c16:uniqueId val="{00000000-8682-4F14-B4F2-5586A2E286B1}"/>
            </c:ext>
          </c:extLst>
        </c:ser>
        <c:ser>
          <c:idx val="1"/>
          <c:order val="1"/>
          <c:tx>
            <c:strRef>
              <c:f>'Cap1hr1ln V8.3x'!$B$9</c:f>
              <c:strCache>
                <c:ptCount val="1"/>
                <c:pt idx="0">
                  <c:v>Minor Arterial</c:v>
                </c:pt>
              </c:strCache>
            </c:strRef>
          </c:tx>
          <c:spPr>
            <a:ln w="38100">
              <a:solidFill>
                <a:srgbClr val="008000"/>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V8.3x'!$C$9:$I$9</c:f>
              <c:numCache>
                <c:formatCode>_(* #,##0_);_(* \(#,##0\);_(* "-"??_);_(@_)</c:formatCode>
                <c:ptCount val="7"/>
                <c:pt idx="0">
                  <c:v>893.76</c:v>
                </c:pt>
                <c:pt idx="1">
                  <c:v>857.73599999999988</c:v>
                </c:pt>
                <c:pt idx="2">
                  <c:v>821.62080000000003</c:v>
                </c:pt>
                <c:pt idx="3">
                  <c:v>802.56</c:v>
                </c:pt>
                <c:pt idx="4">
                  <c:v>783.94139194139177</c:v>
                </c:pt>
                <c:pt idx="5">
                  <c:v>765.75471740306875</c:v>
                </c:pt>
                <c:pt idx="6">
                  <c:v>747.98995594927328</c:v>
                </c:pt>
              </c:numCache>
            </c:numRef>
          </c:val>
          <c:smooth val="0"/>
          <c:extLst>
            <c:ext xmlns:c16="http://schemas.microsoft.com/office/drawing/2014/chart" uri="{C3380CC4-5D6E-409C-BE32-E72D297353CC}">
              <c16:uniqueId val="{00000001-8682-4F14-B4F2-5586A2E286B1}"/>
            </c:ext>
          </c:extLst>
        </c:ser>
        <c:ser>
          <c:idx val="2"/>
          <c:order val="2"/>
          <c:tx>
            <c:strRef>
              <c:f>'Cap1hr1ln V8.3x'!$B$10</c:f>
              <c:strCache>
                <c:ptCount val="1"/>
                <c:pt idx="0">
                  <c:v>Major Collector</c:v>
                </c:pt>
              </c:strCache>
            </c:strRef>
          </c:tx>
          <c:spPr>
            <a:ln w="38100">
              <a:solidFill>
                <a:srgbClr val="0000FF"/>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V8.3x'!$C$10:$I$10</c:f>
              <c:numCache>
                <c:formatCode>_(* #,##0_);_(* \(#,##0\);_(* "-"??_);_(@_)</c:formatCode>
                <c:ptCount val="7"/>
                <c:pt idx="0">
                  <c:v>748</c:v>
                </c:pt>
                <c:pt idx="1">
                  <c:v>710.6</c:v>
                </c:pt>
                <c:pt idx="2">
                  <c:v>680.68</c:v>
                </c:pt>
                <c:pt idx="3">
                  <c:v>658.24</c:v>
                </c:pt>
                <c:pt idx="4">
                  <c:v>636.53978021978025</c:v>
                </c:pt>
                <c:pt idx="5">
                  <c:v>615.55495230044687</c:v>
                </c:pt>
                <c:pt idx="6">
                  <c:v>595.26193189493767</c:v>
                </c:pt>
              </c:numCache>
            </c:numRef>
          </c:val>
          <c:smooth val="0"/>
          <c:extLst>
            <c:ext xmlns:c16="http://schemas.microsoft.com/office/drawing/2014/chart" uri="{C3380CC4-5D6E-409C-BE32-E72D297353CC}">
              <c16:uniqueId val="{00000002-8682-4F14-B4F2-5586A2E286B1}"/>
            </c:ext>
          </c:extLst>
        </c:ser>
        <c:ser>
          <c:idx val="3"/>
          <c:order val="3"/>
          <c:tx>
            <c:strRef>
              <c:f>'Cap1hr1ln V8.3x'!$B$11</c:f>
              <c:strCache>
                <c:ptCount val="1"/>
                <c:pt idx="0">
                  <c:v>Minor Collector</c:v>
                </c:pt>
              </c:strCache>
            </c:strRef>
          </c:tx>
          <c:spPr>
            <a:ln w="38100">
              <a:solidFill>
                <a:srgbClr val="FF00FF"/>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V8.3x'!$C$11:$I$11</c:f>
              <c:numCache>
                <c:formatCode>_(* #,##0_);_(* \(#,##0\);_(* "-"??_);_(@_)</c:formatCode>
                <c:ptCount val="7"/>
                <c:pt idx="0">
                  <c:v>525</c:v>
                </c:pt>
                <c:pt idx="1">
                  <c:v>498.74999999999994</c:v>
                </c:pt>
                <c:pt idx="2">
                  <c:v>477.74999999999994</c:v>
                </c:pt>
                <c:pt idx="3">
                  <c:v>461.99999999999994</c:v>
                </c:pt>
                <c:pt idx="4">
                  <c:v>446.76923076923072</c:v>
                </c:pt>
                <c:pt idx="5">
                  <c:v>432.04057480980549</c:v>
                </c:pt>
                <c:pt idx="6">
                  <c:v>417.79747893695475</c:v>
                </c:pt>
              </c:numCache>
            </c:numRef>
          </c:val>
          <c:smooth val="0"/>
          <c:extLst>
            <c:ext xmlns:c16="http://schemas.microsoft.com/office/drawing/2014/chart" uri="{C3380CC4-5D6E-409C-BE32-E72D297353CC}">
              <c16:uniqueId val="{00000003-8682-4F14-B4F2-5586A2E286B1}"/>
            </c:ext>
          </c:extLst>
        </c:ser>
        <c:ser>
          <c:idx val="4"/>
          <c:order val="4"/>
          <c:tx>
            <c:strRef>
              <c:f>'Cap1hr1ln V8.3x'!$B$12</c:f>
              <c:strCache>
                <c:ptCount val="1"/>
                <c:pt idx="0">
                  <c:v>Local</c:v>
                </c:pt>
              </c:strCache>
            </c:strRef>
          </c:tx>
          <c:spPr>
            <a:ln w="38100">
              <a:solidFill>
                <a:schemeClr val="bg1">
                  <a:lumMod val="50000"/>
                </a:schemeClr>
              </a:solidFill>
              <a:prstDash val="solid"/>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V8.3x'!$C$12:$I$12</c:f>
              <c:numCache>
                <c:formatCode>_(* #,##0_);_(* \(#,##0\);_(* "-"??_);_(@_)</c:formatCode>
                <c:ptCount val="7"/>
                <c:pt idx="0">
                  <c:v>420</c:v>
                </c:pt>
                <c:pt idx="1">
                  <c:v>399</c:v>
                </c:pt>
                <c:pt idx="2">
                  <c:v>382.2</c:v>
                </c:pt>
                <c:pt idx="3">
                  <c:v>369.59999999999997</c:v>
                </c:pt>
                <c:pt idx="4">
                  <c:v>357.4153846153846</c:v>
                </c:pt>
                <c:pt idx="5">
                  <c:v>345.63245984784442</c:v>
                </c:pt>
                <c:pt idx="6">
                  <c:v>334.23798314956383</c:v>
                </c:pt>
              </c:numCache>
            </c:numRef>
          </c:val>
          <c:smooth val="0"/>
          <c:extLst>
            <c:ext xmlns:c16="http://schemas.microsoft.com/office/drawing/2014/chart" uri="{C3380CC4-5D6E-409C-BE32-E72D297353CC}">
              <c16:uniqueId val="{00000004-8682-4F14-B4F2-5586A2E286B1}"/>
            </c:ext>
          </c:extLst>
        </c:ser>
        <c:ser>
          <c:idx val="5"/>
          <c:order val="5"/>
          <c:tx>
            <c:strRef>
              <c:f>'Cap1hr1ln V8.3x'!$B$13</c:f>
              <c:strCache>
                <c:ptCount val="1"/>
                <c:pt idx="0">
                  <c:v>Unpaved</c:v>
                </c:pt>
              </c:strCache>
            </c:strRef>
          </c:tx>
          <c:spPr>
            <a:ln w="38100">
              <a:solidFill>
                <a:schemeClr val="bg1">
                  <a:lumMod val="50000"/>
                </a:schemeClr>
              </a:solidFill>
              <a:prstDash val="dash"/>
            </a:ln>
          </c:spPr>
          <c:marker>
            <c:symbol val="none"/>
          </c:marker>
          <c:cat>
            <c:strRef>
              <c:f>'Cap1hr1ln V8.3x'!$C$7:$I$7</c:f>
              <c:strCache>
                <c:ptCount val="7"/>
                <c:pt idx="0">
                  <c:v>1 lane</c:v>
                </c:pt>
                <c:pt idx="1">
                  <c:v> 2 lanes </c:v>
                </c:pt>
                <c:pt idx="2">
                  <c:v>3 lanes</c:v>
                </c:pt>
                <c:pt idx="3">
                  <c:v> 4 lanes </c:v>
                </c:pt>
                <c:pt idx="4">
                  <c:v>5 lanes</c:v>
                </c:pt>
                <c:pt idx="5">
                  <c:v> 6 lanes </c:v>
                </c:pt>
                <c:pt idx="6">
                  <c:v>7 lanes</c:v>
                </c:pt>
              </c:strCache>
            </c:strRef>
          </c:cat>
          <c:val>
            <c:numRef>
              <c:f>'Cap1hr1ln V8.3x'!$C$13:$I$13</c:f>
              <c:numCache>
                <c:formatCode>_(* #,##0_);_(* \(#,##0\);_(* "-"??_);_(@_)</c:formatCode>
                <c:ptCount val="7"/>
                <c:pt idx="0">
                  <c:v>300</c:v>
                </c:pt>
                <c:pt idx="1">
                  <c:v>300</c:v>
                </c:pt>
                <c:pt idx="2">
                  <c:v>300</c:v>
                </c:pt>
                <c:pt idx="3">
                  <c:v>300</c:v>
                </c:pt>
                <c:pt idx="4">
                  <c:v>300</c:v>
                </c:pt>
                <c:pt idx="5">
                  <c:v>300</c:v>
                </c:pt>
                <c:pt idx="6">
                  <c:v>300</c:v>
                </c:pt>
              </c:numCache>
            </c:numRef>
          </c:val>
          <c:smooth val="0"/>
          <c:extLst>
            <c:ext xmlns:c16="http://schemas.microsoft.com/office/drawing/2014/chart" uri="{C3380CC4-5D6E-409C-BE32-E72D297353CC}">
              <c16:uniqueId val="{00000005-8682-4F14-B4F2-5586A2E286B1}"/>
            </c:ext>
          </c:extLst>
        </c:ser>
        <c:dLbls>
          <c:showLegendKey val="0"/>
          <c:showVal val="0"/>
          <c:showCatName val="0"/>
          <c:showSerName val="0"/>
          <c:showPercent val="0"/>
          <c:showBubbleSize val="0"/>
        </c:dLbls>
        <c:smooth val="0"/>
        <c:axId val="244564624"/>
        <c:axId val="244565016"/>
      </c:lineChart>
      <c:catAx>
        <c:axId val="244564624"/>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565016"/>
        <c:crosses val="autoZero"/>
        <c:auto val="1"/>
        <c:lblAlgn val="ctr"/>
        <c:lblOffset val="100"/>
        <c:noMultiLvlLbl val="0"/>
      </c:catAx>
      <c:valAx>
        <c:axId val="244565016"/>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564624"/>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1"/>
          <c:order val="0"/>
          <c:tx>
            <c:strRef>
              <c:f>'Cap1hr1ln V8.3x'!$B$37</c:f>
              <c:strCache>
                <c:ptCount val="1"/>
                <c:pt idx="0">
                  <c:v>Fwy: posted 65 mph, no aux lane</c:v>
                </c:pt>
              </c:strCache>
            </c:strRef>
          </c:tx>
          <c:spPr>
            <a:ln w="38100">
              <a:solidFill>
                <a:srgbClr val="008000"/>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V8.3x'!$D$37:$I$37</c:f>
              <c:numCache>
                <c:formatCode>_(* #,##0_);_(* \(#,##0\);_(* "-"??_);_(@_)</c:formatCode>
                <c:ptCount val="6"/>
                <c:pt idx="0">
                  <c:v>1730.1875</c:v>
                </c:pt>
                <c:pt idx="1">
                  <c:v>1730.1875</c:v>
                </c:pt>
                <c:pt idx="2">
                  <c:v>1695.58375</c:v>
                </c:pt>
                <c:pt idx="3">
                  <c:v>1643.6781249999999</c:v>
                </c:pt>
                <c:pt idx="4">
                  <c:v>1574.4706249999999</c:v>
                </c:pt>
                <c:pt idx="5">
                  <c:v>1522.5650000000001</c:v>
                </c:pt>
              </c:numCache>
            </c:numRef>
          </c:val>
          <c:smooth val="0"/>
          <c:extLst>
            <c:ext xmlns:c16="http://schemas.microsoft.com/office/drawing/2014/chart" uri="{C3380CC4-5D6E-409C-BE32-E72D297353CC}">
              <c16:uniqueId val="{00000000-6557-4A76-AC18-DF2CD9D7F83E}"/>
            </c:ext>
          </c:extLst>
        </c:ser>
        <c:ser>
          <c:idx val="2"/>
          <c:order val="1"/>
          <c:tx>
            <c:strRef>
              <c:f>'Cap1hr1ln V8.3x'!$B$38</c:f>
              <c:strCache>
                <c:ptCount val="1"/>
                <c:pt idx="0">
                  <c:v>Fwy: posted 65 mph, aux lane</c:v>
                </c:pt>
              </c:strCache>
            </c:strRef>
          </c:tx>
          <c:spPr>
            <a:ln w="38100">
              <a:solidFill>
                <a:srgbClr val="0000FF"/>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V8.3x'!$D$38:$I$38</c:f>
              <c:numCache>
                <c:formatCode>_(* #,##0_);_(* \(#,##0\);_(* "-"??_);_(@_)</c:formatCode>
                <c:ptCount val="6"/>
                <c:pt idx="0">
                  <c:v>2080.1875</c:v>
                </c:pt>
                <c:pt idx="1">
                  <c:v>1963.5208333333333</c:v>
                </c:pt>
                <c:pt idx="2">
                  <c:v>1870.58375</c:v>
                </c:pt>
                <c:pt idx="3">
                  <c:v>1783.6781249999999</c:v>
                </c:pt>
                <c:pt idx="4">
                  <c:v>1691.1372916666667</c:v>
                </c:pt>
                <c:pt idx="5">
                  <c:v>1622.5650000000001</c:v>
                </c:pt>
              </c:numCache>
            </c:numRef>
          </c:val>
          <c:smooth val="0"/>
          <c:extLst>
            <c:ext xmlns:c16="http://schemas.microsoft.com/office/drawing/2014/chart" uri="{C3380CC4-5D6E-409C-BE32-E72D297353CC}">
              <c16:uniqueId val="{00000001-6557-4A76-AC18-DF2CD9D7F83E}"/>
            </c:ext>
          </c:extLst>
        </c:ser>
        <c:ser>
          <c:idx val="3"/>
          <c:order val="2"/>
          <c:tx>
            <c:strRef>
              <c:f>'Cap1hr1ln V8.3x'!$B$26</c:f>
              <c:strCache>
                <c:ptCount val="1"/>
                <c:pt idx="0">
                  <c:v>MM: posted 65 mph, no aux lane</c:v>
                </c:pt>
              </c:strCache>
            </c:strRef>
          </c:tx>
          <c:spPr>
            <a:ln w="38100">
              <a:solidFill>
                <a:srgbClr val="FF00FF"/>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V8.3x'!$D$26:$I$26</c:f>
              <c:numCache>
                <c:formatCode>_(* #,##0_);_(* \(#,##0\);_(* "-"??_);_(@_)</c:formatCode>
                <c:ptCount val="6"/>
                <c:pt idx="0">
                  <c:v>2100</c:v>
                </c:pt>
                <c:pt idx="1">
                  <c:v>2100</c:v>
                </c:pt>
                <c:pt idx="2">
                  <c:v>2058</c:v>
                </c:pt>
                <c:pt idx="3">
                  <c:v>1995</c:v>
                </c:pt>
                <c:pt idx="4">
                  <c:v>1911</c:v>
                </c:pt>
                <c:pt idx="5">
                  <c:v>1848</c:v>
                </c:pt>
              </c:numCache>
            </c:numRef>
          </c:val>
          <c:smooth val="0"/>
          <c:extLst>
            <c:ext xmlns:c16="http://schemas.microsoft.com/office/drawing/2014/chart" uri="{C3380CC4-5D6E-409C-BE32-E72D297353CC}">
              <c16:uniqueId val="{00000002-6557-4A76-AC18-DF2CD9D7F83E}"/>
            </c:ext>
          </c:extLst>
        </c:ser>
        <c:ser>
          <c:idx val="4"/>
          <c:order val="3"/>
          <c:tx>
            <c:strRef>
              <c:f>'Cap1hr1ln V8.3x'!$B$27</c:f>
              <c:strCache>
                <c:ptCount val="1"/>
                <c:pt idx="0">
                  <c:v>MM: posted 65 mph, aux lane</c:v>
                </c:pt>
              </c:strCache>
            </c:strRef>
          </c:tx>
          <c:spPr>
            <a:ln w="38100">
              <a:solidFill>
                <a:schemeClr val="bg1">
                  <a:lumMod val="50000"/>
                </a:schemeClr>
              </a:solidFill>
              <a:prstDash val="solid"/>
            </a:ln>
          </c:spPr>
          <c:marker>
            <c:symbol val="none"/>
          </c:marker>
          <c:cat>
            <c:strRef>
              <c:f>'Cap1hr1ln V8.3x'!$D$7:$I$7</c:f>
              <c:strCache>
                <c:ptCount val="6"/>
                <c:pt idx="0">
                  <c:v> 2 lanes </c:v>
                </c:pt>
                <c:pt idx="1">
                  <c:v>3 lanes</c:v>
                </c:pt>
                <c:pt idx="2">
                  <c:v> 4 lanes </c:v>
                </c:pt>
                <c:pt idx="3">
                  <c:v>5 lanes</c:v>
                </c:pt>
                <c:pt idx="4">
                  <c:v> 6 lanes </c:v>
                </c:pt>
                <c:pt idx="5">
                  <c:v>7 lanes</c:v>
                </c:pt>
              </c:strCache>
            </c:strRef>
          </c:cat>
          <c:val>
            <c:numRef>
              <c:f>'Cap1hr1ln V8.3x'!$D$27:$I$27</c:f>
              <c:numCache>
                <c:formatCode>_(* #,##0_);_(* \(#,##0\);_(* "-"??_);_(@_)</c:formatCode>
                <c:ptCount val="6"/>
                <c:pt idx="0">
                  <c:v>2450</c:v>
                </c:pt>
                <c:pt idx="1">
                  <c:v>2333.3333333333335</c:v>
                </c:pt>
                <c:pt idx="2">
                  <c:v>2233</c:v>
                </c:pt>
                <c:pt idx="3">
                  <c:v>2135</c:v>
                </c:pt>
                <c:pt idx="4">
                  <c:v>2027.6666666666667</c:v>
                </c:pt>
                <c:pt idx="5">
                  <c:v>1948</c:v>
                </c:pt>
              </c:numCache>
            </c:numRef>
          </c:val>
          <c:smooth val="0"/>
          <c:extLst>
            <c:ext xmlns:c16="http://schemas.microsoft.com/office/drawing/2014/chart" uri="{C3380CC4-5D6E-409C-BE32-E72D297353CC}">
              <c16:uniqueId val="{00000003-6557-4A76-AC18-DF2CD9D7F83E}"/>
            </c:ext>
          </c:extLst>
        </c:ser>
        <c:dLbls>
          <c:showLegendKey val="0"/>
          <c:showVal val="0"/>
          <c:showCatName val="0"/>
          <c:showSerName val="0"/>
          <c:showPercent val="0"/>
          <c:showBubbleSize val="0"/>
        </c:dLbls>
        <c:smooth val="0"/>
        <c:axId val="244565800"/>
        <c:axId val="244566192"/>
      </c:lineChart>
      <c:catAx>
        <c:axId val="244565800"/>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566192"/>
        <c:crosses val="autoZero"/>
        <c:auto val="1"/>
        <c:lblAlgn val="ctr"/>
        <c:lblOffset val="100"/>
        <c:noMultiLvlLbl val="0"/>
      </c:catAx>
      <c:valAx>
        <c:axId val="244566192"/>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565800"/>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 v8.1</a:t>
            </a:r>
            <a:r>
              <a:rPr lang="en-US" sz="1800" baseline="0"/>
              <a:t> vs. v8.0</a:t>
            </a:r>
          </a:p>
          <a:p>
            <a:pPr>
              <a:defRPr sz="1800"/>
            </a:pPr>
            <a:r>
              <a:rPr lang="en-US" sz="1400" b="0" i="0" baseline="0"/>
              <a:t>(v8.0 = dashed lines)</a:t>
            </a:r>
          </a:p>
        </c:rich>
      </c:tx>
      <c:overlay val="0"/>
    </c:title>
    <c:autoTitleDeleted val="0"/>
    <c:plotArea>
      <c:layout>
        <c:manualLayout>
          <c:layoutTarget val="inner"/>
          <c:xMode val="edge"/>
          <c:yMode val="edge"/>
          <c:x val="8.4893306030901158E-2"/>
          <c:y val="0.12754183890708087"/>
          <c:w val="0.89342553336120689"/>
          <c:h val="0.67196111003190606"/>
        </c:manualLayout>
      </c:layout>
      <c:lineChart>
        <c:grouping val="standard"/>
        <c:varyColors val="0"/>
        <c:ser>
          <c:idx val="0"/>
          <c:order val="0"/>
          <c:tx>
            <c:strRef>
              <c:f>'Cap1hr1ln V8.3x'!$B$36</c:f>
              <c:strCache>
                <c:ptCount val="1"/>
                <c:pt idx="0">
                  <c:v>Fwy: posted 55-60 mph</c:v>
                </c:pt>
              </c:strCache>
            </c:strRef>
          </c:tx>
          <c:spPr>
            <a:ln w="38100">
              <a:solidFill>
                <a:srgbClr val="FF0000"/>
              </a:solidFill>
              <a:prstDash val="solid"/>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V8.3x'!$D$36:$I$36</c:f>
              <c:numCache>
                <c:formatCode>_(* #,##0_);_(* \(#,##0\);_(* "-"??_);_(@_)</c:formatCode>
                <c:ptCount val="6"/>
                <c:pt idx="0">
                  <c:v>1693.375</c:v>
                </c:pt>
                <c:pt idx="1">
                  <c:v>1693.375</c:v>
                </c:pt>
                <c:pt idx="2">
                  <c:v>1659.5074999999999</c:v>
                </c:pt>
                <c:pt idx="3">
                  <c:v>1608.70625</c:v>
                </c:pt>
                <c:pt idx="4">
                  <c:v>1540.9712499999998</c:v>
                </c:pt>
                <c:pt idx="5">
                  <c:v>1490.17</c:v>
                </c:pt>
              </c:numCache>
            </c:numRef>
          </c:val>
          <c:smooth val="0"/>
          <c:extLst>
            <c:ext xmlns:c16="http://schemas.microsoft.com/office/drawing/2014/chart" uri="{C3380CC4-5D6E-409C-BE32-E72D297353CC}">
              <c16:uniqueId val="{00000000-99A6-4859-B61B-2F9ADD2BB443}"/>
            </c:ext>
          </c:extLst>
        </c:ser>
        <c:ser>
          <c:idx val="1"/>
          <c:order val="1"/>
          <c:tx>
            <c:strRef>
              <c:f>'Cap1hr1ln V8.3x'!$B$37</c:f>
              <c:strCache>
                <c:ptCount val="1"/>
                <c:pt idx="0">
                  <c:v>Fwy: posted 65 mph, no aux lane</c:v>
                </c:pt>
              </c:strCache>
            </c:strRef>
          </c:tx>
          <c:spPr>
            <a:ln w="38100">
              <a:solidFill>
                <a:srgbClr val="008000"/>
              </a:solidFill>
              <a:prstDash val="solid"/>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V8.3x'!$D$37:$I$37</c:f>
              <c:numCache>
                <c:formatCode>_(* #,##0_);_(* \(#,##0\);_(* "-"??_);_(@_)</c:formatCode>
                <c:ptCount val="6"/>
                <c:pt idx="0">
                  <c:v>1730.1875</c:v>
                </c:pt>
                <c:pt idx="1">
                  <c:v>1730.1875</c:v>
                </c:pt>
                <c:pt idx="2">
                  <c:v>1695.58375</c:v>
                </c:pt>
                <c:pt idx="3">
                  <c:v>1643.6781249999999</c:v>
                </c:pt>
                <c:pt idx="4">
                  <c:v>1574.4706249999999</c:v>
                </c:pt>
                <c:pt idx="5">
                  <c:v>1522.5650000000001</c:v>
                </c:pt>
              </c:numCache>
            </c:numRef>
          </c:val>
          <c:smooth val="0"/>
          <c:extLst>
            <c:ext xmlns:c16="http://schemas.microsoft.com/office/drawing/2014/chart" uri="{C3380CC4-5D6E-409C-BE32-E72D297353CC}">
              <c16:uniqueId val="{00000001-99A6-4859-B61B-2F9ADD2BB443}"/>
            </c:ext>
          </c:extLst>
        </c:ser>
        <c:ser>
          <c:idx val="2"/>
          <c:order val="2"/>
          <c:tx>
            <c:strRef>
              <c:f>'Cap1hr1ln V8.3x'!$B$38</c:f>
              <c:strCache>
                <c:ptCount val="1"/>
                <c:pt idx="0">
                  <c:v>Fwy: posted 65 mph, aux lane</c:v>
                </c:pt>
              </c:strCache>
            </c:strRef>
          </c:tx>
          <c:spPr>
            <a:ln w="38100">
              <a:solidFill>
                <a:srgbClr val="0000FF"/>
              </a:solidFill>
              <a:prstDash val="solid"/>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V8.3x'!$D$38:$I$38</c:f>
              <c:numCache>
                <c:formatCode>_(* #,##0_);_(* \(#,##0\);_(* "-"??_);_(@_)</c:formatCode>
                <c:ptCount val="6"/>
                <c:pt idx="0">
                  <c:v>2080.1875</c:v>
                </c:pt>
                <c:pt idx="1">
                  <c:v>1963.5208333333333</c:v>
                </c:pt>
                <c:pt idx="2">
                  <c:v>1870.58375</c:v>
                </c:pt>
                <c:pt idx="3">
                  <c:v>1783.6781249999999</c:v>
                </c:pt>
                <c:pt idx="4">
                  <c:v>1691.1372916666667</c:v>
                </c:pt>
                <c:pt idx="5">
                  <c:v>1622.5650000000001</c:v>
                </c:pt>
              </c:numCache>
            </c:numRef>
          </c:val>
          <c:smooth val="0"/>
          <c:extLst>
            <c:ext xmlns:c16="http://schemas.microsoft.com/office/drawing/2014/chart" uri="{C3380CC4-5D6E-409C-BE32-E72D297353CC}">
              <c16:uniqueId val="{00000002-99A6-4859-B61B-2F9ADD2BB443}"/>
            </c:ext>
          </c:extLst>
        </c:ser>
        <c:ser>
          <c:idx val="3"/>
          <c:order val="3"/>
          <c:tx>
            <c:strRef>
              <c:f>'Cap1hr1ln V8.3x'!$B$39</c:f>
              <c:strCache>
                <c:ptCount val="1"/>
                <c:pt idx="0">
                  <c:v>Fwy: posted 75 mph, no aux lane</c:v>
                </c:pt>
              </c:strCache>
            </c:strRef>
          </c:tx>
          <c:spPr>
            <a:ln w="38100">
              <a:solidFill>
                <a:srgbClr val="FF00FF"/>
              </a:solidFill>
              <a:prstDash val="solid"/>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V8.3x'!$D$39:$I$39</c:f>
              <c:numCache>
                <c:formatCode>_(* #,##0_);_(* \(#,##0\);_(* "-"??_);_(@_)</c:formatCode>
                <c:ptCount val="6"/>
                <c:pt idx="0">
                  <c:v>1767</c:v>
                </c:pt>
                <c:pt idx="1">
                  <c:v>1767</c:v>
                </c:pt>
                <c:pt idx="2">
                  <c:v>1731.66</c:v>
                </c:pt>
                <c:pt idx="3">
                  <c:v>1678.65</c:v>
                </c:pt>
                <c:pt idx="4">
                  <c:v>1607.97</c:v>
                </c:pt>
                <c:pt idx="5">
                  <c:v>1554.9599999999998</c:v>
                </c:pt>
              </c:numCache>
            </c:numRef>
          </c:val>
          <c:smooth val="0"/>
          <c:extLst>
            <c:ext xmlns:c16="http://schemas.microsoft.com/office/drawing/2014/chart" uri="{C3380CC4-5D6E-409C-BE32-E72D297353CC}">
              <c16:uniqueId val="{00000003-99A6-4859-B61B-2F9ADD2BB443}"/>
            </c:ext>
          </c:extLst>
        </c:ser>
        <c:ser>
          <c:idx val="4"/>
          <c:order val="4"/>
          <c:tx>
            <c:strRef>
              <c:f>'Cap1hr1ln V8.3x'!$B$40</c:f>
              <c:strCache>
                <c:ptCount val="1"/>
                <c:pt idx="0">
                  <c:v>Fwy: posted 75 mph, aux lane</c:v>
                </c:pt>
              </c:strCache>
            </c:strRef>
          </c:tx>
          <c:spPr>
            <a:ln w="38100">
              <a:solidFill>
                <a:schemeClr val="bg1">
                  <a:lumMod val="50000"/>
                </a:schemeClr>
              </a:solidFill>
              <a:prstDash val="solid"/>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V8.3x'!$D$40:$I$40</c:f>
              <c:numCache>
                <c:formatCode>_(* #,##0_);_(* \(#,##0\);_(* "-"??_);_(@_)</c:formatCode>
                <c:ptCount val="6"/>
                <c:pt idx="0">
                  <c:v>2117</c:v>
                </c:pt>
                <c:pt idx="1">
                  <c:v>2000.3333333333333</c:v>
                </c:pt>
                <c:pt idx="2">
                  <c:v>1906.66</c:v>
                </c:pt>
                <c:pt idx="3">
                  <c:v>1818.65</c:v>
                </c:pt>
                <c:pt idx="4">
                  <c:v>1724.6366666666665</c:v>
                </c:pt>
                <c:pt idx="5">
                  <c:v>1654.9599999999998</c:v>
                </c:pt>
              </c:numCache>
            </c:numRef>
          </c:val>
          <c:smooth val="0"/>
          <c:extLst>
            <c:ext xmlns:c16="http://schemas.microsoft.com/office/drawing/2014/chart" uri="{C3380CC4-5D6E-409C-BE32-E72D297353CC}">
              <c16:uniqueId val="{00000004-99A6-4859-B61B-2F9ADD2BB443}"/>
            </c:ext>
          </c:extLst>
        </c:ser>
        <c:ser>
          <c:idx val="5"/>
          <c:order val="5"/>
          <c:tx>
            <c:strRef>
              <c:f>'Cap1hr1ln V8'!$B$25</c:f>
              <c:strCache>
                <c:ptCount val="1"/>
                <c:pt idx="0">
                  <c:v>Fwy: posted 55-60 mph</c:v>
                </c:pt>
              </c:strCache>
            </c:strRef>
          </c:tx>
          <c:spPr>
            <a:ln w="38100">
              <a:solidFill>
                <a:srgbClr val="FF0000"/>
              </a:solidFill>
              <a:prstDash val="dash"/>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V8'!$D$25:$I$25</c:f>
              <c:numCache>
                <c:formatCode>_(* #,##0_);_(* \(#,##0\);_(* "-"??_);_(@_)</c:formatCode>
                <c:ptCount val="6"/>
                <c:pt idx="0">
                  <c:v>1717.9562500000002</c:v>
                </c:pt>
                <c:pt idx="1">
                  <c:v>1632.0584374999999</c:v>
                </c:pt>
                <c:pt idx="2">
                  <c:v>1563.3401875000002</c:v>
                </c:pt>
                <c:pt idx="3">
                  <c:v>1511.8015</c:v>
                </c:pt>
                <c:pt idx="4">
                  <c:v>1477.4423749999999</c:v>
                </c:pt>
                <c:pt idx="5">
                  <c:v>1443.0832499999999</c:v>
                </c:pt>
              </c:numCache>
            </c:numRef>
          </c:val>
          <c:smooth val="0"/>
          <c:extLst>
            <c:ext xmlns:c16="http://schemas.microsoft.com/office/drawing/2014/chart" uri="{C3380CC4-5D6E-409C-BE32-E72D297353CC}">
              <c16:uniqueId val="{00000005-99A6-4859-B61B-2F9ADD2BB443}"/>
            </c:ext>
          </c:extLst>
        </c:ser>
        <c:ser>
          <c:idx val="6"/>
          <c:order val="6"/>
          <c:tx>
            <c:strRef>
              <c:f>'Cap1hr1ln V8'!$B$26</c:f>
              <c:strCache>
                <c:ptCount val="1"/>
                <c:pt idx="0">
                  <c:v>Fwy: posted 65 mph, no aux lane</c:v>
                </c:pt>
              </c:strCache>
            </c:strRef>
          </c:tx>
          <c:spPr>
            <a:ln w="38100">
              <a:solidFill>
                <a:srgbClr val="008000"/>
              </a:solidFill>
              <a:prstDash val="dash"/>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V8'!$D$26:$I$26</c:f>
              <c:numCache>
                <c:formatCode>_(* #,##0_);_(* \(#,##0\);_(* "-"??_);_(@_)</c:formatCode>
                <c:ptCount val="6"/>
                <c:pt idx="0">
                  <c:v>1755.3031250000001</c:v>
                </c:pt>
                <c:pt idx="1">
                  <c:v>1667.5379687499999</c:v>
                </c:pt>
                <c:pt idx="2">
                  <c:v>1597.3258437500001</c:v>
                </c:pt>
                <c:pt idx="3">
                  <c:v>1544.6667499999999</c:v>
                </c:pt>
                <c:pt idx="4">
                  <c:v>1509.5606875000001</c:v>
                </c:pt>
                <c:pt idx="5">
                  <c:v>1474.4546250000001</c:v>
                </c:pt>
              </c:numCache>
            </c:numRef>
          </c:val>
          <c:smooth val="0"/>
          <c:extLst>
            <c:ext xmlns:c16="http://schemas.microsoft.com/office/drawing/2014/chart" uri="{C3380CC4-5D6E-409C-BE32-E72D297353CC}">
              <c16:uniqueId val="{00000006-99A6-4859-B61B-2F9ADD2BB443}"/>
            </c:ext>
          </c:extLst>
        </c:ser>
        <c:ser>
          <c:idx val="7"/>
          <c:order val="7"/>
          <c:tx>
            <c:strRef>
              <c:f>'Cap1hr1ln V8'!$B$27</c:f>
              <c:strCache>
                <c:ptCount val="1"/>
                <c:pt idx="0">
                  <c:v>Fwy: posted 65 mph, aux lane</c:v>
                </c:pt>
              </c:strCache>
            </c:strRef>
          </c:tx>
          <c:spPr>
            <a:ln w="38100">
              <a:solidFill>
                <a:srgbClr val="0000FF"/>
              </a:solidFill>
              <a:prstDash val="dash"/>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V8'!$D$27:$I$27</c:f>
              <c:numCache>
                <c:formatCode>_(* #,##0_);_(* \(#,##0\);_(* "-"??_);_(@_)</c:formatCode>
                <c:ptCount val="6"/>
                <c:pt idx="0">
                  <c:v>2105.3031250000004</c:v>
                </c:pt>
                <c:pt idx="1">
                  <c:v>1900.8713020833331</c:v>
                </c:pt>
                <c:pt idx="2">
                  <c:v>1772.3258437500001</c:v>
                </c:pt>
                <c:pt idx="3">
                  <c:v>1684.6667499999999</c:v>
                </c:pt>
                <c:pt idx="4">
                  <c:v>1626.2273541666666</c:v>
                </c:pt>
                <c:pt idx="5">
                  <c:v>1574.4546250000001</c:v>
                </c:pt>
              </c:numCache>
            </c:numRef>
          </c:val>
          <c:smooth val="0"/>
          <c:extLst>
            <c:ext xmlns:c16="http://schemas.microsoft.com/office/drawing/2014/chart" uri="{C3380CC4-5D6E-409C-BE32-E72D297353CC}">
              <c16:uniqueId val="{00000007-99A6-4859-B61B-2F9ADD2BB443}"/>
            </c:ext>
          </c:extLst>
        </c:ser>
        <c:ser>
          <c:idx val="8"/>
          <c:order val="8"/>
          <c:tx>
            <c:strRef>
              <c:f>'Cap1hr1ln V8'!$B$28</c:f>
              <c:strCache>
                <c:ptCount val="1"/>
                <c:pt idx="0">
                  <c:v>Fwy: posted 75 mph, no aux lane</c:v>
                </c:pt>
              </c:strCache>
            </c:strRef>
          </c:tx>
          <c:spPr>
            <a:ln w="38100">
              <a:solidFill>
                <a:srgbClr val="FF00FF"/>
              </a:solidFill>
              <a:prstDash val="dash"/>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V8'!$D$28:$I$28</c:f>
              <c:numCache>
                <c:formatCode>_(* #,##0_);_(* \(#,##0\);_(* "-"??_);_(@_)</c:formatCode>
                <c:ptCount val="6"/>
                <c:pt idx="0">
                  <c:v>1792.65</c:v>
                </c:pt>
                <c:pt idx="1">
                  <c:v>1703.0175000000002</c:v>
                </c:pt>
                <c:pt idx="2">
                  <c:v>1631.3115000000003</c:v>
                </c:pt>
                <c:pt idx="3">
                  <c:v>1577.5320000000002</c:v>
                </c:pt>
                <c:pt idx="4">
                  <c:v>1541.6790000000001</c:v>
                </c:pt>
                <c:pt idx="5">
                  <c:v>1505.8259999999998</c:v>
                </c:pt>
              </c:numCache>
            </c:numRef>
          </c:val>
          <c:smooth val="0"/>
          <c:extLst>
            <c:ext xmlns:c16="http://schemas.microsoft.com/office/drawing/2014/chart" uri="{C3380CC4-5D6E-409C-BE32-E72D297353CC}">
              <c16:uniqueId val="{00000008-99A6-4859-B61B-2F9ADD2BB443}"/>
            </c:ext>
          </c:extLst>
        </c:ser>
        <c:ser>
          <c:idx val="9"/>
          <c:order val="9"/>
          <c:tx>
            <c:strRef>
              <c:f>'Cap1hr1ln V8'!$B$29</c:f>
              <c:strCache>
                <c:ptCount val="1"/>
                <c:pt idx="0">
                  <c:v>Fwy: posted 75 mph, aux lane</c:v>
                </c:pt>
              </c:strCache>
            </c:strRef>
          </c:tx>
          <c:spPr>
            <a:ln w="38100">
              <a:solidFill>
                <a:schemeClr val="bg1">
                  <a:lumMod val="50000"/>
                </a:schemeClr>
              </a:solidFill>
              <a:prstDash val="dash"/>
            </a:ln>
          </c:spPr>
          <c:marker>
            <c:symbol val="none"/>
          </c:marker>
          <c:cat>
            <c:strRef>
              <c:f>'Cap1hr1ln V8.3x'!$D$22:$I$22</c:f>
              <c:strCache>
                <c:ptCount val="6"/>
                <c:pt idx="0">
                  <c:v> 2 lanes </c:v>
                </c:pt>
                <c:pt idx="1">
                  <c:v>3 lanes</c:v>
                </c:pt>
                <c:pt idx="2">
                  <c:v> 4 lanes </c:v>
                </c:pt>
                <c:pt idx="3">
                  <c:v>5 lanes</c:v>
                </c:pt>
                <c:pt idx="4">
                  <c:v> 6 lanes </c:v>
                </c:pt>
                <c:pt idx="5">
                  <c:v>7 lanes</c:v>
                </c:pt>
              </c:strCache>
            </c:strRef>
          </c:cat>
          <c:val>
            <c:numRef>
              <c:f>'Cap1hr1ln V8'!$D$29:$I$29</c:f>
              <c:numCache>
                <c:formatCode>_(* #,##0_);_(* \(#,##0\);_(* "-"??_);_(@_)</c:formatCode>
                <c:ptCount val="6"/>
                <c:pt idx="0">
                  <c:v>2142.65</c:v>
                </c:pt>
                <c:pt idx="1">
                  <c:v>1936.3508333333336</c:v>
                </c:pt>
                <c:pt idx="2">
                  <c:v>1806.3115000000003</c:v>
                </c:pt>
                <c:pt idx="3">
                  <c:v>1717.5319999999999</c:v>
                </c:pt>
                <c:pt idx="4">
                  <c:v>1658.3456666666668</c:v>
                </c:pt>
                <c:pt idx="5">
                  <c:v>1605.8259999999998</c:v>
                </c:pt>
              </c:numCache>
            </c:numRef>
          </c:val>
          <c:smooth val="0"/>
          <c:extLst>
            <c:ext xmlns:c16="http://schemas.microsoft.com/office/drawing/2014/chart" uri="{C3380CC4-5D6E-409C-BE32-E72D297353CC}">
              <c16:uniqueId val="{00000009-99A6-4859-B61B-2F9ADD2BB443}"/>
            </c:ext>
          </c:extLst>
        </c:ser>
        <c:dLbls>
          <c:showLegendKey val="0"/>
          <c:showVal val="0"/>
          <c:showCatName val="0"/>
          <c:showSerName val="0"/>
          <c:showPercent val="0"/>
          <c:showBubbleSize val="0"/>
        </c:dLbls>
        <c:smooth val="0"/>
        <c:axId val="245009968"/>
        <c:axId val="245010360"/>
      </c:lineChart>
      <c:catAx>
        <c:axId val="245009968"/>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5010360"/>
        <c:crosses val="autoZero"/>
        <c:auto val="1"/>
        <c:lblAlgn val="ctr"/>
        <c:lblOffset val="100"/>
        <c:noMultiLvlLbl val="0"/>
      </c:catAx>
      <c:valAx>
        <c:axId val="245010360"/>
        <c:scaling>
          <c:orientation val="minMax"/>
          <c:max val="2200"/>
          <c:min val="12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5009968"/>
        <c:crosses val="autoZero"/>
        <c:crossBetween val="between"/>
      </c:valAx>
    </c:plotArea>
    <c:legend>
      <c:legendPos val="r"/>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8.5055332742960107E-2"/>
          <c:y val="0.87372169636846009"/>
          <c:w val="0.8984621283888149"/>
          <c:h val="0.1262783036315398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 By Area Type</a:t>
            </a:r>
          </a:p>
        </c:rich>
      </c:tx>
      <c:layout>
        <c:manualLayout>
          <c:xMode val="edge"/>
          <c:yMode val="edge"/>
          <c:x val="0.2803712360162473"/>
          <c:y val="3.0935361536721821E-2"/>
        </c:manualLayout>
      </c:layout>
      <c:overlay val="0"/>
      <c:spPr>
        <a:noFill/>
        <a:ln w="25400">
          <a:noFill/>
        </a:ln>
      </c:spPr>
    </c:title>
    <c:autoTitleDeleted val="0"/>
    <c:plotArea>
      <c:layout>
        <c:manualLayout>
          <c:layoutTarget val="inner"/>
          <c:xMode val="edge"/>
          <c:yMode val="edge"/>
          <c:x val="8.5267525992475279E-2"/>
          <c:y val="0.147341205753245"/>
          <c:w val="0.88736035524372259"/>
          <c:h val="0.6693527820714692"/>
        </c:manualLayout>
      </c:layout>
      <c:lineChart>
        <c:grouping val="standard"/>
        <c:varyColors val="0"/>
        <c:ser>
          <c:idx val="1"/>
          <c:order val="0"/>
          <c:tx>
            <c:strRef>
              <c:f>'SFF 8.1'!$D$6</c:f>
              <c:strCache>
                <c:ptCount val="1"/>
                <c:pt idx="0">
                  <c:v>Principal Arterial</c:v>
                </c:pt>
              </c:strCache>
            </c:strRef>
          </c:tx>
          <c:spPr>
            <a:ln w="31750">
              <a:solidFill>
                <a:srgbClr val="FF0000"/>
              </a:solidFill>
              <a:prstDash val="solid"/>
            </a:ln>
          </c:spPr>
          <c:marker>
            <c:symbol val="square"/>
            <c:size val="7"/>
            <c:spPr>
              <a:noFill/>
              <a:ln w="19050">
                <a:solidFill>
                  <a:srgbClr val="FF0000"/>
                </a:solidFill>
                <a:prstDash val="solid"/>
              </a:ln>
            </c:spPr>
          </c:marker>
          <c:cat>
            <c:strRef>
              <c:f>'SFF 8.1'!$E$4:$I$4</c:f>
              <c:strCache>
                <c:ptCount val="5"/>
                <c:pt idx="0">
                  <c:v>Rural</c:v>
                </c:pt>
                <c:pt idx="1">
                  <c:v>Transition</c:v>
                </c:pt>
                <c:pt idx="2">
                  <c:v>Suburban</c:v>
                </c:pt>
                <c:pt idx="3">
                  <c:v>Urban</c:v>
                </c:pt>
                <c:pt idx="4">
                  <c:v>CBD-Like</c:v>
                </c:pt>
              </c:strCache>
            </c:strRef>
          </c:cat>
          <c:val>
            <c:numRef>
              <c:f>'SFF 8.1'!$E$6:$I$6</c:f>
              <c:numCache>
                <c:formatCode>0</c:formatCode>
                <c:ptCount val="5"/>
                <c:pt idx="0">
                  <c:v>60</c:v>
                </c:pt>
                <c:pt idx="1">
                  <c:v>47.710843373493979</c:v>
                </c:pt>
                <c:pt idx="2">
                  <c:v>39.560439560439562</c:v>
                </c:pt>
                <c:pt idx="3">
                  <c:v>32.757051865332116</c:v>
                </c:pt>
                <c:pt idx="4">
                  <c:v>24.347826086956523</c:v>
                </c:pt>
              </c:numCache>
            </c:numRef>
          </c:val>
          <c:smooth val="0"/>
          <c:extLst>
            <c:ext xmlns:c16="http://schemas.microsoft.com/office/drawing/2014/chart" uri="{C3380CC4-5D6E-409C-BE32-E72D297353CC}">
              <c16:uniqueId val="{00000000-5D98-41E6-80F9-3523F207621C}"/>
            </c:ext>
          </c:extLst>
        </c:ser>
        <c:ser>
          <c:idx val="2"/>
          <c:order val="1"/>
          <c:tx>
            <c:strRef>
              <c:f>'SFF 8.1'!$D$7</c:f>
              <c:strCache>
                <c:ptCount val="1"/>
                <c:pt idx="0">
                  <c:v>Minor Arterial</c:v>
                </c:pt>
              </c:strCache>
            </c:strRef>
          </c:tx>
          <c:spPr>
            <a:ln w="31750">
              <a:solidFill>
                <a:srgbClr val="008000"/>
              </a:solidFill>
              <a:prstDash val="solid"/>
            </a:ln>
          </c:spPr>
          <c:marker>
            <c:symbol val="triangle"/>
            <c:size val="7"/>
            <c:spPr>
              <a:noFill/>
              <a:ln w="22225">
                <a:solidFill>
                  <a:srgbClr val="008000"/>
                </a:solidFill>
                <a:prstDash val="solid"/>
              </a:ln>
            </c:spPr>
          </c:marker>
          <c:cat>
            <c:strRef>
              <c:f>'SFF 8.1'!$E$4:$I$4</c:f>
              <c:strCache>
                <c:ptCount val="5"/>
                <c:pt idx="0">
                  <c:v>Rural</c:v>
                </c:pt>
                <c:pt idx="1">
                  <c:v>Transition</c:v>
                </c:pt>
                <c:pt idx="2">
                  <c:v>Suburban</c:v>
                </c:pt>
                <c:pt idx="3">
                  <c:v>Urban</c:v>
                </c:pt>
                <c:pt idx="4">
                  <c:v>CBD-Like</c:v>
                </c:pt>
              </c:strCache>
            </c:strRef>
          </c:cat>
          <c:val>
            <c:numRef>
              <c:f>'SFF 8.1'!$E$7:$I$7</c:f>
              <c:numCache>
                <c:formatCode>0</c:formatCode>
                <c:ptCount val="5"/>
                <c:pt idx="0">
                  <c:v>53</c:v>
                </c:pt>
                <c:pt idx="1">
                  <c:v>41.379310344827587</c:v>
                </c:pt>
                <c:pt idx="2">
                  <c:v>35.294117647058826</c:v>
                </c:pt>
                <c:pt idx="3">
                  <c:v>30.120940138434623</c:v>
                </c:pt>
                <c:pt idx="4">
                  <c:v>21.290322580645164</c:v>
                </c:pt>
              </c:numCache>
            </c:numRef>
          </c:val>
          <c:smooth val="0"/>
          <c:extLst>
            <c:ext xmlns:c16="http://schemas.microsoft.com/office/drawing/2014/chart" uri="{C3380CC4-5D6E-409C-BE32-E72D297353CC}">
              <c16:uniqueId val="{00000001-5D98-41E6-80F9-3523F207621C}"/>
            </c:ext>
          </c:extLst>
        </c:ser>
        <c:ser>
          <c:idx val="3"/>
          <c:order val="2"/>
          <c:tx>
            <c:strRef>
              <c:f>'SFF 8.1'!$D$8</c:f>
              <c:strCache>
                <c:ptCount val="1"/>
                <c:pt idx="0">
                  <c:v>Major Collector</c:v>
                </c:pt>
              </c:strCache>
            </c:strRef>
          </c:tx>
          <c:spPr>
            <a:ln w="31750">
              <a:solidFill>
                <a:srgbClr val="0000FF"/>
              </a:solidFill>
              <a:prstDash val="solid"/>
            </a:ln>
          </c:spPr>
          <c:marker>
            <c:symbol val="x"/>
            <c:size val="7"/>
            <c:spPr>
              <a:noFill/>
              <a:ln w="19050">
                <a:solidFill>
                  <a:srgbClr val="0000FF"/>
                </a:solidFill>
                <a:prstDash val="solid"/>
              </a:ln>
            </c:spPr>
          </c:marker>
          <c:cat>
            <c:strRef>
              <c:f>'SFF 8.1'!$E$4:$I$4</c:f>
              <c:strCache>
                <c:ptCount val="5"/>
                <c:pt idx="0">
                  <c:v>Rural</c:v>
                </c:pt>
                <c:pt idx="1">
                  <c:v>Transition</c:v>
                </c:pt>
                <c:pt idx="2">
                  <c:v>Suburban</c:v>
                </c:pt>
                <c:pt idx="3">
                  <c:v>Urban</c:v>
                </c:pt>
                <c:pt idx="4">
                  <c:v>CBD-Like</c:v>
                </c:pt>
              </c:strCache>
            </c:strRef>
          </c:cat>
          <c:val>
            <c:numRef>
              <c:f>'SFF 8.1'!$E$8:$I$8</c:f>
              <c:numCache>
                <c:formatCode>0</c:formatCode>
                <c:ptCount val="5"/>
                <c:pt idx="0">
                  <c:v>45</c:v>
                </c:pt>
                <c:pt idx="1">
                  <c:v>34.708520179372194</c:v>
                </c:pt>
                <c:pt idx="2">
                  <c:v>28.799999999999997</c:v>
                </c:pt>
                <c:pt idx="3">
                  <c:v>25.678098432710659</c:v>
                </c:pt>
                <c:pt idx="4">
                  <c:v>18.378378378378379</c:v>
                </c:pt>
              </c:numCache>
            </c:numRef>
          </c:val>
          <c:smooth val="0"/>
          <c:extLst>
            <c:ext xmlns:c16="http://schemas.microsoft.com/office/drawing/2014/chart" uri="{C3380CC4-5D6E-409C-BE32-E72D297353CC}">
              <c16:uniqueId val="{00000002-5D98-41E6-80F9-3523F207621C}"/>
            </c:ext>
          </c:extLst>
        </c:ser>
        <c:ser>
          <c:idx val="4"/>
          <c:order val="3"/>
          <c:tx>
            <c:strRef>
              <c:f>'SFF 8.1'!$D$9</c:f>
              <c:strCache>
                <c:ptCount val="1"/>
                <c:pt idx="0">
                  <c:v>Minor Collector</c:v>
                </c:pt>
              </c:strCache>
            </c:strRef>
          </c:tx>
          <c:spPr>
            <a:ln w="31750">
              <a:solidFill>
                <a:srgbClr val="9933FF"/>
              </a:solidFill>
              <a:prstDash val="solid"/>
            </a:ln>
          </c:spPr>
          <c:marker>
            <c:spPr>
              <a:ln w="19050">
                <a:solidFill>
                  <a:srgbClr val="9933FF"/>
                </a:solidFill>
              </a:ln>
            </c:spPr>
          </c:marker>
          <c:cat>
            <c:strRef>
              <c:f>'SFF 8.1'!$E$4:$I$4</c:f>
              <c:strCache>
                <c:ptCount val="5"/>
                <c:pt idx="0">
                  <c:v>Rural</c:v>
                </c:pt>
                <c:pt idx="1">
                  <c:v>Transition</c:v>
                </c:pt>
                <c:pt idx="2">
                  <c:v>Suburban</c:v>
                </c:pt>
                <c:pt idx="3">
                  <c:v>Urban</c:v>
                </c:pt>
                <c:pt idx="4">
                  <c:v>CBD-Like</c:v>
                </c:pt>
              </c:strCache>
            </c:strRef>
          </c:cat>
          <c:val>
            <c:numRef>
              <c:f>'SFF 8.1'!$E$9:$I$9</c:f>
              <c:numCache>
                <c:formatCode>0</c:formatCode>
                <c:ptCount val="5"/>
                <c:pt idx="0">
                  <c:v>42</c:v>
                </c:pt>
                <c:pt idx="1">
                  <c:v>31.708520179372194</c:v>
                </c:pt>
                <c:pt idx="2">
                  <c:v>25.799999999999997</c:v>
                </c:pt>
                <c:pt idx="3">
                  <c:v>22.678098432710659</c:v>
                </c:pt>
                <c:pt idx="4">
                  <c:v>15.378378378378379</c:v>
                </c:pt>
              </c:numCache>
            </c:numRef>
          </c:val>
          <c:smooth val="0"/>
          <c:extLst>
            <c:ext xmlns:c16="http://schemas.microsoft.com/office/drawing/2014/chart" uri="{C3380CC4-5D6E-409C-BE32-E72D297353CC}">
              <c16:uniqueId val="{00000003-5D98-41E6-80F9-3523F207621C}"/>
            </c:ext>
          </c:extLst>
        </c:ser>
        <c:ser>
          <c:idx val="0"/>
          <c:order val="4"/>
          <c:tx>
            <c:strRef>
              <c:f>'SFF 8.1'!$D$5</c:f>
              <c:strCache>
                <c:ptCount val="1"/>
                <c:pt idx="0">
                  <c:v>Centroid Connector / Local</c:v>
                </c:pt>
              </c:strCache>
            </c:strRef>
          </c:tx>
          <c:spPr>
            <a:ln w="31750">
              <a:solidFill>
                <a:srgbClr val="969696"/>
              </a:solidFill>
              <a:prstDash val="solid"/>
            </a:ln>
          </c:spPr>
          <c:marker>
            <c:symbol val="diamond"/>
            <c:size val="7"/>
            <c:spPr>
              <a:noFill/>
              <a:ln w="19050">
                <a:solidFill>
                  <a:srgbClr val="969696"/>
                </a:solidFill>
                <a:prstDash val="solid"/>
              </a:ln>
            </c:spPr>
          </c:marker>
          <c:cat>
            <c:strRef>
              <c:f>'SFF 8.1'!$E$4:$I$4</c:f>
              <c:strCache>
                <c:ptCount val="5"/>
                <c:pt idx="0">
                  <c:v>Rural</c:v>
                </c:pt>
                <c:pt idx="1">
                  <c:v>Transition</c:v>
                </c:pt>
                <c:pt idx="2">
                  <c:v>Suburban</c:v>
                </c:pt>
                <c:pt idx="3">
                  <c:v>Urban</c:v>
                </c:pt>
                <c:pt idx="4">
                  <c:v>CBD-Like</c:v>
                </c:pt>
              </c:strCache>
            </c:strRef>
          </c:cat>
          <c:val>
            <c:numRef>
              <c:f>'SFF 8.1'!$E$5:$I$5</c:f>
              <c:numCache>
                <c:formatCode>0</c:formatCode>
                <c:ptCount val="5"/>
                <c:pt idx="0">
                  <c:v>30</c:v>
                </c:pt>
                <c:pt idx="1">
                  <c:v>24</c:v>
                </c:pt>
                <c:pt idx="2">
                  <c:v>20.16</c:v>
                </c:pt>
                <c:pt idx="3">
                  <c:v>17.034700315457414</c:v>
                </c:pt>
                <c:pt idx="4">
                  <c:v>13.535791757049891</c:v>
                </c:pt>
              </c:numCache>
            </c:numRef>
          </c:val>
          <c:smooth val="0"/>
          <c:extLst>
            <c:ext xmlns:c16="http://schemas.microsoft.com/office/drawing/2014/chart" uri="{C3380CC4-5D6E-409C-BE32-E72D297353CC}">
              <c16:uniqueId val="{00000004-5D98-41E6-80F9-3523F207621C}"/>
            </c:ext>
          </c:extLst>
        </c:ser>
        <c:ser>
          <c:idx val="5"/>
          <c:order val="5"/>
          <c:tx>
            <c:v>Old Centroid Conector</c:v>
          </c:tx>
          <c:spPr>
            <a:ln w="31750">
              <a:solidFill>
                <a:schemeClr val="bg1">
                  <a:lumMod val="65000"/>
                </a:schemeClr>
              </a:solidFill>
              <a:prstDash val="dash"/>
            </a:ln>
          </c:spPr>
          <c:marker>
            <c:symbol val="none"/>
          </c:marker>
          <c:val>
            <c:numRef>
              <c:f>'SFF 7.0'!$C$5:$G$5</c:f>
              <c:numCache>
                <c:formatCode>0.0</c:formatCode>
                <c:ptCount val="5"/>
                <c:pt idx="0">
                  <c:v>30</c:v>
                </c:pt>
                <c:pt idx="1">
                  <c:v>23.225806451612904</c:v>
                </c:pt>
                <c:pt idx="2">
                  <c:v>21.176470588235293</c:v>
                </c:pt>
                <c:pt idx="3">
                  <c:v>16.216216216216218</c:v>
                </c:pt>
                <c:pt idx="4">
                  <c:v>13.535791757049891</c:v>
                </c:pt>
              </c:numCache>
            </c:numRef>
          </c:val>
          <c:smooth val="0"/>
          <c:extLst>
            <c:ext xmlns:c16="http://schemas.microsoft.com/office/drawing/2014/chart" uri="{C3380CC4-5D6E-409C-BE32-E72D297353CC}">
              <c16:uniqueId val="{00000005-5D98-41E6-80F9-3523F207621C}"/>
            </c:ext>
          </c:extLst>
        </c:ser>
        <c:ser>
          <c:idx val="9"/>
          <c:order val="6"/>
          <c:tx>
            <c:v>Old Principal Arterial</c:v>
          </c:tx>
          <c:spPr>
            <a:ln>
              <a:solidFill>
                <a:srgbClr val="FF0000"/>
              </a:solidFill>
              <a:prstDash val="dash"/>
            </a:ln>
          </c:spPr>
          <c:marker>
            <c:symbol val="none"/>
          </c:marker>
          <c:val>
            <c:numRef>
              <c:f>'SFF 7.0'!$C$6:$G$6</c:f>
              <c:numCache>
                <c:formatCode>0.0</c:formatCode>
                <c:ptCount val="5"/>
                <c:pt idx="0">
                  <c:v>55</c:v>
                </c:pt>
                <c:pt idx="1">
                  <c:v>44.745762711864408</c:v>
                </c:pt>
                <c:pt idx="2">
                  <c:v>39.560439560439562</c:v>
                </c:pt>
                <c:pt idx="3">
                  <c:v>32.757051865332116</c:v>
                </c:pt>
                <c:pt idx="4">
                  <c:v>23.398328690807801</c:v>
                </c:pt>
              </c:numCache>
            </c:numRef>
          </c:val>
          <c:smooth val="0"/>
          <c:extLst>
            <c:ext xmlns:c16="http://schemas.microsoft.com/office/drawing/2014/chart" uri="{C3380CC4-5D6E-409C-BE32-E72D297353CC}">
              <c16:uniqueId val="{00000006-5D98-41E6-80F9-3523F207621C}"/>
            </c:ext>
          </c:extLst>
        </c:ser>
        <c:ser>
          <c:idx val="6"/>
          <c:order val="7"/>
          <c:tx>
            <c:v>Old Minor Arterial</c:v>
          </c:tx>
          <c:spPr>
            <a:ln>
              <a:solidFill>
                <a:srgbClr val="008000"/>
              </a:solidFill>
              <a:prstDash val="dash"/>
            </a:ln>
          </c:spPr>
          <c:marker>
            <c:symbol val="none"/>
          </c:marker>
          <c:val>
            <c:numRef>
              <c:f>'SFF 7.0'!$C$7:$G$7</c:f>
              <c:numCache>
                <c:formatCode>0.0</c:formatCode>
                <c:ptCount val="5"/>
                <c:pt idx="0">
                  <c:v>50</c:v>
                </c:pt>
                <c:pt idx="1">
                  <c:v>39.130434782608695</c:v>
                </c:pt>
                <c:pt idx="2">
                  <c:v>36.363636363636367</c:v>
                </c:pt>
                <c:pt idx="3">
                  <c:v>31.044955194780847</c:v>
                </c:pt>
                <c:pt idx="4">
                  <c:v>22.527075812274372</c:v>
                </c:pt>
              </c:numCache>
            </c:numRef>
          </c:val>
          <c:smooth val="0"/>
          <c:extLst>
            <c:ext xmlns:c16="http://schemas.microsoft.com/office/drawing/2014/chart" uri="{C3380CC4-5D6E-409C-BE32-E72D297353CC}">
              <c16:uniqueId val="{00000007-5D98-41E6-80F9-3523F207621C}"/>
            </c:ext>
          </c:extLst>
        </c:ser>
        <c:ser>
          <c:idx val="7"/>
          <c:order val="8"/>
          <c:tx>
            <c:v>Old Major Collector</c:v>
          </c:tx>
          <c:spPr>
            <a:ln>
              <a:solidFill>
                <a:srgbClr val="0000FF"/>
              </a:solidFill>
              <a:prstDash val="dash"/>
            </a:ln>
          </c:spPr>
          <c:marker>
            <c:symbol val="none"/>
          </c:marker>
          <c:val>
            <c:numRef>
              <c:f>'SFF 7.0'!$C$8:$G$8</c:f>
              <c:numCache>
                <c:formatCode>0.0</c:formatCode>
                <c:ptCount val="5"/>
                <c:pt idx="0">
                  <c:v>40</c:v>
                </c:pt>
                <c:pt idx="1">
                  <c:v>33.772455089820355</c:v>
                </c:pt>
                <c:pt idx="2">
                  <c:v>30.323212536728697</c:v>
                </c:pt>
                <c:pt idx="3">
                  <c:v>25.678098432710659</c:v>
                </c:pt>
                <c:pt idx="4">
                  <c:v>18.378378378378379</c:v>
                </c:pt>
              </c:numCache>
            </c:numRef>
          </c:val>
          <c:smooth val="0"/>
          <c:extLst>
            <c:ext xmlns:c16="http://schemas.microsoft.com/office/drawing/2014/chart" uri="{C3380CC4-5D6E-409C-BE32-E72D297353CC}">
              <c16:uniqueId val="{00000008-5D98-41E6-80F9-3523F207621C}"/>
            </c:ext>
          </c:extLst>
        </c:ser>
        <c:ser>
          <c:idx val="8"/>
          <c:order val="9"/>
          <c:tx>
            <c:v>Old Minor Collector</c:v>
          </c:tx>
          <c:spPr>
            <a:ln>
              <a:solidFill>
                <a:srgbClr val="9933FF"/>
              </a:solidFill>
              <a:prstDash val="dash"/>
            </a:ln>
          </c:spPr>
          <c:marker>
            <c:symbol val="none"/>
          </c:marker>
          <c:val>
            <c:numRef>
              <c:f>'SFF 7.0'!$C$9:$G$9</c:f>
              <c:numCache>
                <c:formatCode>0.0</c:formatCode>
                <c:ptCount val="5"/>
                <c:pt idx="0">
                  <c:v>37</c:v>
                </c:pt>
                <c:pt idx="1">
                  <c:v>30.772455089820355</c:v>
                </c:pt>
                <c:pt idx="2">
                  <c:v>27.323212536728697</c:v>
                </c:pt>
                <c:pt idx="3">
                  <c:v>22.678098432710659</c:v>
                </c:pt>
                <c:pt idx="4">
                  <c:v>15.378378378378379</c:v>
                </c:pt>
              </c:numCache>
            </c:numRef>
          </c:val>
          <c:smooth val="0"/>
          <c:extLst>
            <c:ext xmlns:c16="http://schemas.microsoft.com/office/drawing/2014/chart" uri="{C3380CC4-5D6E-409C-BE32-E72D297353CC}">
              <c16:uniqueId val="{00000009-5D98-41E6-80F9-3523F207621C}"/>
            </c:ext>
          </c:extLst>
        </c:ser>
        <c:dLbls>
          <c:showLegendKey val="0"/>
          <c:showVal val="0"/>
          <c:showCatName val="0"/>
          <c:showSerName val="0"/>
          <c:showPercent val="0"/>
          <c:showBubbleSize val="0"/>
        </c:dLbls>
        <c:marker val="1"/>
        <c:smooth val="0"/>
        <c:axId val="241102864"/>
        <c:axId val="241103256"/>
      </c:lineChart>
      <c:catAx>
        <c:axId val="241102864"/>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1103256"/>
        <c:crosses val="autoZero"/>
        <c:auto val="1"/>
        <c:lblAlgn val="ctr"/>
        <c:lblOffset val="100"/>
        <c:tickLblSkip val="1"/>
        <c:tickMarkSkip val="1"/>
        <c:noMultiLvlLbl val="0"/>
      </c:catAx>
      <c:valAx>
        <c:axId val="241103256"/>
        <c:scaling>
          <c:orientation val="minMax"/>
          <c:max val="60"/>
          <c:min val="0"/>
        </c:scaling>
        <c:delete val="0"/>
        <c:axPos val="l"/>
        <c:majorGridlines>
          <c:spPr>
            <a:ln w="3175">
              <a:solidFill>
                <a:srgbClr val="C0C0C0"/>
              </a:solidFill>
              <a:prstDash val="solid"/>
            </a:ln>
          </c:spPr>
        </c:majorGridlines>
        <c:title>
          <c:tx>
            <c:rich>
              <a:bodyPr rot="0" vert="horz"/>
              <a:lstStyle/>
              <a:p>
                <a:pPr algn="ctr">
                  <a:defRPr sz="1200" b="1" i="0" u="none" strike="noStrike" baseline="0">
                    <a:solidFill>
                      <a:srgbClr val="000000"/>
                    </a:solidFill>
                    <a:latin typeface="Calibri"/>
                    <a:ea typeface="Calibri"/>
                    <a:cs typeface="Calibri"/>
                  </a:defRPr>
                </a:pPr>
                <a:r>
                  <a:rPr lang="en-US"/>
                  <a:t>MPH</a:t>
                </a:r>
              </a:p>
            </c:rich>
          </c:tx>
          <c:layout>
            <c:manualLayout>
              <c:xMode val="edge"/>
              <c:yMode val="edge"/>
              <c:x val="2.450548128998719E-2"/>
              <c:y val="8.1575454032608699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1102864"/>
        <c:crosses val="autoZero"/>
        <c:crossBetween val="between"/>
      </c:valAx>
      <c:spPr>
        <a:solidFill>
          <a:srgbClr val="FFFFFF"/>
        </a:solidFill>
        <a:ln w="12700">
          <a:solidFill>
            <a:srgbClr val="C0C0C0"/>
          </a:solidFill>
          <a:prstDash val="solid"/>
        </a:ln>
      </c:spPr>
    </c:plotArea>
    <c:legend>
      <c:legendPos val="b"/>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7.2260924156814944E-3"/>
          <c:y val="0.9214881227584244"/>
          <c:w val="0.89999994119260807"/>
          <c:h val="4.1249078307885878E-2"/>
        </c:manualLayout>
      </c:layout>
      <c:overlay val="0"/>
      <c:spPr>
        <a:solidFill>
          <a:srgbClr val="FFFFFF"/>
        </a:solid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a:t>
            </a:r>
          </a:p>
        </c:rich>
      </c:tx>
      <c:layout>
        <c:manualLayout>
          <c:xMode val="edge"/>
          <c:yMode val="edge"/>
          <c:x val="0.37864560878017045"/>
          <c:y val="2.8136482939632456E-2"/>
        </c:manualLayout>
      </c:layout>
      <c:overlay val="0"/>
      <c:spPr>
        <a:noFill/>
        <a:ln w="25400">
          <a:noFill/>
        </a:ln>
      </c:spPr>
    </c:title>
    <c:autoTitleDeleted val="0"/>
    <c:plotArea>
      <c:layout>
        <c:manualLayout>
          <c:layoutTarget val="inner"/>
          <c:xMode val="edge"/>
          <c:yMode val="edge"/>
          <c:x val="0.24849260450336544"/>
          <c:y val="0.20913366596418331"/>
          <c:w val="0.71401872876933148"/>
          <c:h val="0.76063606903976544"/>
        </c:manualLayout>
      </c:layout>
      <c:barChart>
        <c:barDir val="bar"/>
        <c:grouping val="clustered"/>
        <c:varyColors val="0"/>
        <c:ser>
          <c:idx val="0"/>
          <c:order val="0"/>
          <c:tx>
            <c:strRef>
              <c:f>'SFF 8.1'!$E$14</c:f>
              <c:strCache>
                <c:ptCount val="1"/>
                <c:pt idx="0">
                  <c:v>Speed</c:v>
                </c:pt>
              </c:strCache>
            </c:strRef>
          </c:tx>
          <c:spPr>
            <a:solidFill>
              <a:srgbClr val="339966"/>
            </a:solidFill>
            <a:ln w="12700">
              <a:solidFill>
                <a:srgbClr val="C0C0C0"/>
              </a:solidFill>
              <a:prstDash val="solid"/>
            </a:ln>
          </c:spPr>
          <c:invertIfNegative val="0"/>
          <c:cat>
            <c:strRef>
              <c:f>('SFF 8.1'!$D$15:$D$18,'SFF 8.1'!$D$31:$D$40,'SFF 8.1'!$D$42:$D$43)</c:f>
              <c:strCache>
                <c:ptCount val="16"/>
                <c:pt idx="0">
                  <c:v>Expressway, posted 60-70 mph</c:v>
                </c:pt>
                <c:pt idx="1">
                  <c:v>Expressway, posted 55-65 mph</c:v>
                </c:pt>
                <c:pt idx="2">
                  <c:v>Expressway, posted 50-60 mph</c:v>
                </c:pt>
                <c:pt idx="3">
                  <c:v>Expressway, posted 45-55 mph</c:v>
                </c:pt>
                <c:pt idx="4">
                  <c:v>Fwy: fwy-to-fwy loop ramp</c:v>
                </c:pt>
                <c:pt idx="5">
                  <c:v>Fwy: C-D road, flyover ramp</c:v>
                </c:pt>
                <c:pt idx="6">
                  <c:v>Fwy: posted 55-60 mph</c:v>
                </c:pt>
                <c:pt idx="7">
                  <c:v>Fwy: posted 65 mph, no aux lane</c:v>
                </c:pt>
                <c:pt idx="8">
                  <c:v>Fwy: posted 65 mph, aux lane</c:v>
                </c:pt>
                <c:pt idx="9">
                  <c:v>Fwy: posted 75 mph, no aux lane</c:v>
                </c:pt>
                <c:pt idx="10">
                  <c:v>Fwy: posted 75 mph, aux lane</c:v>
                </c:pt>
                <c:pt idx="11">
                  <c:v>Fwy: HOV lane</c:v>
                </c:pt>
                <c:pt idx="12">
                  <c:v>Fwy: Managed lane</c:v>
                </c:pt>
                <c:pt idx="13">
                  <c:v>Fwy: Managed lane access</c:v>
                </c:pt>
                <c:pt idx="14">
                  <c:v>Fwy: On-ramp</c:v>
                </c:pt>
                <c:pt idx="15">
                  <c:v>Fwy: Off-ramp</c:v>
                </c:pt>
              </c:strCache>
            </c:strRef>
          </c:cat>
          <c:val>
            <c:numRef>
              <c:f>('SFF 8.1'!$E$15:$E$18,'SFF 8.1'!$E$31:$E$40,'SFF 8.1'!$E$42:$E$43)</c:f>
              <c:numCache>
                <c:formatCode>0</c:formatCode>
                <c:ptCount val="16"/>
                <c:pt idx="0">
                  <c:v>59.617834394904463</c:v>
                </c:pt>
                <c:pt idx="1">
                  <c:v>53.333333333333336</c:v>
                </c:pt>
                <c:pt idx="2">
                  <c:v>47.710843373493979</c:v>
                </c:pt>
                <c:pt idx="3">
                  <c:v>42.603550295857993</c:v>
                </c:pt>
                <c:pt idx="4">
                  <c:v>35</c:v>
                </c:pt>
                <c:pt idx="5">
                  <c:v>55</c:v>
                </c:pt>
                <c:pt idx="6">
                  <c:v>62</c:v>
                </c:pt>
                <c:pt idx="7">
                  <c:v>67</c:v>
                </c:pt>
                <c:pt idx="8">
                  <c:v>67</c:v>
                </c:pt>
                <c:pt idx="9">
                  <c:v>75</c:v>
                </c:pt>
                <c:pt idx="10">
                  <c:v>75</c:v>
                </c:pt>
                <c:pt idx="11">
                  <c:v>70</c:v>
                </c:pt>
                <c:pt idx="12">
                  <c:v>70</c:v>
                </c:pt>
                <c:pt idx="13">
                  <c:v>70</c:v>
                </c:pt>
                <c:pt idx="14">
                  <c:v>23</c:v>
                </c:pt>
                <c:pt idx="15">
                  <c:v>26</c:v>
                </c:pt>
              </c:numCache>
            </c:numRef>
          </c:val>
          <c:extLst>
            <c:ext xmlns:c16="http://schemas.microsoft.com/office/drawing/2014/chart" uri="{C3380CC4-5D6E-409C-BE32-E72D297353CC}">
              <c16:uniqueId val="{00000000-4B8C-4085-870B-DBA41F655399}"/>
            </c:ext>
          </c:extLst>
        </c:ser>
        <c:dLbls>
          <c:showLegendKey val="0"/>
          <c:showVal val="0"/>
          <c:showCatName val="0"/>
          <c:showSerName val="0"/>
          <c:showPercent val="0"/>
          <c:showBubbleSize val="0"/>
        </c:dLbls>
        <c:gapWidth val="100"/>
        <c:axId val="241104040"/>
        <c:axId val="241104432"/>
      </c:barChart>
      <c:catAx>
        <c:axId val="241104040"/>
        <c:scaling>
          <c:orientation val="maxMin"/>
        </c:scaling>
        <c:delete val="0"/>
        <c:axPos val="l"/>
        <c:title>
          <c:tx>
            <c:rich>
              <a:bodyPr rot="0" vert="horz"/>
              <a:lstStyle/>
              <a:p>
                <a:pPr algn="ctr">
                  <a:defRPr sz="1200" b="1" i="0" u="none" strike="noStrike" baseline="0">
                    <a:solidFill>
                      <a:srgbClr val="000000"/>
                    </a:solidFill>
                    <a:latin typeface="Calibri"/>
                    <a:ea typeface="Calibri"/>
                    <a:cs typeface="Calibri"/>
                  </a:defRPr>
                </a:pPr>
                <a:r>
                  <a:rPr lang="en-US"/>
                  <a:t>Functional Type</a:t>
                </a:r>
              </a:p>
            </c:rich>
          </c:tx>
          <c:layout>
            <c:manualLayout>
              <c:xMode val="edge"/>
              <c:yMode val="edge"/>
              <c:x val="4.9316860157255712E-2"/>
              <c:y val="0.15760823021528977"/>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241104432"/>
        <c:crosses val="autoZero"/>
        <c:auto val="1"/>
        <c:lblAlgn val="ctr"/>
        <c:lblOffset val="100"/>
        <c:tickLblSkip val="1"/>
        <c:tickMarkSkip val="1"/>
        <c:noMultiLvlLbl val="0"/>
      </c:catAx>
      <c:valAx>
        <c:axId val="241104432"/>
        <c:scaling>
          <c:orientation val="minMax"/>
          <c:max val="80"/>
        </c:scaling>
        <c:delete val="0"/>
        <c:axPos val="t"/>
        <c:majorGridlines>
          <c:spPr>
            <a:ln w="3175">
              <a:solidFill>
                <a:srgbClr val="C0C0C0"/>
              </a:solidFill>
              <a:prstDash val="solid"/>
            </a:ln>
          </c:spPr>
        </c:majorGridlines>
        <c:title>
          <c:tx>
            <c:rich>
              <a:bodyPr/>
              <a:lstStyle/>
              <a:p>
                <a:pPr>
                  <a:defRPr sz="1200" b="1" i="0" u="none" strike="noStrike" baseline="0">
                    <a:solidFill>
                      <a:srgbClr val="000000"/>
                    </a:solidFill>
                    <a:latin typeface="Calibri"/>
                    <a:ea typeface="Calibri"/>
                    <a:cs typeface="Calibri"/>
                  </a:defRPr>
                </a:pPr>
                <a:r>
                  <a:rPr lang="en-US"/>
                  <a:t>MPH</a:t>
                </a:r>
              </a:p>
            </c:rich>
          </c:tx>
          <c:layout>
            <c:manualLayout>
              <c:xMode val="edge"/>
              <c:yMode val="edge"/>
              <c:x val="0.57653934452464384"/>
              <c:y val="0.1217899695636282"/>
            </c:manualLayout>
          </c:layout>
          <c:overlay val="0"/>
          <c:spPr>
            <a:noFill/>
            <a:ln w="25400">
              <a:noFill/>
            </a:ln>
          </c:spPr>
        </c:title>
        <c:numFmt formatCode="0" sourceLinked="0"/>
        <c:majorTickMark val="out"/>
        <c:minorTickMark val="none"/>
        <c:tickLblPos val="nextTo"/>
        <c:spPr>
          <a:ln w="3175">
            <a:solidFill>
              <a:srgbClr val="C0C0C0"/>
            </a:solidFill>
            <a:prstDash val="solid"/>
          </a:ln>
        </c:spPr>
        <c:txPr>
          <a:bodyPr rot="0" vert="horz"/>
          <a:lstStyle/>
          <a:p>
            <a:pPr>
              <a:defRPr sz="1100" b="0" i="0" u="none" strike="noStrike" baseline="0">
                <a:solidFill>
                  <a:srgbClr val="000000"/>
                </a:solidFill>
                <a:latin typeface="Calibri"/>
                <a:ea typeface="Calibri"/>
                <a:cs typeface="Calibri"/>
              </a:defRPr>
            </a:pPr>
            <a:endParaRPr lang="en-US"/>
          </a:p>
        </c:txPr>
        <c:crossAx val="241104040"/>
        <c:crosses val="autoZero"/>
        <c:crossBetween val="between"/>
      </c:valAx>
      <c:spPr>
        <a:noFill/>
        <a:ln w="12700">
          <a:solidFill>
            <a:srgbClr val="C0C0C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Capacity by Area Type</a:t>
            </a:r>
          </a:p>
        </c:rich>
      </c:tx>
      <c:overlay val="0"/>
    </c:title>
    <c:autoTitleDeleted val="0"/>
    <c:plotArea>
      <c:layout>
        <c:manualLayout>
          <c:layoutTarget val="inner"/>
          <c:xMode val="edge"/>
          <c:yMode val="edge"/>
          <c:x val="8.4893306030901158E-2"/>
          <c:y val="0.13250319799394841"/>
          <c:w val="0.89342553336120689"/>
          <c:h val="0.61226328707906308"/>
        </c:manualLayout>
      </c:layout>
      <c:lineChart>
        <c:grouping val="standard"/>
        <c:varyColors val="0"/>
        <c:ser>
          <c:idx val="0"/>
          <c:order val="0"/>
          <c:tx>
            <c:strRef>
              <c:f>'Cap1hr1ln V8.1'!$W$7:$Y$7</c:f>
              <c:strCache>
                <c:ptCount val="3"/>
                <c:pt idx="0">
                  <c:v>Principal Arterial, 2 lanes</c:v>
                </c:pt>
              </c:strCache>
            </c:strRef>
          </c:tx>
          <c:spPr>
            <a:ln w="25400">
              <a:solidFill>
                <a:srgbClr val="FF0000"/>
              </a:solidFill>
            </a:ln>
          </c:spPr>
          <c:marker>
            <c:spPr>
              <a:noFill/>
              <a:ln>
                <a:solidFill>
                  <a:srgbClr val="FF0000"/>
                </a:solidFill>
              </a:ln>
            </c:spPr>
          </c:marker>
          <c:cat>
            <c:strRef>
              <c:f>'Cap1hr1ln V8.1'!$Z$6:$AD$6</c:f>
              <c:strCache>
                <c:ptCount val="5"/>
                <c:pt idx="0">
                  <c:v>Rural</c:v>
                </c:pt>
                <c:pt idx="1">
                  <c:v>Transition</c:v>
                </c:pt>
                <c:pt idx="2">
                  <c:v>Suburban</c:v>
                </c:pt>
                <c:pt idx="3">
                  <c:v>Urban</c:v>
                </c:pt>
                <c:pt idx="4">
                  <c:v>CBD</c:v>
                </c:pt>
              </c:strCache>
            </c:strRef>
          </c:cat>
          <c:val>
            <c:numRef>
              <c:f>'Cap1hr1ln V8.1'!$Z$7:$AD$7</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46CC-437D-91B8-73804357C29C}"/>
            </c:ext>
          </c:extLst>
        </c:ser>
        <c:ser>
          <c:idx val="1"/>
          <c:order val="1"/>
          <c:tx>
            <c:strRef>
              <c:f>'Cap1hr1ln V8.1'!$W$8:$Y$8</c:f>
              <c:strCache>
                <c:ptCount val="3"/>
                <c:pt idx="0">
                  <c:v>Principal Arterial, 3 lanes</c:v>
                </c:pt>
              </c:strCache>
            </c:strRef>
          </c:tx>
          <c:spPr>
            <a:ln w="25400">
              <a:solidFill>
                <a:srgbClr val="FF0000"/>
              </a:solidFill>
              <a:prstDash val="dash"/>
            </a:ln>
          </c:spPr>
          <c:marker>
            <c:symbol val="none"/>
          </c:marker>
          <c:cat>
            <c:strRef>
              <c:f>'Cap1hr1ln V8.1'!$Z$6:$AD$6</c:f>
              <c:strCache>
                <c:ptCount val="5"/>
                <c:pt idx="0">
                  <c:v>Rural</c:v>
                </c:pt>
                <c:pt idx="1">
                  <c:v>Transition</c:v>
                </c:pt>
                <c:pt idx="2">
                  <c:v>Suburban</c:v>
                </c:pt>
                <c:pt idx="3">
                  <c:v>Urban</c:v>
                </c:pt>
                <c:pt idx="4">
                  <c:v>CBD</c:v>
                </c:pt>
              </c:strCache>
            </c:strRef>
          </c:cat>
          <c:val>
            <c:numRef>
              <c:f>'Cap1hr1ln V8.1'!$Z$8:$AD$8</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46CC-437D-91B8-73804357C29C}"/>
            </c:ext>
          </c:extLst>
        </c:ser>
        <c:ser>
          <c:idx val="2"/>
          <c:order val="2"/>
          <c:tx>
            <c:strRef>
              <c:f>'Cap1hr1ln V8.1'!$W$9:$Y$9</c:f>
              <c:strCache>
                <c:ptCount val="3"/>
                <c:pt idx="0">
                  <c:v>Minor Arterial, 2 lanes</c:v>
                </c:pt>
              </c:strCache>
            </c:strRef>
          </c:tx>
          <c:spPr>
            <a:ln w="25400">
              <a:solidFill>
                <a:srgbClr val="008000"/>
              </a:solidFill>
            </a:ln>
          </c:spPr>
          <c:marker>
            <c:spPr>
              <a:noFill/>
              <a:ln>
                <a:solidFill>
                  <a:srgbClr val="008000"/>
                </a:solidFill>
              </a:ln>
            </c:spPr>
          </c:marker>
          <c:cat>
            <c:strRef>
              <c:f>'Cap1hr1ln V8.1'!$Z$6:$AD$6</c:f>
              <c:strCache>
                <c:ptCount val="5"/>
                <c:pt idx="0">
                  <c:v>Rural</c:v>
                </c:pt>
                <c:pt idx="1">
                  <c:v>Transition</c:v>
                </c:pt>
                <c:pt idx="2">
                  <c:v>Suburban</c:v>
                </c:pt>
                <c:pt idx="3">
                  <c:v>Urban</c:v>
                </c:pt>
                <c:pt idx="4">
                  <c:v>CBD</c:v>
                </c:pt>
              </c:strCache>
            </c:strRef>
          </c:cat>
          <c:val>
            <c:numRef>
              <c:f>'Cap1hr1ln V8.1'!$Z$9:$AD$9</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46CC-437D-91B8-73804357C29C}"/>
            </c:ext>
          </c:extLst>
        </c:ser>
        <c:ser>
          <c:idx val="3"/>
          <c:order val="3"/>
          <c:tx>
            <c:strRef>
              <c:f>'Cap1hr1ln V8.1'!$W$10:$Y$10</c:f>
              <c:strCache>
                <c:ptCount val="3"/>
                <c:pt idx="0">
                  <c:v>Minor Arterial, 3 lanes</c:v>
                </c:pt>
              </c:strCache>
            </c:strRef>
          </c:tx>
          <c:spPr>
            <a:ln w="25400">
              <a:solidFill>
                <a:srgbClr val="008000"/>
              </a:solidFill>
              <a:prstDash val="dash"/>
            </a:ln>
          </c:spPr>
          <c:marker>
            <c:symbol val="none"/>
          </c:marker>
          <c:cat>
            <c:strRef>
              <c:f>'Cap1hr1ln V8.1'!$Z$6:$AD$6</c:f>
              <c:strCache>
                <c:ptCount val="5"/>
                <c:pt idx="0">
                  <c:v>Rural</c:v>
                </c:pt>
                <c:pt idx="1">
                  <c:v>Transition</c:v>
                </c:pt>
                <c:pt idx="2">
                  <c:v>Suburban</c:v>
                </c:pt>
                <c:pt idx="3">
                  <c:v>Urban</c:v>
                </c:pt>
                <c:pt idx="4">
                  <c:v>CBD</c:v>
                </c:pt>
              </c:strCache>
            </c:strRef>
          </c:cat>
          <c:val>
            <c:numRef>
              <c:f>'Cap1hr1ln V8.1'!$Z$10:$AD$10</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46CC-437D-91B8-73804357C29C}"/>
            </c:ext>
          </c:extLst>
        </c:ser>
        <c:ser>
          <c:idx val="4"/>
          <c:order val="4"/>
          <c:tx>
            <c:strRef>
              <c:f>'Cap1hr1ln V8.1'!$W$11:$Y$11</c:f>
              <c:strCache>
                <c:ptCount val="3"/>
                <c:pt idx="0">
                  <c:v>Major Collector, 1 lane</c:v>
                </c:pt>
              </c:strCache>
            </c:strRef>
          </c:tx>
          <c:spPr>
            <a:ln w="25400">
              <a:solidFill>
                <a:srgbClr val="0000FF"/>
              </a:solidFill>
            </a:ln>
          </c:spPr>
          <c:marker>
            <c:spPr>
              <a:ln>
                <a:solidFill>
                  <a:srgbClr val="0000FF"/>
                </a:solidFill>
              </a:ln>
            </c:spPr>
          </c:marker>
          <c:cat>
            <c:strRef>
              <c:f>'Cap1hr1ln V8.1'!$Z$6:$AD$6</c:f>
              <c:strCache>
                <c:ptCount val="5"/>
                <c:pt idx="0">
                  <c:v>Rural</c:v>
                </c:pt>
                <c:pt idx="1">
                  <c:v>Transition</c:v>
                </c:pt>
                <c:pt idx="2">
                  <c:v>Suburban</c:v>
                </c:pt>
                <c:pt idx="3">
                  <c:v>Urban</c:v>
                </c:pt>
                <c:pt idx="4">
                  <c:v>CBD</c:v>
                </c:pt>
              </c:strCache>
            </c:strRef>
          </c:cat>
          <c:val>
            <c:numRef>
              <c:f>'Cap1hr1ln V8.1'!$Z$11:$AD$11</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46CC-437D-91B8-73804357C29C}"/>
            </c:ext>
          </c:extLst>
        </c:ser>
        <c:ser>
          <c:idx val="5"/>
          <c:order val="5"/>
          <c:tx>
            <c:strRef>
              <c:f>'Cap1hr1ln V8.1'!$W$12:$Y$12</c:f>
              <c:strCache>
                <c:ptCount val="3"/>
                <c:pt idx="0">
                  <c:v>Major Collector, 2 lanes</c:v>
                </c:pt>
              </c:strCache>
            </c:strRef>
          </c:tx>
          <c:spPr>
            <a:ln w="25400">
              <a:solidFill>
                <a:srgbClr val="0000FF"/>
              </a:solidFill>
              <a:prstDash val="dash"/>
            </a:ln>
          </c:spPr>
          <c:marker>
            <c:symbol val="none"/>
          </c:marker>
          <c:cat>
            <c:strRef>
              <c:f>'Cap1hr1ln V8.1'!$Z$6:$AD$6</c:f>
              <c:strCache>
                <c:ptCount val="5"/>
                <c:pt idx="0">
                  <c:v>Rural</c:v>
                </c:pt>
                <c:pt idx="1">
                  <c:v>Transition</c:v>
                </c:pt>
                <c:pt idx="2">
                  <c:v>Suburban</c:v>
                </c:pt>
                <c:pt idx="3">
                  <c:v>Urban</c:v>
                </c:pt>
                <c:pt idx="4">
                  <c:v>CBD</c:v>
                </c:pt>
              </c:strCache>
            </c:strRef>
          </c:cat>
          <c:val>
            <c:numRef>
              <c:f>'Cap1hr1ln V8.1'!$Z$12:$AD$12</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5-46CC-437D-91B8-73804357C29C}"/>
            </c:ext>
          </c:extLst>
        </c:ser>
        <c:ser>
          <c:idx val="6"/>
          <c:order val="6"/>
          <c:tx>
            <c:strRef>
              <c:f>'Cap1hr1ln V8.1'!$W$13:$Y$13</c:f>
              <c:strCache>
                <c:ptCount val="3"/>
                <c:pt idx="0">
                  <c:v>Minor Collector, 1 lane</c:v>
                </c:pt>
              </c:strCache>
            </c:strRef>
          </c:tx>
          <c:spPr>
            <a:ln w="25400">
              <a:solidFill>
                <a:srgbClr val="FF80FF"/>
              </a:solidFill>
            </a:ln>
          </c:spPr>
          <c:marker>
            <c:spPr>
              <a:ln>
                <a:solidFill>
                  <a:srgbClr val="FF80FF"/>
                </a:solidFill>
              </a:ln>
            </c:spPr>
          </c:marker>
          <c:cat>
            <c:strRef>
              <c:f>'Cap1hr1ln V8.1'!$Z$6:$AD$6</c:f>
              <c:strCache>
                <c:ptCount val="5"/>
                <c:pt idx="0">
                  <c:v>Rural</c:v>
                </c:pt>
                <c:pt idx="1">
                  <c:v>Transition</c:v>
                </c:pt>
                <c:pt idx="2">
                  <c:v>Suburban</c:v>
                </c:pt>
                <c:pt idx="3">
                  <c:v>Urban</c:v>
                </c:pt>
                <c:pt idx="4">
                  <c:v>CBD</c:v>
                </c:pt>
              </c:strCache>
            </c:strRef>
          </c:cat>
          <c:val>
            <c:numRef>
              <c:f>'Cap1hr1ln V8.1'!$Z$13:$AD$13</c:f>
              <c:numCache>
                <c:formatCode>_(* #,##0_);_(* \(#,##0\);_(*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46CC-437D-91B8-73804357C29C}"/>
            </c:ext>
          </c:extLst>
        </c:ser>
        <c:dLbls>
          <c:showLegendKey val="0"/>
          <c:showVal val="0"/>
          <c:showCatName val="0"/>
          <c:showSerName val="0"/>
          <c:showPercent val="0"/>
          <c:showBubbleSize val="0"/>
        </c:dLbls>
        <c:marker val="1"/>
        <c:smooth val="0"/>
        <c:axId val="244168432"/>
        <c:axId val="244168824"/>
      </c:lineChart>
      <c:catAx>
        <c:axId val="244168432"/>
        <c:scaling>
          <c:orientation val="minMax"/>
        </c:scaling>
        <c:delete val="0"/>
        <c:axPos val="b"/>
        <c:numFmt formatCode="General" sourceLinked="0"/>
        <c:majorTickMark val="out"/>
        <c:minorTickMark val="none"/>
        <c:tickLblPos val="nextTo"/>
        <c:txPr>
          <a:bodyPr/>
          <a:lstStyle/>
          <a:p>
            <a:pPr>
              <a:defRPr sz="1100" b="1" i="0" baseline="0"/>
            </a:pPr>
            <a:endParaRPr lang="en-US"/>
          </a:p>
        </c:txPr>
        <c:crossAx val="244168824"/>
        <c:crosses val="autoZero"/>
        <c:auto val="1"/>
        <c:lblAlgn val="ctr"/>
        <c:lblOffset val="100"/>
        <c:noMultiLvlLbl val="0"/>
      </c:catAx>
      <c:valAx>
        <c:axId val="244168824"/>
        <c:scaling>
          <c:orientation val="minMax"/>
          <c:max val="1100"/>
          <c:min val="400"/>
        </c:scaling>
        <c:delete val="0"/>
        <c:axPos val="l"/>
        <c:majorGridlines/>
        <c:numFmt formatCode="_(* #,##0_);_(* \(#,##0\);_(* &quot;-&quot;??_);_(@_)" sourceLinked="1"/>
        <c:majorTickMark val="out"/>
        <c:minorTickMark val="none"/>
        <c:tickLblPos val="nextTo"/>
        <c:crossAx val="244168432"/>
        <c:crosses val="autoZero"/>
        <c:crossBetween val="between"/>
      </c:valAx>
    </c:plotArea>
    <c:legend>
      <c:legendPos val="r"/>
      <c:layout>
        <c:manualLayout>
          <c:xMode val="edge"/>
          <c:yMode val="edge"/>
          <c:x val="0.11186935680672044"/>
          <c:y val="0.820286501576867"/>
          <c:w val="0.83294223437319093"/>
          <c:h val="0.15927881920070855"/>
        </c:manualLayout>
      </c:layout>
      <c:overlay val="1"/>
      <c:spPr>
        <a:solidFill>
          <a:srgbClr val="FFFFFF"/>
        </a:solidFill>
      </c:spPr>
      <c:txPr>
        <a:bodyPr/>
        <a:lstStyle/>
        <a:p>
          <a:pPr>
            <a:defRPr sz="900" baseline="0"/>
          </a:pPr>
          <a:endParaRPr lang="en-US"/>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Hourly Capacity per Direction, FT 32 Freeway</a:t>
            </a:r>
            <a:endParaRPr lang="en-US"/>
          </a:p>
        </c:rich>
      </c:tx>
      <c:overlay val="0"/>
      <c:spPr>
        <a:noFill/>
        <a:ln w="25400">
          <a:noFill/>
        </a:ln>
      </c:spPr>
    </c:title>
    <c:autoTitleDeleted val="0"/>
    <c:plotArea>
      <c:layout>
        <c:manualLayout>
          <c:layoutTarget val="inner"/>
          <c:xMode val="edge"/>
          <c:yMode val="edge"/>
          <c:x val="0.14476717555093577"/>
          <c:y val="0.15596363721797704"/>
          <c:w val="0.65724297700124601"/>
          <c:h val="0.64059371780667496"/>
        </c:manualLayout>
      </c:layout>
      <c:scatterChart>
        <c:scatterStyle val="smoothMarker"/>
        <c:varyColors val="0"/>
        <c:ser>
          <c:idx val="0"/>
          <c:order val="0"/>
          <c:tx>
            <c:strRef>
              <c:f>'Cap1hr1ln V8.1'!$AJ$43</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V8.1'!$AI$44:$AI$49</c:f>
              <c:numCache>
                <c:formatCode>General</c:formatCode>
                <c:ptCount val="6"/>
                <c:pt idx="0">
                  <c:v>2</c:v>
                </c:pt>
                <c:pt idx="1">
                  <c:v>3</c:v>
                </c:pt>
                <c:pt idx="2">
                  <c:v>4</c:v>
                </c:pt>
                <c:pt idx="3">
                  <c:v>5</c:v>
                </c:pt>
                <c:pt idx="4">
                  <c:v>6</c:v>
                </c:pt>
                <c:pt idx="5">
                  <c:v>7</c:v>
                </c:pt>
              </c:numCache>
            </c:numRef>
          </c:xVal>
          <c:yVal>
            <c:numRef>
              <c:f>'Cap1hr1ln V8.1'!$AJ$44:$AJ$49</c:f>
              <c:numCache>
                <c:formatCode>_(* #,##0_);_(* \(#,##0\);_(* "-"??_);_(@_)</c:formatCode>
                <c:ptCount val="6"/>
                <c:pt idx="0">
                  <c:v>3642.5</c:v>
                </c:pt>
                <c:pt idx="1">
                  <c:v>5463.75</c:v>
                </c:pt>
                <c:pt idx="2">
                  <c:v>7285</c:v>
                </c:pt>
                <c:pt idx="3">
                  <c:v>9106.25</c:v>
                </c:pt>
                <c:pt idx="4">
                  <c:v>10927.5</c:v>
                </c:pt>
                <c:pt idx="5">
                  <c:v>12748.75</c:v>
                </c:pt>
              </c:numCache>
            </c:numRef>
          </c:yVal>
          <c:smooth val="1"/>
          <c:extLst>
            <c:ext xmlns:c16="http://schemas.microsoft.com/office/drawing/2014/chart" uri="{C3380CC4-5D6E-409C-BE32-E72D297353CC}">
              <c16:uniqueId val="{00000000-B2E3-47B8-8FB4-885ED8B0B93A}"/>
            </c:ext>
          </c:extLst>
        </c:ser>
        <c:ser>
          <c:idx val="1"/>
          <c:order val="1"/>
          <c:tx>
            <c:strRef>
              <c:f>'Cap1hr1ln V8.1'!$AK$43</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V8.1'!$AI$44:$AI$49</c:f>
              <c:numCache>
                <c:formatCode>General</c:formatCode>
                <c:ptCount val="6"/>
                <c:pt idx="0">
                  <c:v>2</c:v>
                </c:pt>
                <c:pt idx="1">
                  <c:v>3</c:v>
                </c:pt>
                <c:pt idx="2">
                  <c:v>4</c:v>
                </c:pt>
                <c:pt idx="3">
                  <c:v>5</c:v>
                </c:pt>
                <c:pt idx="4">
                  <c:v>6</c:v>
                </c:pt>
                <c:pt idx="5">
                  <c:v>7</c:v>
                </c:pt>
              </c:numCache>
            </c:numRef>
          </c:xVal>
          <c:yVal>
            <c:numRef>
              <c:f>'Cap1hr1ln V8.1'!$AK$44:$AK$49</c:f>
              <c:numCache>
                <c:formatCode>_(* #,##0_);_(* \(#,##0\);_(* "-"??_);_(@_)</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1-B2E3-47B8-8FB4-885ED8B0B93A}"/>
            </c:ext>
          </c:extLst>
        </c:ser>
        <c:dLbls>
          <c:showLegendKey val="0"/>
          <c:showVal val="0"/>
          <c:showCatName val="0"/>
          <c:showSerName val="0"/>
          <c:showPercent val="0"/>
          <c:showBubbleSize val="0"/>
        </c:dLbls>
        <c:axId val="244169608"/>
        <c:axId val="244170000"/>
      </c:scatterChart>
      <c:valAx>
        <c:axId val="244169608"/>
        <c:scaling>
          <c:orientation val="minMax"/>
        </c:scaling>
        <c:delete val="0"/>
        <c:axPos val="b"/>
        <c:title>
          <c:tx>
            <c:rich>
              <a:bodyPr/>
              <a:lstStyle/>
              <a:p>
                <a:pPr>
                  <a:defRPr/>
                </a:pPr>
                <a:r>
                  <a:rPr lang="en-US"/>
                  <a:t>Total Lanes</a:t>
                </a:r>
              </a:p>
            </c:rich>
          </c:tx>
          <c:layout>
            <c:manualLayout>
              <c:xMode val="edge"/>
              <c:yMode val="edge"/>
              <c:x val="0.43107474253907063"/>
              <c:y val="0.8893830405215909"/>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4170000"/>
        <c:crosses val="autoZero"/>
        <c:crossBetween val="midCat"/>
      </c:valAx>
      <c:valAx>
        <c:axId val="244170000"/>
        <c:scaling>
          <c:orientation val="minMax"/>
          <c:min val="4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4169608"/>
        <c:crosses val="autoZero"/>
        <c:crossBetween val="midCat"/>
      </c:valAx>
    </c:plotArea>
    <c:legend>
      <c:legendPos val="r"/>
      <c:layout>
        <c:manualLayout>
          <c:xMode val="edge"/>
          <c:yMode val="edge"/>
          <c:x val="0.14950605136033324"/>
          <c:y val="0.17844612624920517"/>
          <c:w val="0.28808672828939952"/>
          <c:h val="0.15928197078259154"/>
        </c:manualLayout>
      </c:layout>
      <c:overlay val="0"/>
      <c:spPr>
        <a:solidFill>
          <a:sysClr val="window" lastClr="FFFFFF"/>
        </a:solidFill>
      </c:spPr>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Daily Capacity, Both Directions, FT 32 Freeway</a:t>
            </a:r>
            <a:endParaRPr lang="en-US"/>
          </a:p>
        </c:rich>
      </c:tx>
      <c:overlay val="0"/>
      <c:spPr>
        <a:noFill/>
        <a:ln w="25400">
          <a:noFill/>
        </a:ln>
      </c:spPr>
    </c:title>
    <c:autoTitleDeleted val="0"/>
    <c:plotArea>
      <c:layout>
        <c:manualLayout>
          <c:layoutTarget val="inner"/>
          <c:xMode val="edge"/>
          <c:yMode val="edge"/>
          <c:x val="0.16213923661704746"/>
          <c:y val="0.31192727443595414"/>
          <c:w val="0.62394652662453343"/>
          <c:h val="0.45793578587405992"/>
        </c:manualLayout>
      </c:layout>
      <c:scatterChart>
        <c:scatterStyle val="smoothMarker"/>
        <c:varyColors val="0"/>
        <c:ser>
          <c:idx val="0"/>
          <c:order val="0"/>
          <c:tx>
            <c:strRef>
              <c:f>'Cap1hr1ln V8.1'!$AJ$52</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V8.1'!$AI$53:$AI$58</c:f>
              <c:numCache>
                <c:formatCode>General</c:formatCode>
                <c:ptCount val="6"/>
                <c:pt idx="0">
                  <c:v>2</c:v>
                </c:pt>
                <c:pt idx="1">
                  <c:v>3</c:v>
                </c:pt>
                <c:pt idx="2">
                  <c:v>4</c:v>
                </c:pt>
                <c:pt idx="3">
                  <c:v>5</c:v>
                </c:pt>
                <c:pt idx="4">
                  <c:v>6</c:v>
                </c:pt>
                <c:pt idx="5">
                  <c:v>7</c:v>
                </c:pt>
              </c:numCache>
            </c:numRef>
          </c:xVal>
          <c:yVal>
            <c:numRef>
              <c:f>'Cap1hr1ln V8.1'!$AJ$53:$AJ$58</c:f>
              <c:numCache>
                <c:formatCode>_(* #,##0_);_(* \(#,##0\);_(* "-"??_);_(@_)</c:formatCode>
                <c:ptCount val="6"/>
                <c:pt idx="0">
                  <c:v>81000</c:v>
                </c:pt>
                <c:pt idx="1">
                  <c:v>121000</c:v>
                </c:pt>
                <c:pt idx="2">
                  <c:v>162000</c:v>
                </c:pt>
                <c:pt idx="3">
                  <c:v>202000</c:v>
                </c:pt>
                <c:pt idx="4">
                  <c:v>243000</c:v>
                </c:pt>
                <c:pt idx="5">
                  <c:v>283000</c:v>
                </c:pt>
              </c:numCache>
            </c:numRef>
          </c:yVal>
          <c:smooth val="1"/>
          <c:extLst>
            <c:ext xmlns:c16="http://schemas.microsoft.com/office/drawing/2014/chart" uri="{C3380CC4-5D6E-409C-BE32-E72D297353CC}">
              <c16:uniqueId val="{00000000-B9D6-4953-BB12-7ECD97B419E5}"/>
            </c:ext>
          </c:extLst>
        </c:ser>
        <c:ser>
          <c:idx val="1"/>
          <c:order val="1"/>
          <c:tx>
            <c:strRef>
              <c:f>'Cap1hr1ln V8.1'!$AK$52</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V8.1'!$AI$53:$AI$58</c:f>
              <c:numCache>
                <c:formatCode>General</c:formatCode>
                <c:ptCount val="6"/>
                <c:pt idx="0">
                  <c:v>2</c:v>
                </c:pt>
                <c:pt idx="1">
                  <c:v>3</c:v>
                </c:pt>
                <c:pt idx="2">
                  <c:v>4</c:v>
                </c:pt>
                <c:pt idx="3">
                  <c:v>5</c:v>
                </c:pt>
                <c:pt idx="4">
                  <c:v>6</c:v>
                </c:pt>
                <c:pt idx="5">
                  <c:v>7</c:v>
                </c:pt>
              </c:numCache>
            </c:numRef>
          </c:xVal>
          <c:yVal>
            <c:numRef>
              <c:f>'Cap1hr1ln V8.1'!$AK$53:$AK$58</c:f>
              <c:numCache>
                <c:formatCode>_(* #,##0_);_(* \(#,##0\);_(* "-"??_);_(@_)</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1-B9D6-4953-BB12-7ECD97B419E5}"/>
            </c:ext>
          </c:extLst>
        </c:ser>
        <c:dLbls>
          <c:showLegendKey val="0"/>
          <c:showVal val="0"/>
          <c:showCatName val="0"/>
          <c:showSerName val="0"/>
          <c:showPercent val="0"/>
          <c:showBubbleSize val="0"/>
        </c:dLbls>
        <c:axId val="244170784"/>
        <c:axId val="244171176"/>
      </c:scatterChart>
      <c:valAx>
        <c:axId val="244170784"/>
        <c:scaling>
          <c:orientation val="minMax"/>
        </c:scaling>
        <c:delete val="0"/>
        <c:axPos val="b"/>
        <c:title>
          <c:tx>
            <c:rich>
              <a:bodyPr/>
              <a:lstStyle/>
              <a:p>
                <a:pPr>
                  <a:defRPr/>
                </a:pPr>
                <a:r>
                  <a:rPr lang="en-US"/>
                  <a:t>Total Lanes </a:t>
                </a:r>
                <a:r>
                  <a:rPr lang="en-US" baseline="0"/>
                  <a:t> Both Di</a:t>
                </a:r>
                <a:r>
                  <a:rPr lang="en-US"/>
                  <a:t>rections</a:t>
                </a:r>
              </a:p>
            </c:rich>
          </c:tx>
          <c:layout>
            <c:manualLayout>
              <c:xMode val="edge"/>
              <c:yMode val="edge"/>
              <c:x val="0.41993297663216744"/>
              <c:y val="0.88880511563958731"/>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4171176"/>
        <c:crosses val="autoZero"/>
        <c:crossBetween val="midCat"/>
      </c:valAx>
      <c:valAx>
        <c:axId val="244171176"/>
        <c:scaling>
          <c:orientation val="minMax"/>
          <c:min val="100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4170784"/>
        <c:crosses val="autoZero"/>
        <c:crossBetween val="midCat"/>
      </c:valAx>
    </c:plotArea>
    <c:legend>
      <c:legendPos val="r"/>
      <c:layout>
        <c:manualLayout>
          <c:xMode val="edge"/>
          <c:yMode val="edge"/>
          <c:x val="0.16359653452023176"/>
          <c:y val="0.31628746985904277"/>
          <c:w val="0.29190746146464347"/>
          <c:h val="0.15928197078259154"/>
        </c:manualLayout>
      </c:layout>
      <c:overlay val="0"/>
      <c:spPr>
        <a:solidFill>
          <a:sysClr val="window" lastClr="FFFFFF"/>
        </a:solidFill>
      </c:spPr>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Capacity per Hour per Lane, FT 32 Freeway</a:t>
            </a:r>
            <a:endParaRPr lang="en-US"/>
          </a:p>
        </c:rich>
      </c:tx>
      <c:overlay val="0"/>
      <c:spPr>
        <a:noFill/>
        <a:ln w="25400">
          <a:noFill/>
        </a:ln>
      </c:spPr>
    </c:title>
    <c:autoTitleDeleted val="0"/>
    <c:plotArea>
      <c:layout>
        <c:manualLayout>
          <c:layoutTarget val="inner"/>
          <c:xMode val="edge"/>
          <c:yMode val="edge"/>
          <c:x val="0.1881973282162159"/>
          <c:y val="0.30648774912214993"/>
          <c:w val="0.60657446555841865"/>
          <c:h val="0.46306301226063784"/>
        </c:manualLayout>
      </c:layout>
      <c:scatterChart>
        <c:scatterStyle val="smoothMarker"/>
        <c:varyColors val="0"/>
        <c:ser>
          <c:idx val="0"/>
          <c:order val="0"/>
          <c:tx>
            <c:strRef>
              <c:f>'Cap1hr1ln V8.1'!$AJ$34</c:f>
              <c:strCache>
                <c:ptCount val="1"/>
                <c:pt idx="0">
                  <c:v>Sat Flow</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V8.1'!$AI$35:$AI$40</c:f>
              <c:numCache>
                <c:formatCode>General</c:formatCode>
                <c:ptCount val="6"/>
                <c:pt idx="0">
                  <c:v>2</c:v>
                </c:pt>
                <c:pt idx="1">
                  <c:v>3</c:v>
                </c:pt>
                <c:pt idx="2">
                  <c:v>4</c:v>
                </c:pt>
                <c:pt idx="3">
                  <c:v>5</c:v>
                </c:pt>
                <c:pt idx="4">
                  <c:v>6</c:v>
                </c:pt>
                <c:pt idx="5">
                  <c:v>7</c:v>
                </c:pt>
              </c:numCache>
            </c:numRef>
          </c:xVal>
          <c:yVal>
            <c:numRef>
              <c:f>'Cap1hr1ln V8.1'!$AJ$35:$AJ$40</c:f>
              <c:numCache>
                <c:formatCode>_(* #,##0_);_(* \(#,##0\);_(* "-"??_);_(@_)</c:formatCode>
                <c:ptCount val="6"/>
                <c:pt idx="0">
                  <c:v>1821.25</c:v>
                </c:pt>
                <c:pt idx="1">
                  <c:v>1821.25</c:v>
                </c:pt>
                <c:pt idx="2">
                  <c:v>1821.25</c:v>
                </c:pt>
                <c:pt idx="3">
                  <c:v>1821.25</c:v>
                </c:pt>
                <c:pt idx="4">
                  <c:v>1821.25</c:v>
                </c:pt>
                <c:pt idx="5">
                  <c:v>1821.25</c:v>
                </c:pt>
              </c:numCache>
            </c:numRef>
          </c:yVal>
          <c:smooth val="1"/>
          <c:extLst>
            <c:ext xmlns:c16="http://schemas.microsoft.com/office/drawing/2014/chart" uri="{C3380CC4-5D6E-409C-BE32-E72D297353CC}">
              <c16:uniqueId val="{00000000-C062-4DB6-BF35-84D50699FC64}"/>
            </c:ext>
          </c:extLst>
        </c:ser>
        <c:ser>
          <c:idx val="1"/>
          <c:order val="1"/>
          <c:tx>
            <c:strRef>
              <c:f>'Cap1hr1ln V8.1'!$AK$34</c:f>
              <c:strCache>
                <c:ptCount val="1"/>
                <c:pt idx="0">
                  <c:v>Cap1hr1ln</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V8.1'!$AI$35:$AI$40</c:f>
              <c:numCache>
                <c:formatCode>General</c:formatCode>
                <c:ptCount val="6"/>
                <c:pt idx="0">
                  <c:v>2</c:v>
                </c:pt>
                <c:pt idx="1">
                  <c:v>3</c:v>
                </c:pt>
                <c:pt idx="2">
                  <c:v>4</c:v>
                </c:pt>
                <c:pt idx="3">
                  <c:v>5</c:v>
                </c:pt>
                <c:pt idx="4">
                  <c:v>6</c:v>
                </c:pt>
                <c:pt idx="5">
                  <c:v>7</c:v>
                </c:pt>
              </c:numCache>
            </c:numRef>
          </c:xVal>
          <c:yVal>
            <c:numRef>
              <c:f>'Cap1hr1ln V8.1'!$AK$35:$AK$40</c:f>
              <c:numCache>
                <c:formatCode>_(* #,##0_);_(* \(#,##0\);_(* "-"??_);_(@_)</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1-C062-4DB6-BF35-84D50699FC64}"/>
            </c:ext>
          </c:extLst>
        </c:ser>
        <c:dLbls>
          <c:showLegendKey val="0"/>
          <c:showVal val="0"/>
          <c:showCatName val="0"/>
          <c:showSerName val="0"/>
          <c:showPercent val="0"/>
          <c:showBubbleSize val="0"/>
        </c:dLbls>
        <c:axId val="244171960"/>
        <c:axId val="244338520"/>
      </c:scatterChart>
      <c:valAx>
        <c:axId val="244171960"/>
        <c:scaling>
          <c:orientation val="minMax"/>
        </c:scaling>
        <c:delete val="0"/>
        <c:axPos val="b"/>
        <c:title>
          <c:tx>
            <c:rich>
              <a:bodyPr/>
              <a:lstStyle/>
              <a:p>
                <a:pPr>
                  <a:defRPr/>
                </a:pPr>
                <a:r>
                  <a:rPr lang="en-US"/>
                  <a:t>Total Lanes</a:t>
                </a:r>
              </a:p>
            </c:rich>
          </c:tx>
          <c:layout>
            <c:manualLayout>
              <c:xMode val="edge"/>
              <c:yMode val="edge"/>
              <c:x val="0.4571519336647884"/>
              <c:y val="0.87343705395874116"/>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4338520"/>
        <c:crosses val="autoZero"/>
        <c:crossBetween val="midCat"/>
      </c:valAx>
      <c:valAx>
        <c:axId val="244338520"/>
        <c:scaling>
          <c:orientation val="minMax"/>
          <c:min val="1500"/>
        </c:scaling>
        <c:delete val="0"/>
        <c:axPos val="l"/>
        <c:majorGridlines/>
        <c:title>
          <c:tx>
            <c:rich>
              <a:bodyPr rot="-5400000" vert="horz"/>
              <a:lstStyle/>
              <a:p>
                <a:pPr>
                  <a:defRPr sz="1400"/>
                </a:pPr>
                <a:r>
                  <a:rPr lang="en-US" sz="1400"/>
                  <a:t>Cap1hr1ln</a:t>
                </a:r>
              </a:p>
            </c:rich>
          </c:tx>
          <c:overlay val="0"/>
          <c:spPr>
            <a:noFill/>
            <a:ln w="25400">
              <a:noFill/>
            </a:ln>
          </c:spPr>
        </c:title>
        <c:numFmt formatCode="_(* #,##0_);_(* \(#,##0\);_(* &quot;-&quot;??_);_(@_)" sourceLinked="1"/>
        <c:majorTickMark val="out"/>
        <c:minorTickMark val="none"/>
        <c:tickLblPos val="nextTo"/>
        <c:crossAx val="244171960"/>
        <c:crosses val="autoZero"/>
        <c:crossBetween val="midCat"/>
      </c:valAx>
    </c:plotArea>
    <c:legend>
      <c:legendPos val="r"/>
      <c:layout>
        <c:manualLayout>
          <c:xMode val="edge"/>
          <c:yMode val="edge"/>
          <c:x val="0.19399758206651913"/>
          <c:y val="0.60300742527121931"/>
          <c:w val="0.14042420784358475"/>
          <c:h val="0.15990652781305559"/>
        </c:manualLayout>
      </c:layout>
      <c:overlay val="0"/>
      <c:spPr>
        <a:solidFill>
          <a:sysClr val="window" lastClr="FFFFFF"/>
        </a:solidFill>
      </c:spPr>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Expressway</a:t>
            </a:r>
            <a:r>
              <a:rPr lang="en-US" sz="1800" baseline="0"/>
              <a:t> </a:t>
            </a:r>
            <a:r>
              <a:rPr lang="en-US" sz="1800"/>
              <a:t>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V8.1'!$B$16</c:f>
              <c:strCache>
                <c:ptCount val="1"/>
                <c:pt idx="0">
                  <c:v>Expressway, posted 60-70 mph</c:v>
                </c:pt>
              </c:strCache>
            </c:strRef>
          </c:tx>
          <c:spPr>
            <a:ln w="38100">
              <a:solidFill>
                <a:srgbClr val="FF0000"/>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V8.1'!$C$16:$I$16</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2EA7-4B8F-B557-163F694FF5F1}"/>
            </c:ext>
          </c:extLst>
        </c:ser>
        <c:ser>
          <c:idx val="1"/>
          <c:order val="1"/>
          <c:tx>
            <c:strRef>
              <c:f>'Cap1hr1ln V8.1'!$B$17</c:f>
              <c:strCache>
                <c:ptCount val="1"/>
                <c:pt idx="0">
                  <c:v>Expressway, posted 55-65 mph</c:v>
                </c:pt>
              </c:strCache>
            </c:strRef>
          </c:tx>
          <c:spPr>
            <a:ln w="38100">
              <a:solidFill>
                <a:srgbClr val="008000"/>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V8.1'!$C$17:$I$17</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2EA7-4B8F-B557-163F694FF5F1}"/>
            </c:ext>
          </c:extLst>
        </c:ser>
        <c:ser>
          <c:idx val="2"/>
          <c:order val="2"/>
          <c:tx>
            <c:strRef>
              <c:f>'Cap1hr1ln V8.1'!$B$18</c:f>
              <c:strCache>
                <c:ptCount val="1"/>
                <c:pt idx="0">
                  <c:v>Expressway, posted 50-60 mph</c:v>
                </c:pt>
              </c:strCache>
            </c:strRef>
          </c:tx>
          <c:spPr>
            <a:ln w="38100">
              <a:solidFill>
                <a:srgbClr val="0000FF"/>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V8.1'!$C$18:$I$18</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2EA7-4B8F-B557-163F694FF5F1}"/>
            </c:ext>
          </c:extLst>
        </c:ser>
        <c:ser>
          <c:idx val="3"/>
          <c:order val="3"/>
          <c:tx>
            <c:strRef>
              <c:f>'Cap1hr1ln V8.1'!$B$19</c:f>
              <c:strCache>
                <c:ptCount val="1"/>
                <c:pt idx="0">
                  <c:v>Expressway, posted 45-55 mph</c:v>
                </c:pt>
              </c:strCache>
            </c:strRef>
          </c:tx>
          <c:spPr>
            <a:ln w="38100">
              <a:solidFill>
                <a:srgbClr val="FF00FF"/>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V8.1'!$C$19:$I$19</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3-2EA7-4B8F-B557-163F694FF5F1}"/>
            </c:ext>
          </c:extLst>
        </c:ser>
        <c:dLbls>
          <c:showLegendKey val="0"/>
          <c:showVal val="0"/>
          <c:showCatName val="0"/>
          <c:showSerName val="0"/>
          <c:showPercent val="0"/>
          <c:showBubbleSize val="0"/>
        </c:dLbls>
        <c:smooth val="0"/>
        <c:axId val="244339304"/>
        <c:axId val="244339696"/>
      </c:lineChart>
      <c:catAx>
        <c:axId val="244339304"/>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339696"/>
        <c:crosses val="autoZero"/>
        <c:auto val="1"/>
        <c:lblAlgn val="ctr"/>
        <c:lblOffset val="100"/>
        <c:noMultiLvlLbl val="0"/>
      </c:catAx>
      <c:valAx>
        <c:axId val="244339696"/>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339304"/>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V8.1'!$B$36</c:f>
              <c:strCache>
                <c:ptCount val="1"/>
                <c:pt idx="0">
                  <c:v>Fwy: posted 55-60 mph</c:v>
                </c:pt>
              </c:strCache>
            </c:strRef>
          </c:tx>
          <c:spPr>
            <a:ln w="38100">
              <a:solidFill>
                <a:srgbClr val="FF0000"/>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V8.1'!$D$36:$I$36</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6489-477E-A06C-D1848551D396}"/>
            </c:ext>
          </c:extLst>
        </c:ser>
        <c:ser>
          <c:idx val="1"/>
          <c:order val="1"/>
          <c:tx>
            <c:strRef>
              <c:f>'Cap1hr1ln V8.1'!$B$37</c:f>
              <c:strCache>
                <c:ptCount val="1"/>
                <c:pt idx="0">
                  <c:v>Fwy: posted 65 mph, no aux lane</c:v>
                </c:pt>
              </c:strCache>
            </c:strRef>
          </c:tx>
          <c:spPr>
            <a:ln w="38100">
              <a:solidFill>
                <a:srgbClr val="008000"/>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V8.1'!$D$37:$I$37</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6489-477E-A06C-D1848551D396}"/>
            </c:ext>
          </c:extLst>
        </c:ser>
        <c:ser>
          <c:idx val="2"/>
          <c:order val="2"/>
          <c:tx>
            <c:strRef>
              <c:f>'Cap1hr1ln V8.1'!$B$38</c:f>
              <c:strCache>
                <c:ptCount val="1"/>
                <c:pt idx="0">
                  <c:v>Fwy: posted 65 mph, aux lane</c:v>
                </c:pt>
              </c:strCache>
            </c:strRef>
          </c:tx>
          <c:spPr>
            <a:ln w="38100">
              <a:solidFill>
                <a:srgbClr val="0000FF"/>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V8.1'!$D$38:$I$38</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489-477E-A06C-D1848551D396}"/>
            </c:ext>
          </c:extLst>
        </c:ser>
        <c:ser>
          <c:idx val="3"/>
          <c:order val="3"/>
          <c:tx>
            <c:strRef>
              <c:f>'Cap1hr1ln V8.1'!$B$39</c:f>
              <c:strCache>
                <c:ptCount val="1"/>
                <c:pt idx="0">
                  <c:v>Fwy: posted 75 mph, no aux lane</c:v>
                </c:pt>
              </c:strCache>
            </c:strRef>
          </c:tx>
          <c:spPr>
            <a:ln w="38100">
              <a:solidFill>
                <a:srgbClr val="FF00FF"/>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V8.1'!$D$39:$I$39</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6489-477E-A06C-D1848551D396}"/>
            </c:ext>
          </c:extLst>
        </c:ser>
        <c:ser>
          <c:idx val="4"/>
          <c:order val="4"/>
          <c:tx>
            <c:strRef>
              <c:f>'Cap1hr1ln V8.1'!$B$40</c:f>
              <c:strCache>
                <c:ptCount val="1"/>
                <c:pt idx="0">
                  <c:v>Fwy: posted 75 mph, aux lane</c:v>
                </c:pt>
              </c:strCache>
            </c:strRef>
          </c:tx>
          <c:spPr>
            <a:ln w="38100">
              <a:solidFill>
                <a:schemeClr val="bg1">
                  <a:lumMod val="50000"/>
                </a:schemeClr>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V8.1'!$D$40:$I$40</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4-6489-477E-A06C-D1848551D396}"/>
            </c:ext>
          </c:extLst>
        </c:ser>
        <c:dLbls>
          <c:showLegendKey val="0"/>
          <c:showVal val="0"/>
          <c:showCatName val="0"/>
          <c:showSerName val="0"/>
          <c:showPercent val="0"/>
          <c:showBubbleSize val="0"/>
        </c:dLbls>
        <c:smooth val="0"/>
        <c:axId val="244340480"/>
        <c:axId val="244340872"/>
      </c:lineChart>
      <c:catAx>
        <c:axId val="244340480"/>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340872"/>
        <c:crosses val="autoZero"/>
        <c:auto val="1"/>
        <c:lblAlgn val="ctr"/>
        <c:lblOffset val="100"/>
        <c:noMultiLvlLbl val="0"/>
      </c:catAx>
      <c:valAx>
        <c:axId val="244340872"/>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340480"/>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Managed Lane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V8.1'!$B$25</c:f>
              <c:strCache>
                <c:ptCount val="1"/>
                <c:pt idx="0">
                  <c:v>MM: posted 55-60 mph</c:v>
                </c:pt>
              </c:strCache>
            </c:strRef>
          </c:tx>
          <c:spPr>
            <a:ln w="38100">
              <a:solidFill>
                <a:srgbClr val="FF0000"/>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V8.1'!$D$25:$I$25</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AE2A-4FD6-8791-A46D605B82CB}"/>
            </c:ext>
          </c:extLst>
        </c:ser>
        <c:ser>
          <c:idx val="1"/>
          <c:order val="1"/>
          <c:tx>
            <c:strRef>
              <c:f>'Cap1hr1ln V8.1'!$B$26</c:f>
              <c:strCache>
                <c:ptCount val="1"/>
                <c:pt idx="0">
                  <c:v>MM: posted 65 mph, no aux lane</c:v>
                </c:pt>
              </c:strCache>
            </c:strRef>
          </c:tx>
          <c:spPr>
            <a:ln w="38100">
              <a:solidFill>
                <a:srgbClr val="008000"/>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V8.1'!$D$26:$I$26</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AE2A-4FD6-8791-A46D605B82CB}"/>
            </c:ext>
          </c:extLst>
        </c:ser>
        <c:ser>
          <c:idx val="2"/>
          <c:order val="2"/>
          <c:tx>
            <c:strRef>
              <c:f>'Cap1hr1ln V8.1'!$B$27</c:f>
              <c:strCache>
                <c:ptCount val="1"/>
                <c:pt idx="0">
                  <c:v>MM: posted 65 mph, aux lane</c:v>
                </c:pt>
              </c:strCache>
            </c:strRef>
          </c:tx>
          <c:spPr>
            <a:ln w="38100">
              <a:solidFill>
                <a:srgbClr val="0000FF"/>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V8.1'!$D$27:$I$27</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AE2A-4FD6-8791-A46D605B82CB}"/>
            </c:ext>
          </c:extLst>
        </c:ser>
        <c:ser>
          <c:idx val="3"/>
          <c:order val="3"/>
          <c:tx>
            <c:strRef>
              <c:f>'Cap1hr1ln V8.1'!$B$28</c:f>
              <c:strCache>
                <c:ptCount val="1"/>
                <c:pt idx="0">
                  <c:v>MM: posted 75 mph, no aux lane</c:v>
                </c:pt>
              </c:strCache>
            </c:strRef>
          </c:tx>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V8.1'!$D$28:$I$28</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AE2A-4FD6-8791-A46D605B82CB}"/>
            </c:ext>
          </c:extLst>
        </c:ser>
        <c:ser>
          <c:idx val="4"/>
          <c:order val="4"/>
          <c:tx>
            <c:strRef>
              <c:f>'Cap1hr1ln V8.1'!$B$29</c:f>
              <c:strCache>
                <c:ptCount val="1"/>
                <c:pt idx="0">
                  <c:v>MM: posted 75 mph, aux lane</c:v>
                </c:pt>
              </c:strCache>
            </c:strRef>
          </c:tx>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V8.1'!$D$29:$I$29</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4-AE2A-4FD6-8791-A46D605B82CB}"/>
            </c:ext>
          </c:extLst>
        </c:ser>
        <c:dLbls>
          <c:showLegendKey val="0"/>
          <c:showVal val="0"/>
          <c:showCatName val="0"/>
          <c:showSerName val="0"/>
          <c:showPercent val="0"/>
          <c:showBubbleSize val="0"/>
        </c:dLbls>
        <c:smooth val="0"/>
        <c:axId val="244341656"/>
        <c:axId val="244342048"/>
      </c:lineChart>
      <c:catAx>
        <c:axId val="244341656"/>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342048"/>
        <c:crosses val="autoZero"/>
        <c:auto val="1"/>
        <c:lblAlgn val="ctr"/>
        <c:lblOffset val="100"/>
        <c:noMultiLvlLbl val="0"/>
      </c:catAx>
      <c:valAx>
        <c:axId val="244342048"/>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341656"/>
        <c:crosses val="autoZero"/>
        <c:crossBetween val="between"/>
      </c:valAx>
    </c:plotArea>
    <c:legend>
      <c:legendPos val="r"/>
      <c:layout>
        <c:manualLayout>
          <c:xMode val="edge"/>
          <c:yMode val="edge"/>
          <c:x val="5.6223406171327144E-2"/>
          <c:y val="0.8409233570168434"/>
          <c:w val="0.91494469876042528"/>
          <c:h val="0.15584915269485275"/>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Ramp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V8.1'!$B$45</c:f>
              <c:strCache>
                <c:ptCount val="1"/>
                <c:pt idx="0">
                  <c:v>Fwy: On-ramp</c:v>
                </c:pt>
              </c:strCache>
            </c:strRef>
          </c:tx>
          <c:spPr>
            <a:ln w="38100">
              <a:solidFill>
                <a:srgbClr val="FF0000"/>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V8.1'!$C$45:$I$45</c:f>
              <c:numCache>
                <c:formatCode>_(* #,##0_);_(* \(#,##0\);_(* "-"??_);_(@_)</c:formatCode>
                <c:ptCount val="7"/>
                <c:pt idx="0">
                  <c:v>1200</c:v>
                </c:pt>
                <c:pt idx="1">
                  <c:v>900</c:v>
                </c:pt>
                <c:pt idx="2">
                  <c:v>600</c:v>
                </c:pt>
                <c:pt idx="3">
                  <c:v>600</c:v>
                </c:pt>
                <c:pt idx="4">
                  <c:v>600</c:v>
                </c:pt>
                <c:pt idx="5">
                  <c:v>600</c:v>
                </c:pt>
                <c:pt idx="6">
                  <c:v>600</c:v>
                </c:pt>
              </c:numCache>
            </c:numRef>
          </c:val>
          <c:smooth val="0"/>
          <c:extLst>
            <c:ext xmlns:c16="http://schemas.microsoft.com/office/drawing/2014/chart" uri="{C3380CC4-5D6E-409C-BE32-E72D297353CC}">
              <c16:uniqueId val="{00000000-C07D-4496-9277-A764ED222952}"/>
            </c:ext>
          </c:extLst>
        </c:ser>
        <c:ser>
          <c:idx val="1"/>
          <c:order val="1"/>
          <c:tx>
            <c:strRef>
              <c:f>'Cap1hr1ln V8.1'!$B$46</c:f>
              <c:strCache>
                <c:ptCount val="1"/>
                <c:pt idx="0">
                  <c:v>Fwy: Off-ramp</c:v>
                </c:pt>
              </c:strCache>
            </c:strRef>
          </c:tx>
          <c:spPr>
            <a:ln w="38100">
              <a:solidFill>
                <a:srgbClr val="008000"/>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V8.1'!$C$46:$I$46</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C07D-4496-9277-A764ED222952}"/>
            </c:ext>
          </c:extLst>
        </c:ser>
        <c:ser>
          <c:idx val="2"/>
          <c:order val="2"/>
          <c:tx>
            <c:strRef>
              <c:f>'Cap1hr1ln V8.1'!$B$34</c:f>
              <c:strCache>
                <c:ptCount val="1"/>
                <c:pt idx="0">
                  <c:v>Fwy: fwy-to-fwy loop ramp</c:v>
                </c:pt>
              </c:strCache>
            </c:strRef>
          </c:tx>
          <c:marker>
            <c:symbol val="none"/>
          </c:marker>
          <c:val>
            <c:numRef>
              <c:f>'Cap1hr1ln V8.1'!$C$34:$I$34</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C07D-4496-9277-A764ED222952}"/>
            </c:ext>
          </c:extLst>
        </c:ser>
        <c:dLbls>
          <c:showLegendKey val="0"/>
          <c:showVal val="0"/>
          <c:showCatName val="0"/>
          <c:showSerName val="0"/>
          <c:showPercent val="0"/>
          <c:showBubbleSize val="0"/>
        </c:dLbls>
        <c:smooth val="0"/>
        <c:axId val="244563448"/>
        <c:axId val="244563840"/>
      </c:lineChart>
      <c:catAx>
        <c:axId val="244563448"/>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563840"/>
        <c:crosses val="autoZero"/>
        <c:auto val="1"/>
        <c:lblAlgn val="ctr"/>
        <c:lblOffset val="100"/>
        <c:noMultiLvlLbl val="0"/>
      </c:catAx>
      <c:valAx>
        <c:axId val="244563840"/>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563448"/>
        <c:crosses val="autoZero"/>
        <c:crossBetween val="between"/>
      </c:valAx>
    </c:plotArea>
    <c:legend>
      <c:legendPos val="r"/>
      <c:layout>
        <c:manualLayout>
          <c:xMode val="edge"/>
          <c:yMode val="edge"/>
          <c:x val="8.5055332742960107E-2"/>
          <c:y val="0.84415080227800676"/>
          <c:w val="0.89392162961899524"/>
          <c:h val="0.15584919772199315"/>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Arterial</a:t>
            </a:r>
            <a:r>
              <a:rPr lang="en-US" sz="1800" baseline="0"/>
              <a:t> &amp; Local </a:t>
            </a:r>
            <a:r>
              <a:rPr lang="en-US" sz="1800"/>
              <a:t>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V8.1'!$B$8</c:f>
              <c:strCache>
                <c:ptCount val="1"/>
                <c:pt idx="0">
                  <c:v>Principal Arterial</c:v>
                </c:pt>
              </c:strCache>
            </c:strRef>
          </c:tx>
          <c:spPr>
            <a:ln w="38100">
              <a:solidFill>
                <a:srgbClr val="FF0000"/>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V8.1'!$C$8:$I$8</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D8EA-4EFA-B326-9A67DDDDA101}"/>
            </c:ext>
          </c:extLst>
        </c:ser>
        <c:ser>
          <c:idx val="1"/>
          <c:order val="1"/>
          <c:tx>
            <c:strRef>
              <c:f>'Cap1hr1ln V8.1'!$B$9</c:f>
              <c:strCache>
                <c:ptCount val="1"/>
                <c:pt idx="0">
                  <c:v>Minor Arterial</c:v>
                </c:pt>
              </c:strCache>
            </c:strRef>
          </c:tx>
          <c:spPr>
            <a:ln w="38100">
              <a:solidFill>
                <a:srgbClr val="008000"/>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V8.1'!$C$9:$I$9</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D8EA-4EFA-B326-9A67DDDDA101}"/>
            </c:ext>
          </c:extLst>
        </c:ser>
        <c:ser>
          <c:idx val="2"/>
          <c:order val="2"/>
          <c:tx>
            <c:strRef>
              <c:f>'Cap1hr1ln V8.1'!$B$10</c:f>
              <c:strCache>
                <c:ptCount val="1"/>
                <c:pt idx="0">
                  <c:v>Major Collector</c:v>
                </c:pt>
              </c:strCache>
            </c:strRef>
          </c:tx>
          <c:spPr>
            <a:ln w="38100">
              <a:solidFill>
                <a:srgbClr val="0000FF"/>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V8.1'!$C$10:$I$10</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D8EA-4EFA-B326-9A67DDDDA101}"/>
            </c:ext>
          </c:extLst>
        </c:ser>
        <c:ser>
          <c:idx val="3"/>
          <c:order val="3"/>
          <c:tx>
            <c:strRef>
              <c:f>'Cap1hr1ln V8.1'!$B$11</c:f>
              <c:strCache>
                <c:ptCount val="1"/>
                <c:pt idx="0">
                  <c:v>Minor Collector</c:v>
                </c:pt>
              </c:strCache>
            </c:strRef>
          </c:tx>
          <c:spPr>
            <a:ln w="38100">
              <a:solidFill>
                <a:srgbClr val="FF00FF"/>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V8.1'!$C$11:$I$11</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3-D8EA-4EFA-B326-9A67DDDDA101}"/>
            </c:ext>
          </c:extLst>
        </c:ser>
        <c:ser>
          <c:idx val="4"/>
          <c:order val="4"/>
          <c:tx>
            <c:strRef>
              <c:f>'Cap1hr1ln V8.1'!$B$12</c:f>
              <c:strCache>
                <c:ptCount val="1"/>
                <c:pt idx="0">
                  <c:v>Local</c:v>
                </c:pt>
              </c:strCache>
            </c:strRef>
          </c:tx>
          <c:spPr>
            <a:ln w="38100">
              <a:solidFill>
                <a:schemeClr val="bg1">
                  <a:lumMod val="50000"/>
                </a:schemeClr>
              </a:solidFill>
              <a:prstDash val="solid"/>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V8.1'!$C$12:$I$12</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4-D8EA-4EFA-B326-9A67DDDDA101}"/>
            </c:ext>
          </c:extLst>
        </c:ser>
        <c:ser>
          <c:idx val="5"/>
          <c:order val="5"/>
          <c:tx>
            <c:strRef>
              <c:f>'Cap1hr1ln V8.1'!$B$13</c:f>
              <c:strCache>
                <c:ptCount val="1"/>
                <c:pt idx="0">
                  <c:v>Unpaved</c:v>
                </c:pt>
              </c:strCache>
            </c:strRef>
          </c:tx>
          <c:spPr>
            <a:ln w="38100">
              <a:solidFill>
                <a:schemeClr val="bg1">
                  <a:lumMod val="50000"/>
                </a:schemeClr>
              </a:solidFill>
              <a:prstDash val="dash"/>
            </a:ln>
          </c:spPr>
          <c:marker>
            <c:symbol val="none"/>
          </c:marker>
          <c:cat>
            <c:strRef>
              <c:f>'Cap1hr1ln V8.1'!$C$7:$I$7</c:f>
              <c:strCache>
                <c:ptCount val="7"/>
                <c:pt idx="0">
                  <c:v>1 lane</c:v>
                </c:pt>
                <c:pt idx="1">
                  <c:v> 2 lanes </c:v>
                </c:pt>
                <c:pt idx="2">
                  <c:v>3 lanes</c:v>
                </c:pt>
                <c:pt idx="3">
                  <c:v> 4 lanes </c:v>
                </c:pt>
                <c:pt idx="4">
                  <c:v>5 lanes</c:v>
                </c:pt>
                <c:pt idx="5">
                  <c:v> 6 lanes </c:v>
                </c:pt>
                <c:pt idx="6">
                  <c:v>7 lanes</c:v>
                </c:pt>
              </c:strCache>
            </c:strRef>
          </c:cat>
          <c:val>
            <c:numRef>
              <c:f>'Cap1hr1ln V8.1'!$C$13:$I$13</c:f>
              <c:numCache>
                <c:formatCode>_(* #,##0_);_(* \(#,##0\);_(* "-"??_);_(@_)</c:formatCode>
                <c:ptCount val="7"/>
                <c:pt idx="0">
                  <c:v>300</c:v>
                </c:pt>
                <c:pt idx="1">
                  <c:v>300</c:v>
                </c:pt>
                <c:pt idx="2">
                  <c:v>300</c:v>
                </c:pt>
                <c:pt idx="3">
                  <c:v>300</c:v>
                </c:pt>
                <c:pt idx="4">
                  <c:v>300</c:v>
                </c:pt>
                <c:pt idx="5">
                  <c:v>300</c:v>
                </c:pt>
                <c:pt idx="6">
                  <c:v>300</c:v>
                </c:pt>
              </c:numCache>
            </c:numRef>
          </c:val>
          <c:smooth val="0"/>
          <c:extLst>
            <c:ext xmlns:c16="http://schemas.microsoft.com/office/drawing/2014/chart" uri="{C3380CC4-5D6E-409C-BE32-E72D297353CC}">
              <c16:uniqueId val="{00000005-D8EA-4EFA-B326-9A67DDDDA101}"/>
            </c:ext>
          </c:extLst>
        </c:ser>
        <c:dLbls>
          <c:showLegendKey val="0"/>
          <c:showVal val="0"/>
          <c:showCatName val="0"/>
          <c:showSerName val="0"/>
          <c:showPercent val="0"/>
          <c:showBubbleSize val="0"/>
        </c:dLbls>
        <c:smooth val="0"/>
        <c:axId val="244564624"/>
        <c:axId val="244565016"/>
      </c:lineChart>
      <c:catAx>
        <c:axId val="244564624"/>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565016"/>
        <c:crosses val="autoZero"/>
        <c:auto val="1"/>
        <c:lblAlgn val="ctr"/>
        <c:lblOffset val="100"/>
        <c:noMultiLvlLbl val="0"/>
      </c:catAx>
      <c:valAx>
        <c:axId val="244565016"/>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564624"/>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1"/>
          <c:order val="0"/>
          <c:tx>
            <c:strRef>
              <c:f>'Cap1hr1ln V8.1'!$B$37</c:f>
              <c:strCache>
                <c:ptCount val="1"/>
                <c:pt idx="0">
                  <c:v>Fwy: posted 65 mph, no aux lane</c:v>
                </c:pt>
              </c:strCache>
            </c:strRef>
          </c:tx>
          <c:spPr>
            <a:ln w="38100">
              <a:solidFill>
                <a:srgbClr val="008000"/>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V8.1'!$D$37:$I$37</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97DD-456D-BA8E-03102BF7E64C}"/>
            </c:ext>
          </c:extLst>
        </c:ser>
        <c:ser>
          <c:idx val="2"/>
          <c:order val="1"/>
          <c:tx>
            <c:strRef>
              <c:f>'Cap1hr1ln V8.1'!$B$38</c:f>
              <c:strCache>
                <c:ptCount val="1"/>
                <c:pt idx="0">
                  <c:v>Fwy: posted 65 mph, aux lane</c:v>
                </c:pt>
              </c:strCache>
            </c:strRef>
          </c:tx>
          <c:spPr>
            <a:ln w="38100">
              <a:solidFill>
                <a:srgbClr val="0000FF"/>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V8.1'!$D$38:$I$38</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97DD-456D-BA8E-03102BF7E64C}"/>
            </c:ext>
          </c:extLst>
        </c:ser>
        <c:ser>
          <c:idx val="3"/>
          <c:order val="2"/>
          <c:tx>
            <c:strRef>
              <c:f>'Cap1hr1ln V8.1'!$B$26</c:f>
              <c:strCache>
                <c:ptCount val="1"/>
                <c:pt idx="0">
                  <c:v>MM: posted 65 mph, no aux lane</c:v>
                </c:pt>
              </c:strCache>
            </c:strRef>
          </c:tx>
          <c:spPr>
            <a:ln w="38100">
              <a:solidFill>
                <a:srgbClr val="FF00FF"/>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V8.1'!$D$26:$I$26</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97DD-456D-BA8E-03102BF7E64C}"/>
            </c:ext>
          </c:extLst>
        </c:ser>
        <c:ser>
          <c:idx val="4"/>
          <c:order val="3"/>
          <c:tx>
            <c:strRef>
              <c:f>'Cap1hr1ln V8.1'!$B$27</c:f>
              <c:strCache>
                <c:ptCount val="1"/>
                <c:pt idx="0">
                  <c:v>MM: posted 65 mph, aux lane</c:v>
                </c:pt>
              </c:strCache>
            </c:strRef>
          </c:tx>
          <c:spPr>
            <a:ln w="38100">
              <a:solidFill>
                <a:schemeClr val="bg1">
                  <a:lumMod val="50000"/>
                </a:schemeClr>
              </a:solidFill>
              <a:prstDash val="solid"/>
            </a:ln>
          </c:spPr>
          <c:marker>
            <c:symbol val="none"/>
          </c:marker>
          <c:cat>
            <c:strRef>
              <c:f>'Cap1hr1ln V8.1'!$D$7:$I$7</c:f>
              <c:strCache>
                <c:ptCount val="6"/>
                <c:pt idx="0">
                  <c:v> 2 lanes </c:v>
                </c:pt>
                <c:pt idx="1">
                  <c:v>3 lanes</c:v>
                </c:pt>
                <c:pt idx="2">
                  <c:v> 4 lanes </c:v>
                </c:pt>
                <c:pt idx="3">
                  <c:v>5 lanes</c:v>
                </c:pt>
                <c:pt idx="4">
                  <c:v> 6 lanes </c:v>
                </c:pt>
                <c:pt idx="5">
                  <c:v>7 lanes</c:v>
                </c:pt>
              </c:strCache>
            </c:strRef>
          </c:cat>
          <c:val>
            <c:numRef>
              <c:f>'Cap1hr1ln V8.1'!$D$27:$I$27</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97DD-456D-BA8E-03102BF7E64C}"/>
            </c:ext>
          </c:extLst>
        </c:ser>
        <c:dLbls>
          <c:showLegendKey val="0"/>
          <c:showVal val="0"/>
          <c:showCatName val="0"/>
          <c:showSerName val="0"/>
          <c:showPercent val="0"/>
          <c:showBubbleSize val="0"/>
        </c:dLbls>
        <c:smooth val="0"/>
        <c:axId val="244565800"/>
        <c:axId val="244566192"/>
      </c:lineChart>
      <c:catAx>
        <c:axId val="244565800"/>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4566192"/>
        <c:crosses val="autoZero"/>
        <c:auto val="1"/>
        <c:lblAlgn val="ctr"/>
        <c:lblOffset val="100"/>
        <c:noMultiLvlLbl val="0"/>
      </c:catAx>
      <c:valAx>
        <c:axId val="244566192"/>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4565800"/>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 v8.1</a:t>
            </a:r>
            <a:r>
              <a:rPr lang="en-US" sz="1800" baseline="0"/>
              <a:t> vs. v8.0</a:t>
            </a:r>
          </a:p>
          <a:p>
            <a:pPr>
              <a:defRPr sz="1800"/>
            </a:pPr>
            <a:r>
              <a:rPr lang="en-US" sz="1400" b="0" i="0" baseline="0"/>
              <a:t>(v8.0 = dashed lines)</a:t>
            </a:r>
          </a:p>
        </c:rich>
      </c:tx>
      <c:overlay val="0"/>
    </c:title>
    <c:autoTitleDeleted val="0"/>
    <c:plotArea>
      <c:layout>
        <c:manualLayout>
          <c:layoutTarget val="inner"/>
          <c:xMode val="edge"/>
          <c:yMode val="edge"/>
          <c:x val="8.4893306030901158E-2"/>
          <c:y val="0.12754183890708087"/>
          <c:w val="0.89342553336120689"/>
          <c:h val="0.67196111003190606"/>
        </c:manualLayout>
      </c:layout>
      <c:lineChart>
        <c:grouping val="standard"/>
        <c:varyColors val="0"/>
        <c:ser>
          <c:idx val="0"/>
          <c:order val="0"/>
          <c:tx>
            <c:strRef>
              <c:f>'Cap1hr1ln V8.1'!$B$36</c:f>
              <c:strCache>
                <c:ptCount val="1"/>
                <c:pt idx="0">
                  <c:v>Fwy: posted 55-60 mph</c:v>
                </c:pt>
              </c:strCache>
            </c:strRef>
          </c:tx>
          <c:spPr>
            <a:ln w="38100">
              <a:solidFill>
                <a:srgbClr val="FF0000"/>
              </a:solidFill>
              <a:prstDash val="solid"/>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V8.1'!$D$36:$I$36</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6074-4C3A-AC89-6F23BF7D1C11}"/>
            </c:ext>
          </c:extLst>
        </c:ser>
        <c:ser>
          <c:idx val="1"/>
          <c:order val="1"/>
          <c:tx>
            <c:strRef>
              <c:f>'Cap1hr1ln V8.1'!$B$37</c:f>
              <c:strCache>
                <c:ptCount val="1"/>
                <c:pt idx="0">
                  <c:v>Fwy: posted 65 mph, no aux lane</c:v>
                </c:pt>
              </c:strCache>
            </c:strRef>
          </c:tx>
          <c:spPr>
            <a:ln w="38100">
              <a:solidFill>
                <a:srgbClr val="008000"/>
              </a:solidFill>
              <a:prstDash val="solid"/>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V8.1'!$D$37:$I$37</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6074-4C3A-AC89-6F23BF7D1C11}"/>
            </c:ext>
          </c:extLst>
        </c:ser>
        <c:ser>
          <c:idx val="2"/>
          <c:order val="2"/>
          <c:tx>
            <c:strRef>
              <c:f>'Cap1hr1ln V8.1'!$B$38</c:f>
              <c:strCache>
                <c:ptCount val="1"/>
                <c:pt idx="0">
                  <c:v>Fwy: posted 65 mph, aux lane</c:v>
                </c:pt>
              </c:strCache>
            </c:strRef>
          </c:tx>
          <c:spPr>
            <a:ln w="38100">
              <a:solidFill>
                <a:srgbClr val="0000FF"/>
              </a:solidFill>
              <a:prstDash val="solid"/>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V8.1'!$D$38:$I$38</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074-4C3A-AC89-6F23BF7D1C11}"/>
            </c:ext>
          </c:extLst>
        </c:ser>
        <c:ser>
          <c:idx val="3"/>
          <c:order val="3"/>
          <c:tx>
            <c:strRef>
              <c:f>'Cap1hr1ln V8.1'!$B$39</c:f>
              <c:strCache>
                <c:ptCount val="1"/>
                <c:pt idx="0">
                  <c:v>Fwy: posted 75 mph, no aux lane</c:v>
                </c:pt>
              </c:strCache>
            </c:strRef>
          </c:tx>
          <c:spPr>
            <a:ln w="38100">
              <a:solidFill>
                <a:srgbClr val="FF00FF"/>
              </a:solidFill>
              <a:prstDash val="solid"/>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V8.1'!$D$39:$I$39</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6074-4C3A-AC89-6F23BF7D1C11}"/>
            </c:ext>
          </c:extLst>
        </c:ser>
        <c:ser>
          <c:idx val="4"/>
          <c:order val="4"/>
          <c:tx>
            <c:strRef>
              <c:f>'Cap1hr1ln V8.1'!$B$40</c:f>
              <c:strCache>
                <c:ptCount val="1"/>
                <c:pt idx="0">
                  <c:v>Fwy: posted 75 mph, aux lane</c:v>
                </c:pt>
              </c:strCache>
            </c:strRef>
          </c:tx>
          <c:spPr>
            <a:ln w="38100">
              <a:solidFill>
                <a:schemeClr val="bg1">
                  <a:lumMod val="50000"/>
                </a:schemeClr>
              </a:solidFill>
              <a:prstDash val="solid"/>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V8.1'!$D$40:$I$40</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4-6074-4C3A-AC89-6F23BF7D1C11}"/>
            </c:ext>
          </c:extLst>
        </c:ser>
        <c:ser>
          <c:idx val="5"/>
          <c:order val="5"/>
          <c:tx>
            <c:strRef>
              <c:f>'Cap1hr1ln V8'!$B$25</c:f>
              <c:strCache>
                <c:ptCount val="1"/>
                <c:pt idx="0">
                  <c:v>Fwy: posted 55-60 mph</c:v>
                </c:pt>
              </c:strCache>
            </c:strRef>
          </c:tx>
          <c:spPr>
            <a:ln w="38100">
              <a:solidFill>
                <a:srgbClr val="FF0000"/>
              </a:solidFill>
              <a:prstDash val="dash"/>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V8'!$D$25:$I$25</c:f>
              <c:numCache>
                <c:formatCode>_(* #,##0_);_(* \(#,##0\);_(* "-"??_);_(@_)</c:formatCode>
                <c:ptCount val="6"/>
                <c:pt idx="0">
                  <c:v>1717.9562500000002</c:v>
                </c:pt>
                <c:pt idx="1">
                  <c:v>1632.0584374999999</c:v>
                </c:pt>
                <c:pt idx="2">
                  <c:v>1563.3401875000002</c:v>
                </c:pt>
                <c:pt idx="3">
                  <c:v>1511.8015</c:v>
                </c:pt>
                <c:pt idx="4">
                  <c:v>1477.4423749999999</c:v>
                </c:pt>
                <c:pt idx="5">
                  <c:v>1443.0832499999999</c:v>
                </c:pt>
              </c:numCache>
            </c:numRef>
          </c:val>
          <c:smooth val="0"/>
          <c:extLst>
            <c:ext xmlns:c16="http://schemas.microsoft.com/office/drawing/2014/chart" uri="{C3380CC4-5D6E-409C-BE32-E72D297353CC}">
              <c16:uniqueId val="{00000005-6074-4C3A-AC89-6F23BF7D1C11}"/>
            </c:ext>
          </c:extLst>
        </c:ser>
        <c:ser>
          <c:idx val="6"/>
          <c:order val="6"/>
          <c:tx>
            <c:strRef>
              <c:f>'Cap1hr1ln V8'!$B$26</c:f>
              <c:strCache>
                <c:ptCount val="1"/>
                <c:pt idx="0">
                  <c:v>Fwy: posted 65 mph, no aux lane</c:v>
                </c:pt>
              </c:strCache>
            </c:strRef>
          </c:tx>
          <c:spPr>
            <a:ln w="38100">
              <a:solidFill>
                <a:srgbClr val="008000"/>
              </a:solidFill>
              <a:prstDash val="dash"/>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V8'!$D$26:$I$26</c:f>
              <c:numCache>
                <c:formatCode>_(* #,##0_);_(* \(#,##0\);_(* "-"??_);_(@_)</c:formatCode>
                <c:ptCount val="6"/>
                <c:pt idx="0">
                  <c:v>1755.3031250000001</c:v>
                </c:pt>
                <c:pt idx="1">
                  <c:v>1667.5379687499999</c:v>
                </c:pt>
                <c:pt idx="2">
                  <c:v>1597.3258437500001</c:v>
                </c:pt>
                <c:pt idx="3">
                  <c:v>1544.6667499999999</c:v>
                </c:pt>
                <c:pt idx="4">
                  <c:v>1509.5606875000001</c:v>
                </c:pt>
                <c:pt idx="5">
                  <c:v>1474.4546250000001</c:v>
                </c:pt>
              </c:numCache>
            </c:numRef>
          </c:val>
          <c:smooth val="0"/>
          <c:extLst>
            <c:ext xmlns:c16="http://schemas.microsoft.com/office/drawing/2014/chart" uri="{C3380CC4-5D6E-409C-BE32-E72D297353CC}">
              <c16:uniqueId val="{00000006-6074-4C3A-AC89-6F23BF7D1C11}"/>
            </c:ext>
          </c:extLst>
        </c:ser>
        <c:ser>
          <c:idx val="7"/>
          <c:order val="7"/>
          <c:tx>
            <c:strRef>
              <c:f>'Cap1hr1ln V8'!$B$27</c:f>
              <c:strCache>
                <c:ptCount val="1"/>
                <c:pt idx="0">
                  <c:v>Fwy: posted 65 mph, aux lane</c:v>
                </c:pt>
              </c:strCache>
            </c:strRef>
          </c:tx>
          <c:spPr>
            <a:ln w="38100">
              <a:solidFill>
                <a:srgbClr val="0000FF"/>
              </a:solidFill>
              <a:prstDash val="dash"/>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V8'!$D$27:$I$27</c:f>
              <c:numCache>
                <c:formatCode>_(* #,##0_);_(* \(#,##0\);_(* "-"??_);_(@_)</c:formatCode>
                <c:ptCount val="6"/>
                <c:pt idx="0">
                  <c:v>2105.3031250000004</c:v>
                </c:pt>
                <c:pt idx="1">
                  <c:v>1900.8713020833331</c:v>
                </c:pt>
                <c:pt idx="2">
                  <c:v>1772.3258437500001</c:v>
                </c:pt>
                <c:pt idx="3">
                  <c:v>1684.6667499999999</c:v>
                </c:pt>
                <c:pt idx="4">
                  <c:v>1626.2273541666666</c:v>
                </c:pt>
                <c:pt idx="5">
                  <c:v>1574.4546250000001</c:v>
                </c:pt>
              </c:numCache>
            </c:numRef>
          </c:val>
          <c:smooth val="0"/>
          <c:extLst>
            <c:ext xmlns:c16="http://schemas.microsoft.com/office/drawing/2014/chart" uri="{C3380CC4-5D6E-409C-BE32-E72D297353CC}">
              <c16:uniqueId val="{00000007-6074-4C3A-AC89-6F23BF7D1C11}"/>
            </c:ext>
          </c:extLst>
        </c:ser>
        <c:ser>
          <c:idx val="8"/>
          <c:order val="8"/>
          <c:tx>
            <c:strRef>
              <c:f>'Cap1hr1ln V8'!$B$28</c:f>
              <c:strCache>
                <c:ptCount val="1"/>
                <c:pt idx="0">
                  <c:v>Fwy: posted 75 mph, no aux lane</c:v>
                </c:pt>
              </c:strCache>
            </c:strRef>
          </c:tx>
          <c:spPr>
            <a:ln w="38100">
              <a:solidFill>
                <a:srgbClr val="FF00FF"/>
              </a:solidFill>
              <a:prstDash val="dash"/>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V8'!$D$28:$I$28</c:f>
              <c:numCache>
                <c:formatCode>_(* #,##0_);_(* \(#,##0\);_(* "-"??_);_(@_)</c:formatCode>
                <c:ptCount val="6"/>
                <c:pt idx="0">
                  <c:v>1792.65</c:v>
                </c:pt>
                <c:pt idx="1">
                  <c:v>1703.0175000000002</c:v>
                </c:pt>
                <c:pt idx="2">
                  <c:v>1631.3115000000003</c:v>
                </c:pt>
                <c:pt idx="3">
                  <c:v>1577.5320000000002</c:v>
                </c:pt>
                <c:pt idx="4">
                  <c:v>1541.6790000000001</c:v>
                </c:pt>
                <c:pt idx="5">
                  <c:v>1505.8259999999998</c:v>
                </c:pt>
              </c:numCache>
            </c:numRef>
          </c:val>
          <c:smooth val="0"/>
          <c:extLst>
            <c:ext xmlns:c16="http://schemas.microsoft.com/office/drawing/2014/chart" uri="{C3380CC4-5D6E-409C-BE32-E72D297353CC}">
              <c16:uniqueId val="{00000008-6074-4C3A-AC89-6F23BF7D1C11}"/>
            </c:ext>
          </c:extLst>
        </c:ser>
        <c:ser>
          <c:idx val="9"/>
          <c:order val="9"/>
          <c:tx>
            <c:strRef>
              <c:f>'Cap1hr1ln V8'!$B$29</c:f>
              <c:strCache>
                <c:ptCount val="1"/>
                <c:pt idx="0">
                  <c:v>Fwy: posted 75 mph, aux lane</c:v>
                </c:pt>
              </c:strCache>
            </c:strRef>
          </c:tx>
          <c:spPr>
            <a:ln w="38100">
              <a:solidFill>
                <a:schemeClr val="bg1">
                  <a:lumMod val="50000"/>
                </a:schemeClr>
              </a:solidFill>
              <a:prstDash val="dash"/>
            </a:ln>
          </c:spPr>
          <c:marker>
            <c:symbol val="none"/>
          </c:marker>
          <c:cat>
            <c:strRef>
              <c:f>'Cap1hr1ln V8.1'!$D$22:$I$22</c:f>
              <c:strCache>
                <c:ptCount val="6"/>
                <c:pt idx="0">
                  <c:v> 2 lanes </c:v>
                </c:pt>
                <c:pt idx="1">
                  <c:v>3 lanes</c:v>
                </c:pt>
                <c:pt idx="2">
                  <c:v> 4 lanes </c:v>
                </c:pt>
                <c:pt idx="3">
                  <c:v>5 lanes</c:v>
                </c:pt>
                <c:pt idx="4">
                  <c:v> 6 lanes </c:v>
                </c:pt>
                <c:pt idx="5">
                  <c:v>7 lanes</c:v>
                </c:pt>
              </c:strCache>
            </c:strRef>
          </c:cat>
          <c:val>
            <c:numRef>
              <c:f>'Cap1hr1ln V8'!$D$29:$I$29</c:f>
              <c:numCache>
                <c:formatCode>_(* #,##0_);_(* \(#,##0\);_(* "-"??_);_(@_)</c:formatCode>
                <c:ptCount val="6"/>
                <c:pt idx="0">
                  <c:v>2142.65</c:v>
                </c:pt>
                <c:pt idx="1">
                  <c:v>1936.3508333333336</c:v>
                </c:pt>
                <c:pt idx="2">
                  <c:v>1806.3115000000003</c:v>
                </c:pt>
                <c:pt idx="3">
                  <c:v>1717.5319999999999</c:v>
                </c:pt>
                <c:pt idx="4">
                  <c:v>1658.3456666666668</c:v>
                </c:pt>
                <c:pt idx="5">
                  <c:v>1605.8259999999998</c:v>
                </c:pt>
              </c:numCache>
            </c:numRef>
          </c:val>
          <c:smooth val="0"/>
          <c:extLst>
            <c:ext xmlns:c16="http://schemas.microsoft.com/office/drawing/2014/chart" uri="{C3380CC4-5D6E-409C-BE32-E72D297353CC}">
              <c16:uniqueId val="{00000009-6074-4C3A-AC89-6F23BF7D1C11}"/>
            </c:ext>
          </c:extLst>
        </c:ser>
        <c:dLbls>
          <c:showLegendKey val="0"/>
          <c:showVal val="0"/>
          <c:showCatName val="0"/>
          <c:showSerName val="0"/>
          <c:showPercent val="0"/>
          <c:showBubbleSize val="0"/>
        </c:dLbls>
        <c:smooth val="0"/>
        <c:axId val="245009968"/>
        <c:axId val="245010360"/>
      </c:lineChart>
      <c:catAx>
        <c:axId val="245009968"/>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5010360"/>
        <c:crosses val="autoZero"/>
        <c:auto val="1"/>
        <c:lblAlgn val="ctr"/>
        <c:lblOffset val="100"/>
        <c:noMultiLvlLbl val="0"/>
      </c:catAx>
      <c:valAx>
        <c:axId val="245010360"/>
        <c:scaling>
          <c:orientation val="minMax"/>
          <c:max val="2200"/>
          <c:min val="12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5009968"/>
        <c:crosses val="autoZero"/>
        <c:crossBetween val="between"/>
      </c:valAx>
    </c:plotArea>
    <c:legend>
      <c:legendPos val="r"/>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8.5055332742960107E-2"/>
          <c:y val="0.87372169636846009"/>
          <c:w val="0.8984621283888149"/>
          <c:h val="0.1262783036315398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'VDF V8.1'!$A$1</c:f>
          <c:strCache>
            <c:ptCount val="1"/>
            <c:pt idx="0">
              <c:v>Volume Delay Function Curves v8.1</c:v>
            </c:pt>
          </c:strCache>
        </c:strRef>
      </c:tx>
      <c:layout>
        <c:manualLayout>
          <c:xMode val="edge"/>
          <c:yMode val="edge"/>
          <c:x val="0.22469162892027017"/>
          <c:y val="3.0769282133550572E-2"/>
        </c:manualLayout>
      </c:layout>
      <c:overlay val="0"/>
      <c:spPr>
        <a:noFill/>
        <a:ln w="25400">
          <a:noFill/>
        </a:ln>
      </c:spPr>
      <c:txPr>
        <a:bodyPr/>
        <a:lstStyle/>
        <a:p>
          <a:pPr>
            <a:defRPr sz="2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14567918798127424"/>
          <c:y val="0.16068402891965264"/>
          <c:w val="0.81605036657306962"/>
          <c:h val="0.51624017801845967"/>
        </c:manualLayout>
      </c:layout>
      <c:scatterChart>
        <c:scatterStyle val="smoothMarker"/>
        <c:varyColors val="0"/>
        <c:ser>
          <c:idx val="1"/>
          <c:order val="0"/>
          <c:tx>
            <c:strRef>
              <c:f>'VDF V8.1'!$B$10</c:f>
              <c:strCache>
                <c:ptCount val="1"/>
                <c:pt idx="0">
                  <c:v>Fwy (x=0.6, y=8)</c:v>
                </c:pt>
              </c:strCache>
            </c:strRef>
          </c:tx>
          <c:spPr>
            <a:ln w="25400">
              <a:solidFill>
                <a:srgbClr val="800000"/>
              </a:solidFill>
              <a:prstDash val="solid"/>
            </a:ln>
          </c:spPr>
          <c:marker>
            <c:symbol val="none"/>
          </c:marker>
          <c:xVal>
            <c:numRef>
              <c:f>'VDF V8.1'!$A$11:$A$27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V8.1'!$B$11:$B$27</c:f>
              <c:numCache>
                <c:formatCode>_(* #,##0.0_);_(* \(#,##0.0\);_(* "-"??_);_(@_)</c:formatCode>
                <c:ptCount val="17"/>
                <c:pt idx="0">
                  <c:v>67</c:v>
                </c:pt>
                <c:pt idx="1">
                  <c:v>66.999999598000002</c:v>
                </c:pt>
                <c:pt idx="2">
                  <c:v>66.843335931410749</c:v>
                </c:pt>
                <c:pt idx="3">
                  <c:v>66.331530995413644</c:v>
                </c:pt>
                <c:pt idx="4">
                  <c:v>64.760027956459453</c:v>
                </c:pt>
                <c:pt idx="5">
                  <c:v>60.872385082240442</c:v>
                </c:pt>
                <c:pt idx="6">
                  <c:v>53.24727615585401</c:v>
                </c:pt>
                <c:pt idx="7">
                  <c:v>41.875000000000014</c:v>
                </c:pt>
                <c:pt idx="8">
                  <c:v>29.306871245378094</c:v>
                </c:pt>
                <c:pt idx="9">
                  <c:v>18.715657940898801</c:v>
                </c:pt>
                <c:pt idx="10">
                  <c:v>11.366751181198763</c:v>
                </c:pt>
                <c:pt idx="11">
                  <c:v>6.798762677472137</c:v>
                </c:pt>
                <c:pt idx="12">
                  <c:v>5.5403698274003172</c:v>
                </c:pt>
                <c:pt idx="13">
                  <c:v>5.5403698274003172</c:v>
                </c:pt>
                <c:pt idx="14">
                  <c:v>5.5403698274003172</c:v>
                </c:pt>
                <c:pt idx="15">
                  <c:v>5.5403698274003172</c:v>
                </c:pt>
                <c:pt idx="16">
                  <c:v>5.5403698274003172</c:v>
                </c:pt>
              </c:numCache>
            </c:numRef>
          </c:yVal>
          <c:smooth val="1"/>
          <c:extLst>
            <c:ext xmlns:c16="http://schemas.microsoft.com/office/drawing/2014/chart" uri="{C3380CC4-5D6E-409C-BE32-E72D297353CC}">
              <c16:uniqueId val="{00000000-748F-43E6-889F-7A7163D86AEC}"/>
            </c:ext>
          </c:extLst>
        </c:ser>
        <c:ser>
          <c:idx val="2"/>
          <c:order val="1"/>
          <c:tx>
            <c:strRef>
              <c:f>'VDF V8.1'!$C$10</c:f>
              <c:strCache>
                <c:ptCount val="1"/>
                <c:pt idx="0">
                  <c:v>Ramp (x=0.7, y=3)</c:v>
                </c:pt>
              </c:strCache>
            </c:strRef>
          </c:tx>
          <c:spPr>
            <a:ln w="25400">
              <a:solidFill>
                <a:srgbClr val="FF6600"/>
              </a:solidFill>
              <a:prstDash val="solid"/>
            </a:ln>
          </c:spPr>
          <c:marker>
            <c:symbol val="none"/>
          </c:marker>
          <c:xVal>
            <c:numRef>
              <c:f>'VDF V8.1'!$A$11:$A$27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V8.1'!$C$11:$C$27</c:f>
              <c:numCache>
                <c:formatCode>_(* #,##0.0_);_(* \(#,##0.0\);_(* "-"??_);_(@_)</c:formatCode>
                <c:ptCount val="17"/>
                <c:pt idx="0">
                  <c:v>23</c:v>
                </c:pt>
                <c:pt idx="1">
                  <c:v>22.983911262116521</c:v>
                </c:pt>
                <c:pt idx="2">
                  <c:v>21.149425287356323</c:v>
                </c:pt>
                <c:pt idx="3">
                  <c:v>19.979152189020152</c:v>
                </c:pt>
                <c:pt idx="4">
                  <c:v>18.546891379727441</c:v>
                </c:pt>
                <c:pt idx="5">
                  <c:v>16.931684334511193</c:v>
                </c:pt>
                <c:pt idx="6">
                  <c:v>15.228762497517051</c:v>
                </c:pt>
                <c:pt idx="7">
                  <c:v>13.529411764705884</c:v>
                </c:pt>
                <c:pt idx="8">
                  <c:v>11.906610757363982</c:v>
                </c:pt>
                <c:pt idx="9">
                  <c:v>10.409123823316436</c:v>
                </c:pt>
                <c:pt idx="10">
                  <c:v>9.0626108199692634</c:v>
                </c:pt>
                <c:pt idx="11">
                  <c:v>7.8745549164612427</c:v>
                </c:pt>
                <c:pt idx="12">
                  <c:v>6.8401486988847564</c:v>
                </c:pt>
                <c:pt idx="13">
                  <c:v>5.9474555233760844</c:v>
                </c:pt>
                <c:pt idx="14">
                  <c:v>5.549540202497897</c:v>
                </c:pt>
                <c:pt idx="15">
                  <c:v>5.549540202497897</c:v>
                </c:pt>
                <c:pt idx="16">
                  <c:v>5.549540202497897</c:v>
                </c:pt>
              </c:numCache>
            </c:numRef>
          </c:yVal>
          <c:smooth val="1"/>
          <c:extLst>
            <c:ext xmlns:c16="http://schemas.microsoft.com/office/drawing/2014/chart" uri="{C3380CC4-5D6E-409C-BE32-E72D297353CC}">
              <c16:uniqueId val="{00000001-748F-43E6-889F-7A7163D86AEC}"/>
            </c:ext>
          </c:extLst>
        </c:ser>
        <c:ser>
          <c:idx val="3"/>
          <c:order val="2"/>
          <c:tx>
            <c:strRef>
              <c:f>'VDF V8.1'!$D$10</c:f>
              <c:strCache>
                <c:ptCount val="1"/>
                <c:pt idx="0">
                  <c:v>Exp (x=0.6, y=6)</c:v>
                </c:pt>
              </c:strCache>
            </c:strRef>
          </c:tx>
          <c:spPr>
            <a:ln w="25400">
              <a:solidFill>
                <a:srgbClr val="008000"/>
              </a:solidFill>
              <a:prstDash val="solid"/>
            </a:ln>
          </c:spPr>
          <c:marker>
            <c:symbol val="none"/>
          </c:marker>
          <c:xVal>
            <c:numRef>
              <c:f>'VDF V8.1'!$A$11:$A$27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V8.1'!$D$11:$D$27</c:f>
              <c:numCache>
                <c:formatCode>_(* #,##0.0_);_(* \(#,##0.0\);_(* "-"??_);_(@_)</c:formatCode>
                <c:ptCount val="17"/>
                <c:pt idx="0">
                  <c:v>50</c:v>
                </c:pt>
                <c:pt idx="1">
                  <c:v>49.999970000018003</c:v>
                </c:pt>
                <c:pt idx="2">
                  <c:v>49.535603715170282</c:v>
                </c:pt>
                <c:pt idx="3">
                  <c:v>48.638435103097912</c:v>
                </c:pt>
                <c:pt idx="4">
                  <c:v>46.70324589427095</c:v>
                </c:pt>
                <c:pt idx="5">
                  <c:v>43.204517049539341</c:v>
                </c:pt>
                <c:pt idx="6">
                  <c:v>37.911397424724278</c:v>
                </c:pt>
                <c:pt idx="7">
                  <c:v>31.250000000000007</c:v>
                </c:pt>
                <c:pt idx="8">
                  <c:v>24.237293574606223</c:v>
                </c:pt>
                <c:pt idx="9">
                  <c:v>17.910937077301888</c:v>
                </c:pt>
                <c:pt idx="10">
                  <c:v>12.833394257733669</c:v>
                </c:pt>
                <c:pt idx="11">
                  <c:v>9.0617112686511732</c:v>
                </c:pt>
                <c:pt idx="12">
                  <c:v>6.3821300358994755</c:v>
                </c:pt>
                <c:pt idx="13">
                  <c:v>5.3646071277932883</c:v>
                </c:pt>
                <c:pt idx="14">
                  <c:v>5.3646071277932883</c:v>
                </c:pt>
                <c:pt idx="15">
                  <c:v>5.3646071277932883</c:v>
                </c:pt>
                <c:pt idx="16">
                  <c:v>5.3646071277932883</c:v>
                </c:pt>
              </c:numCache>
            </c:numRef>
          </c:yVal>
          <c:smooth val="1"/>
          <c:extLst>
            <c:ext xmlns:c16="http://schemas.microsoft.com/office/drawing/2014/chart" uri="{C3380CC4-5D6E-409C-BE32-E72D297353CC}">
              <c16:uniqueId val="{00000002-748F-43E6-889F-7A7163D86AEC}"/>
            </c:ext>
          </c:extLst>
        </c:ser>
        <c:ser>
          <c:idx val="4"/>
          <c:order val="3"/>
          <c:tx>
            <c:strRef>
              <c:f>'VDF V8.1'!$E$10</c:f>
              <c:strCache>
                <c:ptCount val="1"/>
                <c:pt idx="0">
                  <c:v>Art (x=0.6, y=4)</c:v>
                </c:pt>
              </c:strCache>
            </c:strRef>
          </c:tx>
          <c:spPr>
            <a:ln w="25400">
              <a:solidFill>
                <a:srgbClr val="3366FF"/>
              </a:solidFill>
              <a:prstDash val="solid"/>
            </a:ln>
          </c:spPr>
          <c:marker>
            <c:symbol val="none"/>
          </c:marker>
          <c:xVal>
            <c:numRef>
              <c:f>'VDF V8.1'!$A$11:$A$27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V8.1'!$E$11:$E$27</c:f>
              <c:numCache>
                <c:formatCode>_(* #,##0.0_);_(* \(#,##0.0\);_(* "-"??_);_(@_)</c:formatCode>
                <c:ptCount val="17"/>
                <c:pt idx="0">
                  <c:v>40</c:v>
                </c:pt>
                <c:pt idx="1">
                  <c:v>39.997600143991363</c:v>
                </c:pt>
                <c:pt idx="2">
                  <c:v>38.554216867469876</c:v>
                </c:pt>
                <c:pt idx="3">
                  <c:v>37.11401425178147</c:v>
                </c:pt>
                <c:pt idx="4">
                  <c:v>34.963201230704691</c:v>
                </c:pt>
                <c:pt idx="5">
                  <c:v>32.108913434369384</c:v>
                </c:pt>
                <c:pt idx="6">
                  <c:v>28.701404933771514</c:v>
                </c:pt>
                <c:pt idx="7">
                  <c:v>25.000000000000007</c:v>
                </c:pt>
                <c:pt idx="8">
                  <c:v>21.294038733856461</c:v>
                </c:pt>
                <c:pt idx="9">
                  <c:v>17.824041066590617</c:v>
                </c:pt>
                <c:pt idx="10">
                  <c:v>14.740240118511531</c:v>
                </c:pt>
                <c:pt idx="11">
                  <c:v>12.103020914020137</c:v>
                </c:pt>
                <c:pt idx="12">
                  <c:v>9.9071207430340529</c:v>
                </c:pt>
                <c:pt idx="13">
                  <c:v>8.1100369817686317</c:v>
                </c:pt>
                <c:pt idx="14">
                  <c:v>6.6541789907606663</c:v>
                </c:pt>
                <c:pt idx="15">
                  <c:v>5.4805331462644675</c:v>
                </c:pt>
                <c:pt idx="16">
                  <c:v>5.4805331462644675</c:v>
                </c:pt>
              </c:numCache>
            </c:numRef>
          </c:yVal>
          <c:smooth val="1"/>
          <c:extLst>
            <c:ext xmlns:c16="http://schemas.microsoft.com/office/drawing/2014/chart" uri="{C3380CC4-5D6E-409C-BE32-E72D297353CC}">
              <c16:uniqueId val="{00000003-748F-43E6-889F-7A7163D86AEC}"/>
            </c:ext>
          </c:extLst>
        </c:ser>
        <c:ser>
          <c:idx val="0"/>
          <c:order val="4"/>
          <c:tx>
            <c:strRef>
              <c:f>'VDF V8.1'!$F$10</c:f>
              <c:strCache>
                <c:ptCount val="1"/>
                <c:pt idx="0">
                  <c:v>Col (x=0.7, y=3)</c:v>
                </c:pt>
              </c:strCache>
            </c:strRef>
          </c:tx>
          <c:spPr>
            <a:ln w="25400">
              <a:solidFill>
                <a:srgbClr val="808080"/>
              </a:solidFill>
              <a:prstDash val="solid"/>
            </a:ln>
          </c:spPr>
          <c:marker>
            <c:symbol val="none"/>
          </c:marker>
          <c:xVal>
            <c:numRef>
              <c:f>'VDF V8.1'!$A$11:$A$27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V8.1'!$F$11:$F$27</c:f>
              <c:numCache>
                <c:formatCode>_(* #,##0.0_);_(* \(#,##0.0\);_(* "-"??_);_(@_)</c:formatCode>
                <c:ptCount val="17"/>
                <c:pt idx="0">
                  <c:v>30</c:v>
                </c:pt>
                <c:pt idx="1">
                  <c:v>29.9790146897172</c:v>
                </c:pt>
                <c:pt idx="2">
                  <c:v>27.586206896551726</c:v>
                </c:pt>
                <c:pt idx="3">
                  <c:v>26.059763724808896</c:v>
                </c:pt>
                <c:pt idx="4">
                  <c:v>24.191597451818403</c:v>
                </c:pt>
                <c:pt idx="5">
                  <c:v>22.084805653710252</c:v>
                </c:pt>
                <c:pt idx="6">
                  <c:v>19.863603257630938</c:v>
                </c:pt>
                <c:pt idx="7">
                  <c:v>17.647058823529413</c:v>
                </c:pt>
                <c:pt idx="8">
                  <c:v>15.530361857431281</c:v>
                </c:pt>
                <c:pt idx="9">
                  <c:v>13.577118030412745</c:v>
                </c:pt>
                <c:pt idx="10">
                  <c:v>11.82079672169904</c:v>
                </c:pt>
                <c:pt idx="11">
                  <c:v>10.271158586688577</c:v>
                </c:pt>
                <c:pt idx="12">
                  <c:v>8.9219330855018555</c:v>
                </c:pt>
                <c:pt idx="13">
                  <c:v>7.7575506826644576</c:v>
                </c:pt>
                <c:pt idx="14">
                  <c:v>6.7581266472933663</c:v>
                </c:pt>
                <c:pt idx="15">
                  <c:v>5.5226878921971316</c:v>
                </c:pt>
                <c:pt idx="16">
                  <c:v>5.5226878921971316</c:v>
                </c:pt>
              </c:numCache>
            </c:numRef>
          </c:yVal>
          <c:smooth val="1"/>
          <c:extLst>
            <c:ext xmlns:c16="http://schemas.microsoft.com/office/drawing/2014/chart" uri="{C3380CC4-5D6E-409C-BE32-E72D297353CC}">
              <c16:uniqueId val="{00000004-748F-43E6-889F-7A7163D86AEC}"/>
            </c:ext>
          </c:extLst>
        </c:ser>
        <c:ser>
          <c:idx val="5"/>
          <c:order val="5"/>
          <c:tx>
            <c:strRef>
              <c:f>'VDF V8.1'!$G$10</c:f>
              <c:strCache>
                <c:ptCount val="1"/>
                <c:pt idx="0">
                  <c:v>MM (x=0.6, y=8)</c:v>
                </c:pt>
              </c:strCache>
            </c:strRef>
          </c:tx>
          <c:marker>
            <c:symbol val="none"/>
          </c:marker>
          <c:xVal>
            <c:numRef>
              <c:f>'VDF V8.1'!$A$11:$A$27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V8.1'!$G$11:$G$27</c:f>
              <c:numCache>
                <c:formatCode>_(* #,##0.0_);_(* \(#,##0.0\);_(* "-"??_);_(@_)</c:formatCode>
                <c:ptCount val="17"/>
                <c:pt idx="0">
                  <c:v>67</c:v>
                </c:pt>
                <c:pt idx="1">
                  <c:v>66.999999598000002</c:v>
                </c:pt>
                <c:pt idx="2">
                  <c:v>66.843335931410749</c:v>
                </c:pt>
                <c:pt idx="3">
                  <c:v>66.331530995413644</c:v>
                </c:pt>
                <c:pt idx="4">
                  <c:v>64.760027956459453</c:v>
                </c:pt>
                <c:pt idx="5">
                  <c:v>60.872385082240442</c:v>
                </c:pt>
                <c:pt idx="6">
                  <c:v>53.24727615585401</c:v>
                </c:pt>
                <c:pt idx="7">
                  <c:v>45.570604705773761</c:v>
                </c:pt>
                <c:pt idx="8">
                  <c:v>45.570604705773761</c:v>
                </c:pt>
                <c:pt idx="9">
                  <c:v>45.570604705773761</c:v>
                </c:pt>
                <c:pt idx="10">
                  <c:v>45.570604705773761</c:v>
                </c:pt>
                <c:pt idx="11">
                  <c:v>45.570604705773761</c:v>
                </c:pt>
                <c:pt idx="12">
                  <c:v>45.570604705773761</c:v>
                </c:pt>
                <c:pt idx="13">
                  <c:v>45.570604705773761</c:v>
                </c:pt>
                <c:pt idx="14">
                  <c:v>45.570604705773761</c:v>
                </c:pt>
                <c:pt idx="15">
                  <c:v>45.570604705773761</c:v>
                </c:pt>
                <c:pt idx="16">
                  <c:v>45.570604705773761</c:v>
                </c:pt>
              </c:numCache>
            </c:numRef>
          </c:yVal>
          <c:smooth val="1"/>
          <c:extLst>
            <c:ext xmlns:c16="http://schemas.microsoft.com/office/drawing/2014/chart" uri="{C3380CC4-5D6E-409C-BE32-E72D297353CC}">
              <c16:uniqueId val="{00000005-748F-43E6-889F-7A7163D86AEC}"/>
            </c:ext>
          </c:extLst>
        </c:ser>
        <c:dLbls>
          <c:showLegendKey val="0"/>
          <c:showVal val="0"/>
          <c:showCatName val="0"/>
          <c:showSerName val="0"/>
          <c:showPercent val="0"/>
          <c:showBubbleSize val="0"/>
        </c:dLbls>
        <c:axId val="245011144"/>
        <c:axId val="245011536"/>
      </c:scatterChart>
      <c:valAx>
        <c:axId val="245011144"/>
        <c:scaling>
          <c:orientation val="minMax"/>
          <c:max val="1.7"/>
          <c:min val="0"/>
        </c:scaling>
        <c:delete val="0"/>
        <c:axPos val="b"/>
        <c:majorGridlines>
          <c:spPr>
            <a:ln w="25400">
              <a:solidFill>
                <a:srgbClr val="C0C0C0"/>
              </a:solidFill>
              <a:prstDash val="solid"/>
            </a:ln>
          </c:spPr>
        </c:majorGridlines>
        <c:minorGridlines>
          <c:spPr>
            <a:ln w="12700">
              <a:solidFill>
                <a:srgbClr val="C0C0C0"/>
              </a:solidFill>
              <a:prstDash val="solid"/>
            </a:ln>
          </c:spPr>
        </c:minorGridlines>
        <c:title>
          <c:tx>
            <c:rich>
              <a:bodyPr/>
              <a:lstStyle/>
              <a:p>
                <a:pPr>
                  <a:defRPr sz="1400" b="0" i="0" u="none" strike="noStrike" baseline="0">
                    <a:solidFill>
                      <a:srgbClr val="000000"/>
                    </a:solidFill>
                    <a:latin typeface="Calibri"/>
                    <a:ea typeface="Calibri"/>
                    <a:cs typeface="Calibri"/>
                  </a:defRPr>
                </a:pPr>
                <a:r>
                  <a:rPr lang="en-US"/>
                  <a:t>Volume/Capacity Ratio (V/C)</a:t>
                </a:r>
              </a:p>
            </c:rich>
          </c:tx>
          <c:layout>
            <c:manualLayout>
              <c:xMode val="edge"/>
              <c:yMode val="edge"/>
              <c:x val="0.41481531492973001"/>
              <c:y val="0.75726622139793831"/>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Calibri"/>
                <a:ea typeface="Calibri"/>
                <a:cs typeface="Calibri"/>
              </a:defRPr>
            </a:pPr>
            <a:endParaRPr lang="en-US"/>
          </a:p>
        </c:txPr>
        <c:crossAx val="245011536"/>
        <c:crosses val="autoZero"/>
        <c:crossBetween val="midCat"/>
        <c:majorUnit val="0.5"/>
        <c:minorUnit val="0.1"/>
      </c:valAx>
      <c:valAx>
        <c:axId val="245011536"/>
        <c:scaling>
          <c:orientation val="minMax"/>
          <c:min val="0"/>
        </c:scaling>
        <c:delete val="0"/>
        <c:axPos val="l"/>
        <c:majorGridlines>
          <c:spPr>
            <a:ln w="12700">
              <a:solidFill>
                <a:srgbClr val="C0C0C0"/>
              </a:solidFill>
              <a:prstDash val="solid"/>
            </a:ln>
          </c:spPr>
        </c:majorGridlines>
        <c:title>
          <c:tx>
            <c:rich>
              <a:bodyPr/>
              <a:lstStyle/>
              <a:p>
                <a:pPr>
                  <a:defRPr sz="1400" b="0" i="0" u="none" strike="noStrike" baseline="0">
                    <a:solidFill>
                      <a:srgbClr val="000000"/>
                    </a:solidFill>
                    <a:latin typeface="Calibri"/>
                    <a:ea typeface="Calibri"/>
                    <a:cs typeface="Calibri"/>
                  </a:defRPr>
                </a:pPr>
                <a:r>
                  <a:rPr lang="en-US"/>
                  <a:t>Speed (mph)</a:t>
                </a:r>
              </a:p>
            </c:rich>
          </c:tx>
          <c:layout>
            <c:manualLayout>
              <c:xMode val="edge"/>
              <c:yMode val="edge"/>
              <c:x val="3.3333373521139027E-2"/>
              <c:y val="0.32991508065418157"/>
            </c:manualLayout>
          </c:layout>
          <c:overlay val="0"/>
          <c:spPr>
            <a:noFill/>
            <a:ln w="25400">
              <a:noFill/>
            </a:ln>
          </c:spPr>
        </c:title>
        <c:numFmt formatCode="_(* #,##0_);_(* \(#,##0\);_(* &quot;-&quot;??_);_(@_)"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Calibri"/>
                <a:ea typeface="Calibri"/>
                <a:cs typeface="Calibri"/>
              </a:defRPr>
            </a:pPr>
            <a:endParaRPr lang="en-US"/>
          </a:p>
        </c:txPr>
        <c:crossAx val="245011144"/>
        <c:crosses val="autoZero"/>
        <c:crossBetween val="midCat"/>
      </c:valAx>
      <c:spPr>
        <a:noFill/>
        <a:ln w="25400">
          <a:noFill/>
        </a:ln>
      </c:spPr>
    </c:plotArea>
    <c:legend>
      <c:legendPos val="b"/>
      <c:layout>
        <c:manualLayout>
          <c:xMode val="edge"/>
          <c:yMode val="edge"/>
          <c:x val="0.10123468995308897"/>
          <c:y val="0.84786466323561571"/>
          <c:w val="0.57819932965127141"/>
          <c:h val="9.3595445839540325E-2"/>
        </c:manualLayout>
      </c:layout>
      <c:overlay val="0"/>
      <c:spPr>
        <a:solidFill>
          <a:srgbClr val="FFFFFF"/>
        </a:solidFill>
        <a:ln w="25400">
          <a:noFill/>
        </a:ln>
      </c:spPr>
      <c:txPr>
        <a:bodyPr/>
        <a:lstStyle/>
        <a:p>
          <a:pPr>
            <a:defRPr sz="1285"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C0C0C0"/>
      </a:solidFill>
      <a:prstDash val="solid"/>
    </a:ln>
  </c:spPr>
  <c:txPr>
    <a:bodyPr/>
    <a:lstStyle/>
    <a:p>
      <a:pPr>
        <a:defRPr sz="1725" b="0" i="0" u="none" strike="noStrike" baseline="0">
          <a:solidFill>
            <a:srgbClr val="000000"/>
          </a:solidFill>
          <a:latin typeface="Calibri"/>
          <a:ea typeface="Calibri"/>
          <a:cs typeface="Calibri"/>
        </a:defRPr>
      </a:pPr>
      <a:endParaRPr lang="en-US"/>
    </a:p>
  </c:txPr>
  <c:printSettings>
    <c:headerFooter alignWithMargins="0"/>
    <c:pageMargins b="1" l="0.75000000000000078" r="0.75000000000000078" t="1" header="0.5" footer="0.5"/>
    <c:pageSetup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'VDF V8'!$A$1</c:f>
          <c:strCache>
            <c:ptCount val="1"/>
            <c:pt idx="0">
              <c:v>Volume Delay Curves by Functional Type</c:v>
            </c:pt>
          </c:strCache>
        </c:strRef>
      </c:tx>
      <c:layout>
        <c:manualLayout>
          <c:xMode val="edge"/>
          <c:yMode val="edge"/>
          <c:x val="0.22469162892027017"/>
          <c:y val="3.0769282133550572E-2"/>
        </c:manualLayout>
      </c:layout>
      <c:overlay val="0"/>
      <c:spPr>
        <a:noFill/>
        <a:ln w="25400">
          <a:noFill/>
        </a:ln>
      </c:spPr>
      <c:txPr>
        <a:bodyPr/>
        <a:lstStyle/>
        <a:p>
          <a:pPr>
            <a:defRPr sz="2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14567918798127424"/>
          <c:y val="0.16068402891965264"/>
          <c:w val="0.81605036657306962"/>
          <c:h val="0.51624017801845967"/>
        </c:manualLayout>
      </c:layout>
      <c:scatterChart>
        <c:scatterStyle val="smoothMarker"/>
        <c:varyColors val="0"/>
        <c:ser>
          <c:idx val="1"/>
          <c:order val="0"/>
          <c:tx>
            <c:strRef>
              <c:f>'VDF V8'!$B$10</c:f>
              <c:strCache>
                <c:ptCount val="1"/>
                <c:pt idx="0">
                  <c:v>Fwy (x=0.6, y=8)</c:v>
                </c:pt>
              </c:strCache>
            </c:strRef>
          </c:tx>
          <c:spPr>
            <a:ln w="25400">
              <a:solidFill>
                <a:srgbClr val="800000"/>
              </a:solidFill>
              <a:prstDash val="solid"/>
            </a:ln>
          </c:spPr>
          <c:marker>
            <c:symbol val="none"/>
          </c:marker>
          <c:xVal>
            <c:numRef>
              <c:f>'VDF V8'!$A$11:$A$27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V8'!$B$11:$B$27</c:f>
              <c:numCache>
                <c:formatCode>_(* #,##0.0_);_(* \(#,##0.0\);_(* "-"??_);_(@_)</c:formatCode>
                <c:ptCount val="17"/>
                <c:pt idx="0">
                  <c:v>67</c:v>
                </c:pt>
                <c:pt idx="1">
                  <c:v>66.999999598000002</c:v>
                </c:pt>
                <c:pt idx="2">
                  <c:v>66.843335931410749</c:v>
                </c:pt>
                <c:pt idx="3">
                  <c:v>66.331530995413644</c:v>
                </c:pt>
                <c:pt idx="4">
                  <c:v>64.760027956459453</c:v>
                </c:pt>
                <c:pt idx="5">
                  <c:v>60.872385082240442</c:v>
                </c:pt>
                <c:pt idx="6">
                  <c:v>53.24727615585401</c:v>
                </c:pt>
                <c:pt idx="7">
                  <c:v>41.875000000000014</c:v>
                </c:pt>
                <c:pt idx="8">
                  <c:v>29.306871245378094</c:v>
                </c:pt>
                <c:pt idx="9">
                  <c:v>18.715657940898801</c:v>
                </c:pt>
                <c:pt idx="10">
                  <c:v>11.366751181198763</c:v>
                </c:pt>
                <c:pt idx="11">
                  <c:v>6.798762677472137</c:v>
                </c:pt>
                <c:pt idx="12">
                  <c:v>5.5403698274003172</c:v>
                </c:pt>
                <c:pt idx="13">
                  <c:v>5.5403698274003172</c:v>
                </c:pt>
                <c:pt idx="14">
                  <c:v>5.5403698274003172</c:v>
                </c:pt>
                <c:pt idx="15">
                  <c:v>5.5403698274003172</c:v>
                </c:pt>
                <c:pt idx="16">
                  <c:v>5.5403698274003172</c:v>
                </c:pt>
              </c:numCache>
            </c:numRef>
          </c:yVal>
          <c:smooth val="1"/>
          <c:extLst>
            <c:ext xmlns:c16="http://schemas.microsoft.com/office/drawing/2014/chart" uri="{C3380CC4-5D6E-409C-BE32-E72D297353CC}">
              <c16:uniqueId val="{00000000-A0F7-4B65-813E-6A398B843F6B}"/>
            </c:ext>
          </c:extLst>
        </c:ser>
        <c:ser>
          <c:idx val="2"/>
          <c:order val="1"/>
          <c:tx>
            <c:strRef>
              <c:f>'VDF V8'!$C$10</c:f>
              <c:strCache>
                <c:ptCount val="1"/>
                <c:pt idx="0">
                  <c:v>Ramp (x=0.7, y=3)</c:v>
                </c:pt>
              </c:strCache>
            </c:strRef>
          </c:tx>
          <c:spPr>
            <a:ln w="25400">
              <a:solidFill>
                <a:srgbClr val="FF6600"/>
              </a:solidFill>
              <a:prstDash val="solid"/>
            </a:ln>
          </c:spPr>
          <c:marker>
            <c:symbol val="none"/>
          </c:marker>
          <c:xVal>
            <c:numRef>
              <c:f>'VDF V8'!$A$11:$A$27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V8'!$C$11:$C$27</c:f>
              <c:numCache>
                <c:formatCode>_(* #,##0.0_);_(* \(#,##0.0\);_(* "-"??_);_(@_)</c:formatCode>
                <c:ptCount val="17"/>
                <c:pt idx="0">
                  <c:v>23</c:v>
                </c:pt>
                <c:pt idx="1">
                  <c:v>22.983911262116521</c:v>
                </c:pt>
                <c:pt idx="2">
                  <c:v>21.149425287356323</c:v>
                </c:pt>
                <c:pt idx="3">
                  <c:v>19.979152189020152</c:v>
                </c:pt>
                <c:pt idx="4">
                  <c:v>18.546891379727441</c:v>
                </c:pt>
                <c:pt idx="5">
                  <c:v>16.931684334511193</c:v>
                </c:pt>
                <c:pt idx="6">
                  <c:v>15.228762497517051</c:v>
                </c:pt>
                <c:pt idx="7">
                  <c:v>13.529411764705884</c:v>
                </c:pt>
                <c:pt idx="8">
                  <c:v>11.906610757363982</c:v>
                </c:pt>
                <c:pt idx="9">
                  <c:v>10.409123823316436</c:v>
                </c:pt>
                <c:pt idx="10">
                  <c:v>9.0626108199692634</c:v>
                </c:pt>
                <c:pt idx="11">
                  <c:v>7.8745549164612427</c:v>
                </c:pt>
                <c:pt idx="12">
                  <c:v>6.8401486988847564</c:v>
                </c:pt>
                <c:pt idx="13">
                  <c:v>5.9474555233760844</c:v>
                </c:pt>
                <c:pt idx="14">
                  <c:v>5.549540202497897</c:v>
                </c:pt>
                <c:pt idx="15">
                  <c:v>5.549540202497897</c:v>
                </c:pt>
                <c:pt idx="16">
                  <c:v>5.549540202497897</c:v>
                </c:pt>
              </c:numCache>
            </c:numRef>
          </c:yVal>
          <c:smooth val="1"/>
          <c:extLst>
            <c:ext xmlns:c16="http://schemas.microsoft.com/office/drawing/2014/chart" uri="{C3380CC4-5D6E-409C-BE32-E72D297353CC}">
              <c16:uniqueId val="{00000001-A0F7-4B65-813E-6A398B843F6B}"/>
            </c:ext>
          </c:extLst>
        </c:ser>
        <c:ser>
          <c:idx val="3"/>
          <c:order val="2"/>
          <c:tx>
            <c:strRef>
              <c:f>'VDF V8'!$D$10</c:f>
              <c:strCache>
                <c:ptCount val="1"/>
                <c:pt idx="0">
                  <c:v>Exp (x=0.6, y=6)</c:v>
                </c:pt>
              </c:strCache>
            </c:strRef>
          </c:tx>
          <c:spPr>
            <a:ln w="25400">
              <a:solidFill>
                <a:srgbClr val="008000"/>
              </a:solidFill>
              <a:prstDash val="solid"/>
            </a:ln>
          </c:spPr>
          <c:marker>
            <c:symbol val="none"/>
          </c:marker>
          <c:xVal>
            <c:numRef>
              <c:f>'VDF V8'!$A$11:$A$27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V8'!$D$11:$D$27</c:f>
              <c:numCache>
                <c:formatCode>_(* #,##0.0_);_(* \(#,##0.0\);_(* "-"??_);_(@_)</c:formatCode>
                <c:ptCount val="17"/>
                <c:pt idx="0">
                  <c:v>50</c:v>
                </c:pt>
                <c:pt idx="1">
                  <c:v>49.999970000018003</c:v>
                </c:pt>
                <c:pt idx="2">
                  <c:v>49.535603715170282</c:v>
                </c:pt>
                <c:pt idx="3">
                  <c:v>48.638435103097912</c:v>
                </c:pt>
                <c:pt idx="4">
                  <c:v>46.70324589427095</c:v>
                </c:pt>
                <c:pt idx="5">
                  <c:v>43.204517049539341</c:v>
                </c:pt>
                <c:pt idx="6">
                  <c:v>37.911397424724278</c:v>
                </c:pt>
                <c:pt idx="7">
                  <c:v>31.250000000000007</c:v>
                </c:pt>
                <c:pt idx="8">
                  <c:v>24.237293574606223</c:v>
                </c:pt>
                <c:pt idx="9">
                  <c:v>17.910937077301888</c:v>
                </c:pt>
                <c:pt idx="10">
                  <c:v>12.833394257733669</c:v>
                </c:pt>
                <c:pt idx="11">
                  <c:v>9.0617112686511732</c:v>
                </c:pt>
                <c:pt idx="12">
                  <c:v>6.3821300358994755</c:v>
                </c:pt>
                <c:pt idx="13">
                  <c:v>5.3646071277932883</c:v>
                </c:pt>
                <c:pt idx="14">
                  <c:v>5.3646071277932883</c:v>
                </c:pt>
                <c:pt idx="15">
                  <c:v>5.3646071277932883</c:v>
                </c:pt>
                <c:pt idx="16">
                  <c:v>5.3646071277932883</c:v>
                </c:pt>
              </c:numCache>
            </c:numRef>
          </c:yVal>
          <c:smooth val="1"/>
          <c:extLst>
            <c:ext xmlns:c16="http://schemas.microsoft.com/office/drawing/2014/chart" uri="{C3380CC4-5D6E-409C-BE32-E72D297353CC}">
              <c16:uniqueId val="{00000002-A0F7-4B65-813E-6A398B843F6B}"/>
            </c:ext>
          </c:extLst>
        </c:ser>
        <c:ser>
          <c:idx val="4"/>
          <c:order val="3"/>
          <c:tx>
            <c:strRef>
              <c:f>'VDF V8'!$E$10</c:f>
              <c:strCache>
                <c:ptCount val="1"/>
                <c:pt idx="0">
                  <c:v>Art (x=0.6, y=4)</c:v>
                </c:pt>
              </c:strCache>
            </c:strRef>
          </c:tx>
          <c:spPr>
            <a:ln w="25400">
              <a:solidFill>
                <a:srgbClr val="3366FF"/>
              </a:solidFill>
              <a:prstDash val="solid"/>
            </a:ln>
          </c:spPr>
          <c:marker>
            <c:symbol val="none"/>
          </c:marker>
          <c:xVal>
            <c:numRef>
              <c:f>'VDF V8'!$A$11:$A$27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V8'!$E$11:$E$27</c:f>
              <c:numCache>
                <c:formatCode>_(* #,##0.0_);_(* \(#,##0.0\);_(* "-"??_);_(@_)</c:formatCode>
                <c:ptCount val="17"/>
                <c:pt idx="0">
                  <c:v>40</c:v>
                </c:pt>
                <c:pt idx="1">
                  <c:v>39.997600143991363</c:v>
                </c:pt>
                <c:pt idx="2">
                  <c:v>38.554216867469876</c:v>
                </c:pt>
                <c:pt idx="3">
                  <c:v>37.11401425178147</c:v>
                </c:pt>
                <c:pt idx="4">
                  <c:v>34.963201230704691</c:v>
                </c:pt>
                <c:pt idx="5">
                  <c:v>32.108913434369384</c:v>
                </c:pt>
                <c:pt idx="6">
                  <c:v>28.701404933771514</c:v>
                </c:pt>
                <c:pt idx="7">
                  <c:v>25.000000000000007</c:v>
                </c:pt>
                <c:pt idx="8">
                  <c:v>21.294038733856461</c:v>
                </c:pt>
                <c:pt idx="9">
                  <c:v>17.824041066590617</c:v>
                </c:pt>
                <c:pt idx="10">
                  <c:v>14.740240118511531</c:v>
                </c:pt>
                <c:pt idx="11">
                  <c:v>12.103020914020137</c:v>
                </c:pt>
                <c:pt idx="12">
                  <c:v>9.9071207430340529</c:v>
                </c:pt>
                <c:pt idx="13">
                  <c:v>8.1100369817686317</c:v>
                </c:pt>
                <c:pt idx="14">
                  <c:v>6.6541789907606663</c:v>
                </c:pt>
                <c:pt idx="15">
                  <c:v>5.4805331462644675</c:v>
                </c:pt>
                <c:pt idx="16">
                  <c:v>5.4805331462644675</c:v>
                </c:pt>
              </c:numCache>
            </c:numRef>
          </c:yVal>
          <c:smooth val="1"/>
          <c:extLst>
            <c:ext xmlns:c16="http://schemas.microsoft.com/office/drawing/2014/chart" uri="{C3380CC4-5D6E-409C-BE32-E72D297353CC}">
              <c16:uniqueId val="{00000003-A0F7-4B65-813E-6A398B843F6B}"/>
            </c:ext>
          </c:extLst>
        </c:ser>
        <c:ser>
          <c:idx val="0"/>
          <c:order val="4"/>
          <c:tx>
            <c:strRef>
              <c:f>'VDF V8'!$F$10</c:f>
              <c:strCache>
                <c:ptCount val="1"/>
                <c:pt idx="0">
                  <c:v>Col (x=0.7, y=3)</c:v>
                </c:pt>
              </c:strCache>
            </c:strRef>
          </c:tx>
          <c:spPr>
            <a:ln w="25400">
              <a:solidFill>
                <a:srgbClr val="808080"/>
              </a:solidFill>
              <a:prstDash val="solid"/>
            </a:ln>
          </c:spPr>
          <c:marker>
            <c:symbol val="none"/>
          </c:marker>
          <c:xVal>
            <c:numRef>
              <c:f>'VDF V8'!$A$11:$A$27</c:f>
              <c:numCache>
                <c:formatCode>0.0</c:formatCode>
                <c:ptCount val="17"/>
                <c:pt idx="0">
                  <c:v>0</c:v>
                </c:pt>
                <c:pt idx="1">
                  <c:v>0.1</c:v>
                </c:pt>
                <c:pt idx="2">
                  <c:v>0.5</c:v>
                </c:pt>
                <c:pt idx="3">
                  <c:v>0.6</c:v>
                </c:pt>
                <c:pt idx="4">
                  <c:v>0.7</c:v>
                </c:pt>
                <c:pt idx="5">
                  <c:v>0.79999999999999993</c:v>
                </c:pt>
                <c:pt idx="6">
                  <c:v>0.89999999999999991</c:v>
                </c:pt>
                <c:pt idx="7">
                  <c:v>0.99999999999999989</c:v>
                </c:pt>
                <c:pt idx="8">
                  <c:v>1.0999999999999999</c:v>
                </c:pt>
                <c:pt idx="9">
                  <c:v>1.2</c:v>
                </c:pt>
                <c:pt idx="10">
                  <c:v>1.3</c:v>
                </c:pt>
                <c:pt idx="11">
                  <c:v>1.4000000000000001</c:v>
                </c:pt>
                <c:pt idx="12">
                  <c:v>1.5000000000000002</c:v>
                </c:pt>
                <c:pt idx="13">
                  <c:v>1.6000000000000003</c:v>
                </c:pt>
                <c:pt idx="14">
                  <c:v>1.7000000000000004</c:v>
                </c:pt>
                <c:pt idx="15">
                  <c:v>2</c:v>
                </c:pt>
                <c:pt idx="16">
                  <c:v>2.5</c:v>
                </c:pt>
              </c:numCache>
            </c:numRef>
          </c:xVal>
          <c:yVal>
            <c:numRef>
              <c:f>'VDF V8'!$F$11:$F$27</c:f>
              <c:numCache>
                <c:formatCode>_(* #,##0.0_);_(* \(#,##0.0\);_(* "-"??_);_(@_)</c:formatCode>
                <c:ptCount val="17"/>
                <c:pt idx="0">
                  <c:v>30</c:v>
                </c:pt>
                <c:pt idx="1">
                  <c:v>29.9790146897172</c:v>
                </c:pt>
                <c:pt idx="2">
                  <c:v>27.586206896551726</c:v>
                </c:pt>
                <c:pt idx="3">
                  <c:v>26.059763724808896</c:v>
                </c:pt>
                <c:pt idx="4">
                  <c:v>24.191597451818403</c:v>
                </c:pt>
                <c:pt idx="5">
                  <c:v>22.084805653710252</c:v>
                </c:pt>
                <c:pt idx="6">
                  <c:v>19.863603257630938</c:v>
                </c:pt>
                <c:pt idx="7">
                  <c:v>17.647058823529413</c:v>
                </c:pt>
                <c:pt idx="8">
                  <c:v>15.530361857431281</c:v>
                </c:pt>
                <c:pt idx="9">
                  <c:v>13.577118030412745</c:v>
                </c:pt>
                <c:pt idx="10">
                  <c:v>11.82079672169904</c:v>
                </c:pt>
                <c:pt idx="11">
                  <c:v>10.271158586688577</c:v>
                </c:pt>
                <c:pt idx="12">
                  <c:v>8.9219330855018555</c:v>
                </c:pt>
                <c:pt idx="13">
                  <c:v>7.7575506826644576</c:v>
                </c:pt>
                <c:pt idx="14">
                  <c:v>6.7581266472933663</c:v>
                </c:pt>
                <c:pt idx="15">
                  <c:v>5.5226878921971316</c:v>
                </c:pt>
                <c:pt idx="16">
                  <c:v>5.5226878921971316</c:v>
                </c:pt>
              </c:numCache>
            </c:numRef>
          </c:yVal>
          <c:smooth val="1"/>
          <c:extLst>
            <c:ext xmlns:c16="http://schemas.microsoft.com/office/drawing/2014/chart" uri="{C3380CC4-5D6E-409C-BE32-E72D297353CC}">
              <c16:uniqueId val="{00000004-A0F7-4B65-813E-6A398B843F6B}"/>
            </c:ext>
          </c:extLst>
        </c:ser>
        <c:dLbls>
          <c:showLegendKey val="0"/>
          <c:showVal val="0"/>
          <c:showCatName val="0"/>
          <c:showSerName val="0"/>
          <c:showPercent val="0"/>
          <c:showBubbleSize val="0"/>
        </c:dLbls>
        <c:axId val="245012320"/>
        <c:axId val="245012712"/>
      </c:scatterChart>
      <c:valAx>
        <c:axId val="245012320"/>
        <c:scaling>
          <c:orientation val="minMax"/>
          <c:max val="1.7"/>
          <c:min val="0"/>
        </c:scaling>
        <c:delete val="0"/>
        <c:axPos val="b"/>
        <c:majorGridlines>
          <c:spPr>
            <a:ln w="25400">
              <a:solidFill>
                <a:srgbClr val="C0C0C0"/>
              </a:solidFill>
              <a:prstDash val="solid"/>
            </a:ln>
          </c:spPr>
        </c:majorGridlines>
        <c:minorGridlines>
          <c:spPr>
            <a:ln w="12700">
              <a:solidFill>
                <a:srgbClr val="C0C0C0"/>
              </a:solidFill>
              <a:prstDash val="solid"/>
            </a:ln>
          </c:spPr>
        </c:minorGridlines>
        <c:title>
          <c:tx>
            <c:rich>
              <a:bodyPr/>
              <a:lstStyle/>
              <a:p>
                <a:pPr>
                  <a:defRPr sz="1400" b="0" i="0" u="none" strike="noStrike" baseline="0">
                    <a:solidFill>
                      <a:srgbClr val="000000"/>
                    </a:solidFill>
                    <a:latin typeface="Calibri"/>
                    <a:ea typeface="Calibri"/>
                    <a:cs typeface="Calibri"/>
                  </a:defRPr>
                </a:pPr>
                <a:r>
                  <a:rPr lang="en-US"/>
                  <a:t>Volume/Capacity Ratio (V/C)</a:t>
                </a:r>
              </a:p>
            </c:rich>
          </c:tx>
          <c:layout>
            <c:manualLayout>
              <c:xMode val="edge"/>
              <c:yMode val="edge"/>
              <c:x val="0.41481531492973001"/>
              <c:y val="0.75726622139793831"/>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Calibri"/>
                <a:ea typeface="Calibri"/>
                <a:cs typeface="Calibri"/>
              </a:defRPr>
            </a:pPr>
            <a:endParaRPr lang="en-US"/>
          </a:p>
        </c:txPr>
        <c:crossAx val="245012712"/>
        <c:crosses val="autoZero"/>
        <c:crossBetween val="midCat"/>
        <c:majorUnit val="0.5"/>
        <c:minorUnit val="0.1"/>
      </c:valAx>
      <c:valAx>
        <c:axId val="245012712"/>
        <c:scaling>
          <c:orientation val="minMax"/>
          <c:min val="0"/>
        </c:scaling>
        <c:delete val="0"/>
        <c:axPos val="l"/>
        <c:majorGridlines>
          <c:spPr>
            <a:ln w="12700">
              <a:solidFill>
                <a:srgbClr val="C0C0C0"/>
              </a:solidFill>
              <a:prstDash val="solid"/>
            </a:ln>
          </c:spPr>
        </c:majorGridlines>
        <c:title>
          <c:tx>
            <c:rich>
              <a:bodyPr/>
              <a:lstStyle/>
              <a:p>
                <a:pPr>
                  <a:defRPr sz="1400" b="0" i="0" u="none" strike="noStrike" baseline="0">
                    <a:solidFill>
                      <a:srgbClr val="000000"/>
                    </a:solidFill>
                    <a:latin typeface="Calibri"/>
                    <a:ea typeface="Calibri"/>
                    <a:cs typeface="Calibri"/>
                  </a:defRPr>
                </a:pPr>
                <a:r>
                  <a:rPr lang="en-US"/>
                  <a:t>Speed (mph)</a:t>
                </a:r>
              </a:p>
            </c:rich>
          </c:tx>
          <c:layout>
            <c:manualLayout>
              <c:xMode val="edge"/>
              <c:yMode val="edge"/>
              <c:x val="3.3333373521139027E-2"/>
              <c:y val="0.32991508065418157"/>
            </c:manualLayout>
          </c:layout>
          <c:overlay val="0"/>
          <c:spPr>
            <a:noFill/>
            <a:ln w="25400">
              <a:noFill/>
            </a:ln>
          </c:spPr>
        </c:title>
        <c:numFmt formatCode="_(* #,##0_);_(* \(#,##0\);_(* &quot;-&quot;??_);_(@_)"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Calibri"/>
                <a:ea typeface="Calibri"/>
                <a:cs typeface="Calibri"/>
              </a:defRPr>
            </a:pPr>
            <a:endParaRPr lang="en-US"/>
          </a:p>
        </c:txPr>
        <c:crossAx val="245012320"/>
        <c:crosses val="autoZero"/>
        <c:crossBetween val="midCat"/>
      </c:valAx>
      <c:spPr>
        <a:noFill/>
        <a:ln w="25400">
          <a:noFill/>
        </a:ln>
      </c:spPr>
    </c:plotArea>
    <c:legend>
      <c:legendPos val="b"/>
      <c:layout>
        <c:manualLayout>
          <c:xMode val="edge"/>
          <c:yMode val="edge"/>
          <c:x val="0.10123468995308897"/>
          <c:y val="0.84786466323561571"/>
          <c:w val="0.81358122779372566"/>
          <c:h val="0.11282070115635209"/>
        </c:manualLayout>
      </c:layout>
      <c:overlay val="0"/>
      <c:spPr>
        <a:solidFill>
          <a:srgbClr val="FFFFFF"/>
        </a:solidFill>
        <a:ln w="25400">
          <a:noFill/>
        </a:ln>
      </c:spPr>
      <c:txPr>
        <a:bodyPr/>
        <a:lstStyle/>
        <a:p>
          <a:pPr>
            <a:defRPr sz="1285"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C0C0C0"/>
      </a:solidFill>
      <a:prstDash val="solid"/>
    </a:ln>
  </c:spPr>
  <c:txPr>
    <a:bodyPr/>
    <a:lstStyle/>
    <a:p>
      <a:pPr>
        <a:defRPr sz="1725" b="0" i="0" u="none" strike="noStrike" baseline="0">
          <a:solidFill>
            <a:srgbClr val="000000"/>
          </a:solidFill>
          <a:latin typeface="Calibri"/>
          <a:ea typeface="Calibri"/>
          <a:cs typeface="Calibri"/>
        </a:defRPr>
      </a:pPr>
      <a:endParaRPr lang="en-US"/>
    </a:p>
  </c:txPr>
  <c:printSettings>
    <c:headerFooter alignWithMargins="0"/>
    <c:pageMargins b="1" l="0.75000000000000078" r="0.75000000000000078" t="1" header="0.5" footer="0.5"/>
    <c:pageSetup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Capacity by Area Type</a:t>
            </a:r>
          </a:p>
        </c:rich>
      </c:tx>
      <c:overlay val="0"/>
    </c:title>
    <c:autoTitleDeleted val="0"/>
    <c:plotArea>
      <c:layout>
        <c:manualLayout>
          <c:layoutTarget val="inner"/>
          <c:xMode val="edge"/>
          <c:yMode val="edge"/>
          <c:x val="8.4893306030901158E-2"/>
          <c:y val="0.13250319799394841"/>
          <c:w val="0.89342553336120689"/>
          <c:h val="0.61226328707906308"/>
        </c:manualLayout>
      </c:layout>
      <c:lineChart>
        <c:grouping val="standard"/>
        <c:varyColors val="0"/>
        <c:ser>
          <c:idx val="0"/>
          <c:order val="0"/>
          <c:tx>
            <c:strRef>
              <c:f>'Cap1hr1ln V8'!$W$7:$Y$7</c:f>
              <c:strCache>
                <c:ptCount val="3"/>
                <c:pt idx="0">
                  <c:v>Principal Arterial, 2 lanes</c:v>
                </c:pt>
              </c:strCache>
            </c:strRef>
          </c:tx>
          <c:spPr>
            <a:ln w="25400">
              <a:solidFill>
                <a:srgbClr val="FF0000"/>
              </a:solidFill>
            </a:ln>
          </c:spPr>
          <c:marker>
            <c:spPr>
              <a:noFill/>
              <a:ln>
                <a:solidFill>
                  <a:srgbClr val="FF0000"/>
                </a:solidFill>
              </a:ln>
            </c:spPr>
          </c:marker>
          <c:cat>
            <c:strRef>
              <c:f>'Cap1hr1ln V8'!$Z$6:$AD$6</c:f>
              <c:strCache>
                <c:ptCount val="5"/>
                <c:pt idx="0">
                  <c:v>Rural</c:v>
                </c:pt>
                <c:pt idx="1">
                  <c:v>Transition</c:v>
                </c:pt>
                <c:pt idx="2">
                  <c:v>Suburban</c:v>
                </c:pt>
                <c:pt idx="3">
                  <c:v>Urban</c:v>
                </c:pt>
                <c:pt idx="4">
                  <c:v>CBD</c:v>
                </c:pt>
              </c:strCache>
            </c:strRef>
          </c:cat>
          <c:val>
            <c:numRef>
              <c:f>'Cap1hr1ln V8'!$Z$7:$AD$7</c:f>
              <c:numCache>
                <c:formatCode>_(* #,##0_);_(* \(#,##0\);_(* "-"??_);_(@_)</c:formatCode>
                <c:ptCount val="5"/>
                <c:pt idx="0">
                  <c:v>981.24998400000004</c:v>
                </c:pt>
                <c:pt idx="1">
                  <c:v>936.64771200000007</c:v>
                </c:pt>
                <c:pt idx="2">
                  <c:v>892.04543999999999</c:v>
                </c:pt>
                <c:pt idx="3">
                  <c:v>847.4431679999999</c:v>
                </c:pt>
                <c:pt idx="4">
                  <c:v>802.84089600000004</c:v>
                </c:pt>
              </c:numCache>
            </c:numRef>
          </c:val>
          <c:smooth val="0"/>
          <c:extLst>
            <c:ext xmlns:c16="http://schemas.microsoft.com/office/drawing/2014/chart" uri="{C3380CC4-5D6E-409C-BE32-E72D297353CC}">
              <c16:uniqueId val="{00000000-A05B-4017-9D4A-77BDE127290A}"/>
            </c:ext>
          </c:extLst>
        </c:ser>
        <c:ser>
          <c:idx val="1"/>
          <c:order val="1"/>
          <c:tx>
            <c:strRef>
              <c:f>'Cap1hr1ln V8'!$W$8:$Y$8</c:f>
              <c:strCache>
                <c:ptCount val="3"/>
                <c:pt idx="0">
                  <c:v>Principal Arterial, 3 lanes</c:v>
                </c:pt>
              </c:strCache>
            </c:strRef>
          </c:tx>
          <c:spPr>
            <a:ln w="25400">
              <a:solidFill>
                <a:srgbClr val="FF0000"/>
              </a:solidFill>
              <a:prstDash val="dash"/>
            </a:ln>
          </c:spPr>
          <c:marker>
            <c:symbol val="none"/>
          </c:marker>
          <c:cat>
            <c:strRef>
              <c:f>'Cap1hr1ln V8'!$Z$6:$AD$6</c:f>
              <c:strCache>
                <c:ptCount val="5"/>
                <c:pt idx="0">
                  <c:v>Rural</c:v>
                </c:pt>
                <c:pt idx="1">
                  <c:v>Transition</c:v>
                </c:pt>
                <c:pt idx="2">
                  <c:v>Suburban</c:v>
                </c:pt>
                <c:pt idx="3">
                  <c:v>Urban</c:v>
                </c:pt>
                <c:pt idx="4">
                  <c:v>CBD</c:v>
                </c:pt>
              </c:strCache>
            </c:strRef>
          </c:cat>
          <c:val>
            <c:numRef>
              <c:f>'Cap1hr1ln V8'!$Z$8:$AD$8</c:f>
              <c:numCache>
                <c:formatCode>_(* #,##0_);_(* \(#,##0\);_(* "-"??_);_(@_)</c:formatCode>
                <c:ptCount val="5"/>
                <c:pt idx="0">
                  <c:v>939.93419520000009</c:v>
                </c:pt>
                <c:pt idx="1">
                  <c:v>897.20991360000005</c:v>
                </c:pt>
                <c:pt idx="2">
                  <c:v>854.48563200000001</c:v>
                </c:pt>
                <c:pt idx="3">
                  <c:v>811.76135039999997</c:v>
                </c:pt>
                <c:pt idx="4">
                  <c:v>769.03706880000004</c:v>
                </c:pt>
              </c:numCache>
            </c:numRef>
          </c:val>
          <c:smooth val="0"/>
          <c:extLst>
            <c:ext xmlns:c16="http://schemas.microsoft.com/office/drawing/2014/chart" uri="{C3380CC4-5D6E-409C-BE32-E72D297353CC}">
              <c16:uniqueId val="{00000001-A05B-4017-9D4A-77BDE127290A}"/>
            </c:ext>
          </c:extLst>
        </c:ser>
        <c:ser>
          <c:idx val="2"/>
          <c:order val="2"/>
          <c:tx>
            <c:strRef>
              <c:f>'Cap1hr1ln V8'!$W$9:$Y$9</c:f>
              <c:strCache>
                <c:ptCount val="3"/>
                <c:pt idx="0">
                  <c:v>Minor Arterial, 2 lanes</c:v>
                </c:pt>
              </c:strCache>
            </c:strRef>
          </c:tx>
          <c:spPr>
            <a:ln w="25400">
              <a:solidFill>
                <a:srgbClr val="008000"/>
              </a:solidFill>
            </a:ln>
          </c:spPr>
          <c:marker>
            <c:spPr>
              <a:noFill/>
              <a:ln>
                <a:solidFill>
                  <a:srgbClr val="008000"/>
                </a:solidFill>
              </a:ln>
            </c:spPr>
          </c:marker>
          <c:cat>
            <c:strRef>
              <c:f>'Cap1hr1ln V8'!$Z$6:$AD$6</c:f>
              <c:strCache>
                <c:ptCount val="5"/>
                <c:pt idx="0">
                  <c:v>Rural</c:v>
                </c:pt>
                <c:pt idx="1">
                  <c:v>Transition</c:v>
                </c:pt>
                <c:pt idx="2">
                  <c:v>Suburban</c:v>
                </c:pt>
                <c:pt idx="3">
                  <c:v>Urban</c:v>
                </c:pt>
                <c:pt idx="4">
                  <c:v>CBD</c:v>
                </c:pt>
              </c:strCache>
            </c:strRef>
          </c:cat>
          <c:val>
            <c:numRef>
              <c:f>'Cap1hr1ln V8'!$Z$9:$AD$9</c:f>
              <c:numCache>
                <c:formatCode>_(* #,##0_);_(* \(#,##0\);_(* "-"??_);_(@_)</c:formatCode>
                <c:ptCount val="5"/>
                <c:pt idx="0">
                  <c:v>886.89902400000005</c:v>
                </c:pt>
                <c:pt idx="1">
                  <c:v>846.58543200000008</c:v>
                </c:pt>
                <c:pt idx="2">
                  <c:v>806.27184</c:v>
                </c:pt>
                <c:pt idx="3">
                  <c:v>765.95824799999991</c:v>
                </c:pt>
                <c:pt idx="4">
                  <c:v>725.64465600000005</c:v>
                </c:pt>
              </c:numCache>
            </c:numRef>
          </c:val>
          <c:smooth val="0"/>
          <c:extLst>
            <c:ext xmlns:c16="http://schemas.microsoft.com/office/drawing/2014/chart" uri="{C3380CC4-5D6E-409C-BE32-E72D297353CC}">
              <c16:uniqueId val="{00000002-A05B-4017-9D4A-77BDE127290A}"/>
            </c:ext>
          </c:extLst>
        </c:ser>
        <c:ser>
          <c:idx val="3"/>
          <c:order val="3"/>
          <c:tx>
            <c:strRef>
              <c:f>'Cap1hr1ln V8'!$W$10:$Y$10</c:f>
              <c:strCache>
                <c:ptCount val="3"/>
                <c:pt idx="0">
                  <c:v>Minor Arterial, 3 lanes</c:v>
                </c:pt>
              </c:strCache>
            </c:strRef>
          </c:tx>
          <c:spPr>
            <a:ln w="25400">
              <a:solidFill>
                <a:srgbClr val="008000"/>
              </a:solidFill>
              <a:prstDash val="dash"/>
            </a:ln>
          </c:spPr>
          <c:marker>
            <c:symbol val="none"/>
          </c:marker>
          <c:cat>
            <c:strRef>
              <c:f>'Cap1hr1ln V8'!$Z$6:$AD$6</c:f>
              <c:strCache>
                <c:ptCount val="5"/>
                <c:pt idx="0">
                  <c:v>Rural</c:v>
                </c:pt>
                <c:pt idx="1">
                  <c:v>Transition</c:v>
                </c:pt>
                <c:pt idx="2">
                  <c:v>Suburban</c:v>
                </c:pt>
                <c:pt idx="3">
                  <c:v>Urban</c:v>
                </c:pt>
                <c:pt idx="4">
                  <c:v>CBD</c:v>
                </c:pt>
              </c:strCache>
            </c:strRef>
          </c:cat>
          <c:val>
            <c:numRef>
              <c:f>'Cap1hr1ln V8'!$Z$10:$AD$10</c:f>
              <c:numCache>
                <c:formatCode>_(* #,##0_);_(* \(#,##0\);_(* "-"??_);_(@_)</c:formatCode>
                <c:ptCount val="5"/>
                <c:pt idx="0">
                  <c:v>849.55590719999998</c:v>
                </c:pt>
                <c:pt idx="1">
                  <c:v>810.93972959999996</c:v>
                </c:pt>
                <c:pt idx="2">
                  <c:v>772.32355199999995</c:v>
                </c:pt>
                <c:pt idx="3">
                  <c:v>733.70737439999994</c:v>
                </c:pt>
                <c:pt idx="4">
                  <c:v>695.09119679999992</c:v>
                </c:pt>
              </c:numCache>
            </c:numRef>
          </c:val>
          <c:smooth val="0"/>
          <c:extLst>
            <c:ext xmlns:c16="http://schemas.microsoft.com/office/drawing/2014/chart" uri="{C3380CC4-5D6E-409C-BE32-E72D297353CC}">
              <c16:uniqueId val="{00000003-A05B-4017-9D4A-77BDE127290A}"/>
            </c:ext>
          </c:extLst>
        </c:ser>
        <c:ser>
          <c:idx val="4"/>
          <c:order val="4"/>
          <c:tx>
            <c:strRef>
              <c:f>'Cap1hr1ln V8'!$W$11:$Y$11</c:f>
              <c:strCache>
                <c:ptCount val="3"/>
                <c:pt idx="0">
                  <c:v>Major Collector, 1 lane</c:v>
                </c:pt>
              </c:strCache>
            </c:strRef>
          </c:tx>
          <c:spPr>
            <a:ln w="25400">
              <a:solidFill>
                <a:srgbClr val="0000FF"/>
              </a:solidFill>
            </a:ln>
          </c:spPr>
          <c:marker>
            <c:spPr>
              <a:ln>
                <a:solidFill>
                  <a:srgbClr val="0000FF"/>
                </a:solidFill>
              </a:ln>
            </c:spPr>
          </c:marker>
          <c:cat>
            <c:strRef>
              <c:f>'Cap1hr1ln V8'!$Z$6:$AD$6</c:f>
              <c:strCache>
                <c:ptCount val="5"/>
                <c:pt idx="0">
                  <c:v>Rural</c:v>
                </c:pt>
                <c:pt idx="1">
                  <c:v>Transition</c:v>
                </c:pt>
                <c:pt idx="2">
                  <c:v>Suburban</c:v>
                </c:pt>
                <c:pt idx="3">
                  <c:v>Urban</c:v>
                </c:pt>
                <c:pt idx="4">
                  <c:v>CBD</c:v>
                </c:pt>
              </c:strCache>
            </c:strRef>
          </c:cat>
          <c:val>
            <c:numRef>
              <c:f>'Cap1hr1ln V8'!$Z$11:$AD$11</c:f>
              <c:numCache>
                <c:formatCode>_(* #,##0_);_(* \(#,##0\);_(* "-"??_);_(@_)</c:formatCode>
                <c:ptCount val="5"/>
                <c:pt idx="0">
                  <c:v>733.04000000000019</c:v>
                </c:pt>
                <c:pt idx="1">
                  <c:v>699.72000000000014</c:v>
                </c:pt>
                <c:pt idx="2">
                  <c:v>666.40000000000009</c:v>
                </c:pt>
                <c:pt idx="3">
                  <c:v>633.08000000000004</c:v>
                </c:pt>
                <c:pt idx="4">
                  <c:v>599.7600000000001</c:v>
                </c:pt>
              </c:numCache>
            </c:numRef>
          </c:val>
          <c:smooth val="0"/>
          <c:extLst>
            <c:ext xmlns:c16="http://schemas.microsoft.com/office/drawing/2014/chart" uri="{C3380CC4-5D6E-409C-BE32-E72D297353CC}">
              <c16:uniqueId val="{00000004-A05B-4017-9D4A-77BDE127290A}"/>
            </c:ext>
          </c:extLst>
        </c:ser>
        <c:ser>
          <c:idx val="5"/>
          <c:order val="5"/>
          <c:tx>
            <c:strRef>
              <c:f>'Cap1hr1ln V8'!$W$12:$Y$12</c:f>
              <c:strCache>
                <c:ptCount val="3"/>
                <c:pt idx="0">
                  <c:v>Major Collector, 2 lanes</c:v>
                </c:pt>
              </c:strCache>
            </c:strRef>
          </c:tx>
          <c:spPr>
            <a:ln w="25400">
              <a:solidFill>
                <a:srgbClr val="0000FF"/>
              </a:solidFill>
              <a:prstDash val="dash"/>
            </a:ln>
          </c:spPr>
          <c:marker>
            <c:symbol val="none"/>
          </c:marker>
          <c:cat>
            <c:strRef>
              <c:f>'Cap1hr1ln V8'!$Z$6:$AD$6</c:f>
              <c:strCache>
                <c:ptCount val="5"/>
                <c:pt idx="0">
                  <c:v>Rural</c:v>
                </c:pt>
                <c:pt idx="1">
                  <c:v>Transition</c:v>
                </c:pt>
                <c:pt idx="2">
                  <c:v>Suburban</c:v>
                </c:pt>
                <c:pt idx="3">
                  <c:v>Urban</c:v>
                </c:pt>
                <c:pt idx="4">
                  <c:v>CBD</c:v>
                </c:pt>
              </c:strCache>
            </c:strRef>
          </c:cat>
          <c:val>
            <c:numRef>
              <c:f>'Cap1hr1ln V8'!$Z$12:$AD$12</c:f>
              <c:numCache>
                <c:formatCode>_(* #,##0_);_(* \(#,##0\);_(* "-"??_);_(@_)</c:formatCode>
                <c:ptCount val="5"/>
                <c:pt idx="0">
                  <c:v>696.38799999999992</c:v>
                </c:pt>
                <c:pt idx="1">
                  <c:v>664.73399999999992</c:v>
                </c:pt>
                <c:pt idx="2">
                  <c:v>633.07999999999993</c:v>
                </c:pt>
                <c:pt idx="3">
                  <c:v>601.42599999999993</c:v>
                </c:pt>
                <c:pt idx="4">
                  <c:v>569.77199999999993</c:v>
                </c:pt>
              </c:numCache>
            </c:numRef>
          </c:val>
          <c:smooth val="0"/>
          <c:extLst>
            <c:ext xmlns:c16="http://schemas.microsoft.com/office/drawing/2014/chart" uri="{C3380CC4-5D6E-409C-BE32-E72D297353CC}">
              <c16:uniqueId val="{00000005-A05B-4017-9D4A-77BDE127290A}"/>
            </c:ext>
          </c:extLst>
        </c:ser>
        <c:ser>
          <c:idx val="6"/>
          <c:order val="6"/>
          <c:tx>
            <c:strRef>
              <c:f>'Cap1hr1ln V8'!$W$13:$Y$13</c:f>
              <c:strCache>
                <c:ptCount val="3"/>
                <c:pt idx="0">
                  <c:v>Minor Collector, 1 lane</c:v>
                </c:pt>
              </c:strCache>
            </c:strRef>
          </c:tx>
          <c:spPr>
            <a:ln w="25400">
              <a:solidFill>
                <a:srgbClr val="FF80FF"/>
              </a:solidFill>
            </a:ln>
          </c:spPr>
          <c:marker>
            <c:spPr>
              <a:ln>
                <a:solidFill>
                  <a:srgbClr val="FF80FF"/>
                </a:solidFill>
              </a:ln>
            </c:spPr>
          </c:marker>
          <c:cat>
            <c:strRef>
              <c:f>'Cap1hr1ln V8'!$Z$6:$AD$6</c:f>
              <c:strCache>
                <c:ptCount val="5"/>
                <c:pt idx="0">
                  <c:v>Rural</c:v>
                </c:pt>
                <c:pt idx="1">
                  <c:v>Transition</c:v>
                </c:pt>
                <c:pt idx="2">
                  <c:v>Suburban</c:v>
                </c:pt>
                <c:pt idx="3">
                  <c:v>Urban</c:v>
                </c:pt>
                <c:pt idx="4">
                  <c:v>CBD</c:v>
                </c:pt>
              </c:strCache>
            </c:strRef>
          </c:cat>
          <c:val>
            <c:numRef>
              <c:f>'Cap1hr1ln V8'!$Z$13:$AD$13</c:f>
              <c:numCache>
                <c:formatCode>_(* #,##0_);_(* \(#,##0\);_(* "-"??_);_(@_)</c:formatCode>
                <c:ptCount val="5"/>
                <c:pt idx="0">
                  <c:v>565.95000000000005</c:v>
                </c:pt>
                <c:pt idx="1">
                  <c:v>540.22500000000002</c:v>
                </c:pt>
                <c:pt idx="2">
                  <c:v>514.5</c:v>
                </c:pt>
                <c:pt idx="3">
                  <c:v>488.77499999999998</c:v>
                </c:pt>
                <c:pt idx="4">
                  <c:v>463.05</c:v>
                </c:pt>
              </c:numCache>
            </c:numRef>
          </c:val>
          <c:smooth val="0"/>
          <c:extLst>
            <c:ext xmlns:c16="http://schemas.microsoft.com/office/drawing/2014/chart" uri="{C3380CC4-5D6E-409C-BE32-E72D297353CC}">
              <c16:uniqueId val="{00000006-A05B-4017-9D4A-77BDE127290A}"/>
            </c:ext>
          </c:extLst>
        </c:ser>
        <c:dLbls>
          <c:showLegendKey val="0"/>
          <c:showVal val="0"/>
          <c:showCatName val="0"/>
          <c:showSerName val="0"/>
          <c:showPercent val="0"/>
          <c:showBubbleSize val="0"/>
        </c:dLbls>
        <c:marker val="1"/>
        <c:smooth val="0"/>
        <c:axId val="245013496"/>
        <c:axId val="243894600"/>
      </c:lineChart>
      <c:catAx>
        <c:axId val="245013496"/>
        <c:scaling>
          <c:orientation val="minMax"/>
        </c:scaling>
        <c:delete val="0"/>
        <c:axPos val="b"/>
        <c:numFmt formatCode="General" sourceLinked="0"/>
        <c:majorTickMark val="out"/>
        <c:minorTickMark val="none"/>
        <c:tickLblPos val="nextTo"/>
        <c:txPr>
          <a:bodyPr/>
          <a:lstStyle/>
          <a:p>
            <a:pPr>
              <a:defRPr sz="1100" b="1" i="0" baseline="0"/>
            </a:pPr>
            <a:endParaRPr lang="en-US"/>
          </a:p>
        </c:txPr>
        <c:crossAx val="243894600"/>
        <c:crosses val="autoZero"/>
        <c:auto val="1"/>
        <c:lblAlgn val="ctr"/>
        <c:lblOffset val="100"/>
        <c:noMultiLvlLbl val="0"/>
      </c:catAx>
      <c:valAx>
        <c:axId val="243894600"/>
        <c:scaling>
          <c:orientation val="minMax"/>
          <c:max val="1000"/>
          <c:min val="400"/>
        </c:scaling>
        <c:delete val="0"/>
        <c:axPos val="l"/>
        <c:majorGridlines/>
        <c:numFmt formatCode="_(* #,##0_);_(* \(#,##0\);_(* &quot;-&quot;??_);_(@_)" sourceLinked="1"/>
        <c:majorTickMark val="out"/>
        <c:minorTickMark val="none"/>
        <c:tickLblPos val="nextTo"/>
        <c:crossAx val="245013496"/>
        <c:crosses val="autoZero"/>
        <c:crossBetween val="between"/>
      </c:valAx>
    </c:plotArea>
    <c:legend>
      <c:legendPos val="r"/>
      <c:layout>
        <c:manualLayout>
          <c:xMode val="edge"/>
          <c:yMode val="edge"/>
          <c:x val="0.11186935680672044"/>
          <c:y val="0.820286501576867"/>
          <c:w val="0.83294223437319093"/>
          <c:h val="0.15927881920070855"/>
        </c:manualLayout>
      </c:layout>
      <c:overlay val="1"/>
      <c:spPr>
        <a:solidFill>
          <a:srgbClr val="FFFFFF"/>
        </a:solidFill>
      </c:spPr>
      <c:txPr>
        <a:bodyPr/>
        <a:lstStyle/>
        <a:p>
          <a:pPr>
            <a:defRPr sz="900" baseline="0"/>
          </a:pPr>
          <a:endParaRPr lang="en-US"/>
        </a:p>
      </c:txPr>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Hourly Capacity per Direction, FT 32 Freeway</a:t>
            </a:r>
            <a:endParaRPr lang="en-US"/>
          </a:p>
        </c:rich>
      </c:tx>
      <c:overlay val="0"/>
      <c:spPr>
        <a:noFill/>
        <a:ln w="25400">
          <a:noFill/>
        </a:ln>
      </c:spPr>
    </c:title>
    <c:autoTitleDeleted val="0"/>
    <c:plotArea>
      <c:layout>
        <c:manualLayout>
          <c:layoutTarget val="inner"/>
          <c:xMode val="edge"/>
          <c:yMode val="edge"/>
          <c:x val="0.14476717555093577"/>
          <c:y val="0.15596363721797704"/>
          <c:w val="0.65724297700124601"/>
          <c:h val="0.64059371780667496"/>
        </c:manualLayout>
      </c:layout>
      <c:scatterChart>
        <c:scatterStyle val="smoothMarker"/>
        <c:varyColors val="0"/>
        <c:ser>
          <c:idx val="0"/>
          <c:order val="0"/>
          <c:tx>
            <c:strRef>
              <c:f>'Cap1hr1ln V8'!$AJ$32</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V8'!$AI$33:$AI$38</c:f>
              <c:numCache>
                <c:formatCode>General</c:formatCode>
                <c:ptCount val="6"/>
                <c:pt idx="0">
                  <c:v>2</c:v>
                </c:pt>
                <c:pt idx="1">
                  <c:v>3</c:v>
                </c:pt>
                <c:pt idx="2">
                  <c:v>4</c:v>
                </c:pt>
                <c:pt idx="3">
                  <c:v>5</c:v>
                </c:pt>
                <c:pt idx="4">
                  <c:v>6</c:v>
                </c:pt>
                <c:pt idx="5">
                  <c:v>7</c:v>
                </c:pt>
              </c:numCache>
            </c:numRef>
          </c:xVal>
          <c:yVal>
            <c:numRef>
              <c:f>'Cap1hr1ln V8'!$AJ$33:$AJ$38</c:f>
              <c:numCache>
                <c:formatCode>_(* #,##0_);_(* \(#,##0\);_(* "-"??_);_(@_)</c:formatCode>
                <c:ptCount val="6"/>
                <c:pt idx="0">
                  <c:v>3995</c:v>
                </c:pt>
                <c:pt idx="1">
                  <c:v>5992.5</c:v>
                </c:pt>
                <c:pt idx="2">
                  <c:v>7990</c:v>
                </c:pt>
                <c:pt idx="3">
                  <c:v>9987.5</c:v>
                </c:pt>
                <c:pt idx="4">
                  <c:v>11985</c:v>
                </c:pt>
                <c:pt idx="5">
                  <c:v>13982.5</c:v>
                </c:pt>
              </c:numCache>
            </c:numRef>
          </c:yVal>
          <c:smooth val="1"/>
          <c:extLst>
            <c:ext xmlns:c16="http://schemas.microsoft.com/office/drawing/2014/chart" uri="{C3380CC4-5D6E-409C-BE32-E72D297353CC}">
              <c16:uniqueId val="{00000000-0A8E-4D6F-B133-82953F86DDAF}"/>
            </c:ext>
          </c:extLst>
        </c:ser>
        <c:ser>
          <c:idx val="1"/>
          <c:order val="1"/>
          <c:tx>
            <c:strRef>
              <c:f>'Cap1hr1ln V8'!$AK$32</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V8'!$AI$33:$AI$38</c:f>
              <c:numCache>
                <c:formatCode>General</c:formatCode>
                <c:ptCount val="6"/>
                <c:pt idx="0">
                  <c:v>2</c:v>
                </c:pt>
                <c:pt idx="1">
                  <c:v>3</c:v>
                </c:pt>
                <c:pt idx="2">
                  <c:v>4</c:v>
                </c:pt>
                <c:pt idx="3">
                  <c:v>5</c:v>
                </c:pt>
                <c:pt idx="4">
                  <c:v>6</c:v>
                </c:pt>
                <c:pt idx="5">
                  <c:v>7</c:v>
                </c:pt>
              </c:numCache>
            </c:numRef>
          </c:xVal>
          <c:yVal>
            <c:numRef>
              <c:f>'Cap1hr1ln V8'!$AK$33:$AK$38</c:f>
              <c:numCache>
                <c:formatCode>_(* #,##0_);_(* \(#,##0\);_(* "-"??_);_(@_)</c:formatCode>
                <c:ptCount val="6"/>
                <c:pt idx="0">
                  <c:v>4210.6062500000007</c:v>
                </c:pt>
                <c:pt idx="1">
                  <c:v>5702.6139062499997</c:v>
                </c:pt>
                <c:pt idx="2">
                  <c:v>7089.3033750000004</c:v>
                </c:pt>
                <c:pt idx="3">
                  <c:v>8423.3337499999998</c:v>
                </c:pt>
                <c:pt idx="4">
                  <c:v>9757.3641250000001</c:v>
                </c:pt>
                <c:pt idx="5">
                  <c:v>11021.182375</c:v>
                </c:pt>
              </c:numCache>
            </c:numRef>
          </c:yVal>
          <c:smooth val="1"/>
          <c:extLst>
            <c:ext xmlns:c16="http://schemas.microsoft.com/office/drawing/2014/chart" uri="{C3380CC4-5D6E-409C-BE32-E72D297353CC}">
              <c16:uniqueId val="{00000001-0A8E-4D6F-B133-82953F86DDAF}"/>
            </c:ext>
          </c:extLst>
        </c:ser>
        <c:dLbls>
          <c:showLegendKey val="0"/>
          <c:showVal val="0"/>
          <c:showCatName val="0"/>
          <c:showSerName val="0"/>
          <c:showPercent val="0"/>
          <c:showBubbleSize val="0"/>
        </c:dLbls>
        <c:axId val="243895384"/>
        <c:axId val="243895776"/>
      </c:scatterChart>
      <c:valAx>
        <c:axId val="243895384"/>
        <c:scaling>
          <c:orientation val="minMax"/>
        </c:scaling>
        <c:delete val="0"/>
        <c:axPos val="b"/>
        <c:title>
          <c:tx>
            <c:rich>
              <a:bodyPr/>
              <a:lstStyle/>
              <a:p>
                <a:pPr>
                  <a:defRPr/>
                </a:pPr>
                <a:r>
                  <a:rPr lang="en-US"/>
                  <a:t>Total Lanes</a:t>
                </a:r>
              </a:p>
            </c:rich>
          </c:tx>
          <c:layout>
            <c:manualLayout>
              <c:xMode val="edge"/>
              <c:yMode val="edge"/>
              <c:x val="0.43107474253907063"/>
              <c:y val="0.8893830405215909"/>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3895776"/>
        <c:crosses val="autoZero"/>
        <c:crossBetween val="midCat"/>
      </c:valAx>
      <c:valAx>
        <c:axId val="243895776"/>
        <c:scaling>
          <c:orientation val="minMax"/>
          <c:min val="4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3895384"/>
        <c:crosses val="autoZero"/>
        <c:crossBetween val="midCat"/>
      </c:valAx>
    </c:plotArea>
    <c:legend>
      <c:legendPos val="r"/>
      <c:layout>
        <c:manualLayout>
          <c:xMode val="edge"/>
          <c:yMode val="edge"/>
          <c:x val="0.14950605136033324"/>
          <c:y val="0.17844612624920517"/>
          <c:w val="0.28808672828939952"/>
          <c:h val="0.15928197078259154"/>
        </c:manualLayout>
      </c:layout>
      <c:overlay val="0"/>
      <c:spPr>
        <a:solidFill>
          <a:sysClr val="window" lastClr="FFFFFF"/>
        </a:solidFill>
      </c:spPr>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Daily Capacity, Both Directions, FT 32 Freeway</a:t>
            </a:r>
            <a:endParaRPr lang="en-US"/>
          </a:p>
        </c:rich>
      </c:tx>
      <c:overlay val="0"/>
      <c:spPr>
        <a:noFill/>
        <a:ln w="25400">
          <a:noFill/>
        </a:ln>
      </c:spPr>
    </c:title>
    <c:autoTitleDeleted val="0"/>
    <c:plotArea>
      <c:layout>
        <c:manualLayout>
          <c:layoutTarget val="inner"/>
          <c:xMode val="edge"/>
          <c:yMode val="edge"/>
          <c:x val="0.16213923661704746"/>
          <c:y val="0.31192727443595414"/>
          <c:w val="0.62394652662453343"/>
          <c:h val="0.45793578587405992"/>
        </c:manualLayout>
      </c:layout>
      <c:scatterChart>
        <c:scatterStyle val="smoothMarker"/>
        <c:varyColors val="0"/>
        <c:ser>
          <c:idx val="0"/>
          <c:order val="0"/>
          <c:tx>
            <c:strRef>
              <c:f>'Cap1hr1ln V8'!$AJ$41</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V8'!$AI$42:$AI$47</c:f>
              <c:numCache>
                <c:formatCode>General</c:formatCode>
                <c:ptCount val="6"/>
                <c:pt idx="0">
                  <c:v>2</c:v>
                </c:pt>
                <c:pt idx="1">
                  <c:v>3</c:v>
                </c:pt>
                <c:pt idx="2">
                  <c:v>4</c:v>
                </c:pt>
                <c:pt idx="3">
                  <c:v>5</c:v>
                </c:pt>
                <c:pt idx="4">
                  <c:v>6</c:v>
                </c:pt>
                <c:pt idx="5">
                  <c:v>7</c:v>
                </c:pt>
              </c:numCache>
            </c:numRef>
          </c:xVal>
          <c:yVal>
            <c:numRef>
              <c:f>'Cap1hr1ln V8'!$AJ$42:$AJ$47</c:f>
              <c:numCache>
                <c:formatCode>_(* #,##0_);_(* \(#,##0\);_(* "-"??_);_(@_)</c:formatCode>
                <c:ptCount val="6"/>
                <c:pt idx="0">
                  <c:v>89000</c:v>
                </c:pt>
                <c:pt idx="1">
                  <c:v>133000</c:v>
                </c:pt>
                <c:pt idx="2">
                  <c:v>178000</c:v>
                </c:pt>
                <c:pt idx="3">
                  <c:v>222000</c:v>
                </c:pt>
                <c:pt idx="4">
                  <c:v>266000</c:v>
                </c:pt>
                <c:pt idx="5">
                  <c:v>311000</c:v>
                </c:pt>
              </c:numCache>
            </c:numRef>
          </c:yVal>
          <c:smooth val="1"/>
          <c:extLst>
            <c:ext xmlns:c16="http://schemas.microsoft.com/office/drawing/2014/chart" uri="{C3380CC4-5D6E-409C-BE32-E72D297353CC}">
              <c16:uniqueId val="{00000000-7DE0-4F4B-BD91-46CEAADFE5F8}"/>
            </c:ext>
          </c:extLst>
        </c:ser>
        <c:ser>
          <c:idx val="1"/>
          <c:order val="1"/>
          <c:tx>
            <c:strRef>
              <c:f>'Cap1hr1ln V8'!$AK$41</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V8'!$AI$42:$AI$47</c:f>
              <c:numCache>
                <c:formatCode>General</c:formatCode>
                <c:ptCount val="6"/>
                <c:pt idx="0">
                  <c:v>2</c:v>
                </c:pt>
                <c:pt idx="1">
                  <c:v>3</c:v>
                </c:pt>
                <c:pt idx="2">
                  <c:v>4</c:v>
                </c:pt>
                <c:pt idx="3">
                  <c:v>5</c:v>
                </c:pt>
                <c:pt idx="4">
                  <c:v>6</c:v>
                </c:pt>
                <c:pt idx="5">
                  <c:v>7</c:v>
                </c:pt>
              </c:numCache>
            </c:numRef>
          </c:xVal>
          <c:yVal>
            <c:numRef>
              <c:f>'Cap1hr1ln V8'!$AK$42:$AK$47</c:f>
              <c:numCache>
                <c:formatCode>_(* #,##0_);_(* \(#,##0\);_(* "-"??_);_(@_)</c:formatCode>
                <c:ptCount val="6"/>
                <c:pt idx="0">
                  <c:v>94000</c:v>
                </c:pt>
                <c:pt idx="1">
                  <c:v>127000</c:v>
                </c:pt>
                <c:pt idx="2">
                  <c:v>158000</c:v>
                </c:pt>
                <c:pt idx="3">
                  <c:v>187000</c:v>
                </c:pt>
                <c:pt idx="4">
                  <c:v>217000</c:v>
                </c:pt>
                <c:pt idx="5">
                  <c:v>245000</c:v>
                </c:pt>
              </c:numCache>
            </c:numRef>
          </c:yVal>
          <c:smooth val="1"/>
          <c:extLst>
            <c:ext xmlns:c16="http://schemas.microsoft.com/office/drawing/2014/chart" uri="{C3380CC4-5D6E-409C-BE32-E72D297353CC}">
              <c16:uniqueId val="{00000001-7DE0-4F4B-BD91-46CEAADFE5F8}"/>
            </c:ext>
          </c:extLst>
        </c:ser>
        <c:dLbls>
          <c:showLegendKey val="0"/>
          <c:showVal val="0"/>
          <c:showCatName val="0"/>
          <c:showSerName val="0"/>
          <c:showPercent val="0"/>
          <c:showBubbleSize val="0"/>
        </c:dLbls>
        <c:axId val="243896560"/>
        <c:axId val="243896952"/>
      </c:scatterChart>
      <c:valAx>
        <c:axId val="243896560"/>
        <c:scaling>
          <c:orientation val="minMax"/>
        </c:scaling>
        <c:delete val="0"/>
        <c:axPos val="b"/>
        <c:title>
          <c:tx>
            <c:rich>
              <a:bodyPr/>
              <a:lstStyle/>
              <a:p>
                <a:pPr>
                  <a:defRPr/>
                </a:pPr>
                <a:r>
                  <a:rPr lang="en-US"/>
                  <a:t>Total Lanes </a:t>
                </a:r>
                <a:r>
                  <a:rPr lang="en-US" baseline="0"/>
                  <a:t> Both Di</a:t>
                </a:r>
                <a:r>
                  <a:rPr lang="en-US"/>
                  <a:t>rections</a:t>
                </a:r>
              </a:p>
            </c:rich>
          </c:tx>
          <c:layout>
            <c:manualLayout>
              <c:xMode val="edge"/>
              <c:yMode val="edge"/>
              <c:x val="0.41993297663216744"/>
              <c:y val="0.88880511563958731"/>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3896952"/>
        <c:crosses val="autoZero"/>
        <c:crossBetween val="midCat"/>
      </c:valAx>
      <c:valAx>
        <c:axId val="243896952"/>
        <c:scaling>
          <c:orientation val="minMax"/>
          <c:min val="100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3896560"/>
        <c:crosses val="autoZero"/>
        <c:crossBetween val="midCat"/>
      </c:valAx>
    </c:plotArea>
    <c:legend>
      <c:legendPos val="r"/>
      <c:layout>
        <c:manualLayout>
          <c:xMode val="edge"/>
          <c:yMode val="edge"/>
          <c:x val="0.16359653452023176"/>
          <c:y val="0.31628746985904277"/>
          <c:w val="0.29190746146464347"/>
          <c:h val="0.15928197078259154"/>
        </c:manualLayout>
      </c:layout>
      <c:overlay val="0"/>
      <c:spPr>
        <a:solidFill>
          <a:sysClr val="window" lastClr="FFFFFF"/>
        </a:solidFill>
      </c:spPr>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Capacity per Hour per Lane, FT 32 Freeway</a:t>
            </a:r>
            <a:endParaRPr lang="en-US"/>
          </a:p>
        </c:rich>
      </c:tx>
      <c:overlay val="0"/>
      <c:spPr>
        <a:noFill/>
        <a:ln w="25400">
          <a:noFill/>
        </a:ln>
      </c:spPr>
    </c:title>
    <c:autoTitleDeleted val="0"/>
    <c:plotArea>
      <c:layout>
        <c:manualLayout>
          <c:layoutTarget val="inner"/>
          <c:xMode val="edge"/>
          <c:yMode val="edge"/>
          <c:x val="0.1881973282162159"/>
          <c:y val="0.30648774912214993"/>
          <c:w val="0.60657446555841865"/>
          <c:h val="0.46306301226063784"/>
        </c:manualLayout>
      </c:layout>
      <c:scatterChart>
        <c:scatterStyle val="smoothMarker"/>
        <c:varyColors val="0"/>
        <c:ser>
          <c:idx val="0"/>
          <c:order val="0"/>
          <c:tx>
            <c:strRef>
              <c:f>'Cap1hr1ln V8'!$AJ$23</c:f>
              <c:strCache>
                <c:ptCount val="1"/>
                <c:pt idx="0">
                  <c:v>Sat Flow</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V8'!$AI$24:$AI$29</c:f>
              <c:numCache>
                <c:formatCode>General</c:formatCode>
                <c:ptCount val="6"/>
                <c:pt idx="0">
                  <c:v>2</c:v>
                </c:pt>
                <c:pt idx="1">
                  <c:v>3</c:v>
                </c:pt>
                <c:pt idx="2">
                  <c:v>4</c:v>
                </c:pt>
                <c:pt idx="3">
                  <c:v>5</c:v>
                </c:pt>
                <c:pt idx="4">
                  <c:v>6</c:v>
                </c:pt>
                <c:pt idx="5">
                  <c:v>7</c:v>
                </c:pt>
              </c:numCache>
            </c:numRef>
          </c:xVal>
          <c:yVal>
            <c:numRef>
              <c:f>'Cap1hr1ln V8'!$AJ$24:$AJ$29</c:f>
              <c:numCache>
                <c:formatCode>_(* #,##0_);_(* \(#,##0\);_(* "-"??_);_(@_)</c:formatCode>
                <c:ptCount val="6"/>
                <c:pt idx="0">
                  <c:v>1997.5</c:v>
                </c:pt>
                <c:pt idx="1">
                  <c:v>1997.5</c:v>
                </c:pt>
                <c:pt idx="2">
                  <c:v>1997.5</c:v>
                </c:pt>
                <c:pt idx="3">
                  <c:v>1997.5</c:v>
                </c:pt>
                <c:pt idx="4">
                  <c:v>1997.5</c:v>
                </c:pt>
                <c:pt idx="5">
                  <c:v>1997.5</c:v>
                </c:pt>
              </c:numCache>
            </c:numRef>
          </c:yVal>
          <c:smooth val="1"/>
          <c:extLst>
            <c:ext xmlns:c16="http://schemas.microsoft.com/office/drawing/2014/chart" uri="{C3380CC4-5D6E-409C-BE32-E72D297353CC}">
              <c16:uniqueId val="{00000000-E2AD-4F48-B6A9-C5ADF5B60069}"/>
            </c:ext>
          </c:extLst>
        </c:ser>
        <c:ser>
          <c:idx val="1"/>
          <c:order val="1"/>
          <c:tx>
            <c:strRef>
              <c:f>'Cap1hr1ln V8'!$AK$23</c:f>
              <c:strCache>
                <c:ptCount val="1"/>
                <c:pt idx="0">
                  <c:v>Cap1hr1ln</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V8'!$AI$24:$AI$29</c:f>
              <c:numCache>
                <c:formatCode>General</c:formatCode>
                <c:ptCount val="6"/>
                <c:pt idx="0">
                  <c:v>2</c:v>
                </c:pt>
                <c:pt idx="1">
                  <c:v>3</c:v>
                </c:pt>
                <c:pt idx="2">
                  <c:v>4</c:v>
                </c:pt>
                <c:pt idx="3">
                  <c:v>5</c:v>
                </c:pt>
                <c:pt idx="4">
                  <c:v>6</c:v>
                </c:pt>
                <c:pt idx="5">
                  <c:v>7</c:v>
                </c:pt>
              </c:numCache>
            </c:numRef>
          </c:xVal>
          <c:yVal>
            <c:numRef>
              <c:f>'Cap1hr1ln V8'!$AK$24:$AK$29</c:f>
              <c:numCache>
                <c:formatCode>_(* #,##0_);_(* \(#,##0\);_(* "-"??_);_(@_)</c:formatCode>
                <c:ptCount val="6"/>
                <c:pt idx="0">
                  <c:v>2105.3031250000004</c:v>
                </c:pt>
                <c:pt idx="1">
                  <c:v>1900.8713020833331</c:v>
                </c:pt>
                <c:pt idx="2">
                  <c:v>1772.3258437500001</c:v>
                </c:pt>
                <c:pt idx="3">
                  <c:v>1684.6667499999999</c:v>
                </c:pt>
                <c:pt idx="4">
                  <c:v>1626.2273541666666</c:v>
                </c:pt>
                <c:pt idx="5">
                  <c:v>1574.4546250000001</c:v>
                </c:pt>
              </c:numCache>
            </c:numRef>
          </c:yVal>
          <c:smooth val="1"/>
          <c:extLst>
            <c:ext xmlns:c16="http://schemas.microsoft.com/office/drawing/2014/chart" uri="{C3380CC4-5D6E-409C-BE32-E72D297353CC}">
              <c16:uniqueId val="{00000001-E2AD-4F48-B6A9-C5ADF5B60069}"/>
            </c:ext>
          </c:extLst>
        </c:ser>
        <c:dLbls>
          <c:showLegendKey val="0"/>
          <c:showVal val="0"/>
          <c:showCatName val="0"/>
          <c:showSerName val="0"/>
          <c:showPercent val="0"/>
          <c:showBubbleSize val="0"/>
        </c:dLbls>
        <c:axId val="243897736"/>
        <c:axId val="243898128"/>
      </c:scatterChart>
      <c:valAx>
        <c:axId val="243897736"/>
        <c:scaling>
          <c:orientation val="minMax"/>
        </c:scaling>
        <c:delete val="0"/>
        <c:axPos val="b"/>
        <c:title>
          <c:tx>
            <c:rich>
              <a:bodyPr/>
              <a:lstStyle/>
              <a:p>
                <a:pPr>
                  <a:defRPr/>
                </a:pPr>
                <a:r>
                  <a:rPr lang="en-US"/>
                  <a:t>Total Lanes</a:t>
                </a:r>
              </a:p>
            </c:rich>
          </c:tx>
          <c:layout>
            <c:manualLayout>
              <c:xMode val="edge"/>
              <c:yMode val="edge"/>
              <c:x val="0.4571519336647884"/>
              <c:y val="0.87343705395874116"/>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3898128"/>
        <c:crosses val="autoZero"/>
        <c:crossBetween val="midCat"/>
      </c:valAx>
      <c:valAx>
        <c:axId val="243898128"/>
        <c:scaling>
          <c:orientation val="minMax"/>
          <c:min val="1500"/>
        </c:scaling>
        <c:delete val="0"/>
        <c:axPos val="l"/>
        <c:majorGridlines/>
        <c:title>
          <c:tx>
            <c:rich>
              <a:bodyPr rot="-5400000" vert="horz"/>
              <a:lstStyle/>
              <a:p>
                <a:pPr>
                  <a:defRPr sz="1400"/>
                </a:pPr>
                <a:r>
                  <a:rPr lang="en-US" sz="1400"/>
                  <a:t>Cap1hr1ln</a:t>
                </a:r>
              </a:p>
            </c:rich>
          </c:tx>
          <c:overlay val="0"/>
          <c:spPr>
            <a:noFill/>
            <a:ln w="25400">
              <a:noFill/>
            </a:ln>
          </c:spPr>
        </c:title>
        <c:numFmt formatCode="_(* #,##0_);_(* \(#,##0\);_(* &quot;-&quot;??_);_(@_)" sourceLinked="1"/>
        <c:majorTickMark val="out"/>
        <c:minorTickMark val="none"/>
        <c:tickLblPos val="nextTo"/>
        <c:crossAx val="243897736"/>
        <c:crosses val="autoZero"/>
        <c:crossBetween val="midCat"/>
      </c:valAx>
    </c:plotArea>
    <c:legend>
      <c:legendPos val="r"/>
      <c:layout>
        <c:manualLayout>
          <c:xMode val="edge"/>
          <c:yMode val="edge"/>
          <c:x val="0.19399758206651913"/>
          <c:y val="0.60300742527121931"/>
          <c:w val="0.14042420784358475"/>
          <c:h val="0.15990652781305559"/>
        </c:manualLayout>
      </c:layout>
      <c:overlay val="0"/>
      <c:spPr>
        <a:solidFill>
          <a:sysClr val="window" lastClr="FFFFFF"/>
        </a:solidFill>
      </c:spPr>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Expressway</a:t>
            </a:r>
            <a:r>
              <a:rPr lang="en-US" sz="1800" baseline="0"/>
              <a:t> </a:t>
            </a:r>
            <a:r>
              <a:rPr lang="en-US" sz="1800"/>
              <a:t>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V8'!$B$16</c:f>
              <c:strCache>
                <c:ptCount val="1"/>
                <c:pt idx="0">
                  <c:v>Expressway, posted 60-70 mph</c:v>
                </c:pt>
              </c:strCache>
            </c:strRef>
          </c:tx>
          <c:spPr>
            <a:ln w="38100">
              <a:solidFill>
                <a:srgbClr val="FF0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V8'!$C$16:$I$16</c:f>
              <c:numCache>
                <c:formatCode>_(* #,##0_);_(* \(#,##0\);_(* "-"??_);_(@_)</c:formatCode>
                <c:ptCount val="7"/>
                <c:pt idx="0">
                  <c:v>1057.9199999999998</c:v>
                </c:pt>
                <c:pt idx="1">
                  <c:v>1015.6031999999999</c:v>
                </c:pt>
                <c:pt idx="2">
                  <c:v>983.86559999999997</c:v>
                </c:pt>
                <c:pt idx="3">
                  <c:v>962.70720000000006</c:v>
                </c:pt>
                <c:pt idx="4">
                  <c:v>942.00381935483892</c:v>
                </c:pt>
                <c:pt idx="5">
                  <c:v>921.74567270204682</c:v>
                </c:pt>
                <c:pt idx="6">
                  <c:v>901.92318511705662</c:v>
                </c:pt>
              </c:numCache>
            </c:numRef>
          </c:val>
          <c:smooth val="0"/>
          <c:extLst>
            <c:ext xmlns:c16="http://schemas.microsoft.com/office/drawing/2014/chart" uri="{C3380CC4-5D6E-409C-BE32-E72D297353CC}">
              <c16:uniqueId val="{00000000-EDB8-47F1-89C4-E066EC9DF8E4}"/>
            </c:ext>
          </c:extLst>
        </c:ser>
        <c:ser>
          <c:idx val="1"/>
          <c:order val="1"/>
          <c:tx>
            <c:strRef>
              <c:f>'Cap1hr1ln V8'!$B$17</c:f>
              <c:strCache>
                <c:ptCount val="1"/>
                <c:pt idx="0">
                  <c:v>Expressway, posted 55-65 mph</c:v>
                </c:pt>
              </c:strCache>
            </c:strRef>
          </c:tx>
          <c:spPr>
            <a:ln w="38100">
              <a:solidFill>
                <a:srgbClr val="008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V8'!$C$17:$I$17</c:f>
              <c:numCache>
                <c:formatCode>_(* #,##0_);_(* \(#,##0\);_(* "-"??_);_(@_)</c:formatCode>
                <c:ptCount val="7"/>
                <c:pt idx="0">
                  <c:v>1021.44</c:v>
                </c:pt>
                <c:pt idx="1">
                  <c:v>980.58240000000012</c:v>
                </c:pt>
                <c:pt idx="2">
                  <c:v>949.93920000000014</c:v>
                </c:pt>
                <c:pt idx="3">
                  <c:v>929.51040000000012</c:v>
                </c:pt>
                <c:pt idx="4">
                  <c:v>909.5209290322581</c:v>
                </c:pt>
                <c:pt idx="5">
                  <c:v>889.96133916059659</c:v>
                </c:pt>
                <c:pt idx="6">
                  <c:v>870.82238563026112</c:v>
                </c:pt>
              </c:numCache>
            </c:numRef>
          </c:val>
          <c:smooth val="0"/>
          <c:extLst>
            <c:ext xmlns:c16="http://schemas.microsoft.com/office/drawing/2014/chart" uri="{C3380CC4-5D6E-409C-BE32-E72D297353CC}">
              <c16:uniqueId val="{00000001-EDB8-47F1-89C4-E066EC9DF8E4}"/>
            </c:ext>
          </c:extLst>
        </c:ser>
        <c:ser>
          <c:idx val="2"/>
          <c:order val="2"/>
          <c:tx>
            <c:strRef>
              <c:f>'Cap1hr1ln V8'!$B$18</c:f>
              <c:strCache>
                <c:ptCount val="1"/>
                <c:pt idx="0">
                  <c:v>Expressway, posted 50-60 mph</c:v>
                </c:pt>
              </c:strCache>
            </c:strRef>
          </c:tx>
          <c:spPr>
            <a:ln w="38100">
              <a:solidFill>
                <a:srgbClr val="0000FF"/>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V8'!$C$18:$I$18</c:f>
              <c:numCache>
                <c:formatCode>_(* #,##0_);_(* \(#,##0\);_(* "-"??_);_(@_)</c:formatCode>
                <c:ptCount val="7"/>
                <c:pt idx="0">
                  <c:v>984.96</c:v>
                </c:pt>
                <c:pt idx="1">
                  <c:v>945.5616</c:v>
                </c:pt>
                <c:pt idx="2">
                  <c:v>916.0128000000002</c:v>
                </c:pt>
                <c:pt idx="3">
                  <c:v>896.31360000000018</c:v>
                </c:pt>
                <c:pt idx="4">
                  <c:v>877.03803870967749</c:v>
                </c:pt>
                <c:pt idx="5">
                  <c:v>858.17700561914671</c:v>
                </c:pt>
                <c:pt idx="6">
                  <c:v>839.72158614346608</c:v>
                </c:pt>
              </c:numCache>
            </c:numRef>
          </c:val>
          <c:smooth val="0"/>
          <c:extLst>
            <c:ext xmlns:c16="http://schemas.microsoft.com/office/drawing/2014/chart" uri="{C3380CC4-5D6E-409C-BE32-E72D297353CC}">
              <c16:uniqueId val="{00000002-EDB8-47F1-89C4-E066EC9DF8E4}"/>
            </c:ext>
          </c:extLst>
        </c:ser>
        <c:ser>
          <c:idx val="3"/>
          <c:order val="3"/>
          <c:tx>
            <c:strRef>
              <c:f>'Cap1hr1ln V8'!$B$19</c:f>
              <c:strCache>
                <c:ptCount val="1"/>
                <c:pt idx="0">
                  <c:v>Expressway, posted 45-55 mph</c:v>
                </c:pt>
              </c:strCache>
            </c:strRef>
          </c:tx>
          <c:spPr>
            <a:ln w="38100">
              <a:solidFill>
                <a:srgbClr val="FF00FF"/>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V8'!$C$19:$I$19</c:f>
              <c:numCache>
                <c:formatCode>_(* #,##0_);_(* \(#,##0\);_(* "-"??_);_(@_)</c:formatCode>
                <c:ptCount val="7"/>
                <c:pt idx="0">
                  <c:v>948.48</c:v>
                </c:pt>
                <c:pt idx="1">
                  <c:v>910.54079999999999</c:v>
                </c:pt>
                <c:pt idx="2">
                  <c:v>882.08640000000014</c:v>
                </c:pt>
                <c:pt idx="3">
                  <c:v>863.11680000000013</c:v>
                </c:pt>
                <c:pt idx="4">
                  <c:v>844.55514838709689</c:v>
                </c:pt>
                <c:pt idx="5">
                  <c:v>826.39267207769694</c:v>
                </c:pt>
                <c:pt idx="6">
                  <c:v>808.62078665667127</c:v>
                </c:pt>
              </c:numCache>
            </c:numRef>
          </c:val>
          <c:smooth val="0"/>
          <c:extLst>
            <c:ext xmlns:c16="http://schemas.microsoft.com/office/drawing/2014/chart" uri="{C3380CC4-5D6E-409C-BE32-E72D297353CC}">
              <c16:uniqueId val="{00000003-EDB8-47F1-89C4-E066EC9DF8E4}"/>
            </c:ext>
          </c:extLst>
        </c:ser>
        <c:dLbls>
          <c:showLegendKey val="0"/>
          <c:showVal val="0"/>
          <c:showCatName val="0"/>
          <c:showSerName val="0"/>
          <c:showPercent val="0"/>
          <c:showBubbleSize val="0"/>
        </c:dLbls>
        <c:smooth val="0"/>
        <c:axId val="245803168"/>
        <c:axId val="245803560"/>
      </c:lineChart>
      <c:catAx>
        <c:axId val="245803168"/>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5803560"/>
        <c:crosses val="autoZero"/>
        <c:auto val="1"/>
        <c:lblAlgn val="ctr"/>
        <c:lblOffset val="100"/>
        <c:noMultiLvlLbl val="0"/>
      </c:catAx>
      <c:valAx>
        <c:axId val="245803560"/>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5803168"/>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Freeway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V8'!$B$25</c:f>
              <c:strCache>
                <c:ptCount val="1"/>
                <c:pt idx="0">
                  <c:v>Fwy: posted 55-60 mph</c:v>
                </c:pt>
              </c:strCache>
            </c:strRef>
          </c:tx>
          <c:spPr>
            <a:ln w="38100">
              <a:solidFill>
                <a:srgbClr val="FF0000"/>
              </a:solidFill>
              <a:prstDash val="solid"/>
            </a:ln>
          </c:spPr>
          <c:marker>
            <c:symbol val="none"/>
          </c:marker>
          <c:cat>
            <c:strRef>
              <c:f>'Cap1hr1ln V8'!$D$7:$I$7</c:f>
              <c:strCache>
                <c:ptCount val="6"/>
                <c:pt idx="0">
                  <c:v> 2 lanes </c:v>
                </c:pt>
                <c:pt idx="1">
                  <c:v>3 lanes</c:v>
                </c:pt>
                <c:pt idx="2">
                  <c:v> 4 lanes </c:v>
                </c:pt>
                <c:pt idx="3">
                  <c:v>5 lanes</c:v>
                </c:pt>
                <c:pt idx="4">
                  <c:v> 6 lanes </c:v>
                </c:pt>
                <c:pt idx="5">
                  <c:v>7 lanes</c:v>
                </c:pt>
              </c:strCache>
            </c:strRef>
          </c:cat>
          <c:val>
            <c:numRef>
              <c:f>'Cap1hr1ln V8'!$D$25:$I$25</c:f>
              <c:numCache>
                <c:formatCode>_(* #,##0_);_(* \(#,##0\);_(* "-"??_);_(@_)</c:formatCode>
                <c:ptCount val="6"/>
                <c:pt idx="0">
                  <c:v>1717.9562500000002</c:v>
                </c:pt>
                <c:pt idx="1">
                  <c:v>1632.0584374999999</c:v>
                </c:pt>
                <c:pt idx="2">
                  <c:v>1563.3401875000002</c:v>
                </c:pt>
                <c:pt idx="3">
                  <c:v>1511.8015</c:v>
                </c:pt>
                <c:pt idx="4">
                  <c:v>1477.4423749999999</c:v>
                </c:pt>
                <c:pt idx="5">
                  <c:v>1443.0832499999999</c:v>
                </c:pt>
              </c:numCache>
            </c:numRef>
          </c:val>
          <c:smooth val="0"/>
          <c:extLst>
            <c:ext xmlns:c16="http://schemas.microsoft.com/office/drawing/2014/chart" uri="{C3380CC4-5D6E-409C-BE32-E72D297353CC}">
              <c16:uniqueId val="{00000000-6FCE-4F23-A470-9EC2E5983681}"/>
            </c:ext>
          </c:extLst>
        </c:ser>
        <c:ser>
          <c:idx val="1"/>
          <c:order val="1"/>
          <c:tx>
            <c:strRef>
              <c:f>'Cap1hr1ln V8'!$B$26</c:f>
              <c:strCache>
                <c:ptCount val="1"/>
                <c:pt idx="0">
                  <c:v>Fwy: posted 65 mph, no aux lane</c:v>
                </c:pt>
              </c:strCache>
            </c:strRef>
          </c:tx>
          <c:spPr>
            <a:ln w="38100">
              <a:solidFill>
                <a:srgbClr val="008000"/>
              </a:solidFill>
              <a:prstDash val="solid"/>
            </a:ln>
          </c:spPr>
          <c:marker>
            <c:symbol val="none"/>
          </c:marker>
          <c:cat>
            <c:strRef>
              <c:f>'Cap1hr1ln V8'!$D$7:$I$7</c:f>
              <c:strCache>
                <c:ptCount val="6"/>
                <c:pt idx="0">
                  <c:v> 2 lanes </c:v>
                </c:pt>
                <c:pt idx="1">
                  <c:v>3 lanes</c:v>
                </c:pt>
                <c:pt idx="2">
                  <c:v> 4 lanes </c:v>
                </c:pt>
                <c:pt idx="3">
                  <c:v>5 lanes</c:v>
                </c:pt>
                <c:pt idx="4">
                  <c:v> 6 lanes </c:v>
                </c:pt>
                <c:pt idx="5">
                  <c:v>7 lanes</c:v>
                </c:pt>
              </c:strCache>
            </c:strRef>
          </c:cat>
          <c:val>
            <c:numRef>
              <c:f>'Cap1hr1ln V8'!$D$26:$I$26</c:f>
              <c:numCache>
                <c:formatCode>_(* #,##0_);_(* \(#,##0\);_(* "-"??_);_(@_)</c:formatCode>
                <c:ptCount val="6"/>
                <c:pt idx="0">
                  <c:v>1755.3031250000001</c:v>
                </c:pt>
                <c:pt idx="1">
                  <c:v>1667.5379687499999</c:v>
                </c:pt>
                <c:pt idx="2">
                  <c:v>1597.3258437500001</c:v>
                </c:pt>
                <c:pt idx="3">
                  <c:v>1544.6667499999999</c:v>
                </c:pt>
                <c:pt idx="4">
                  <c:v>1509.5606875000001</c:v>
                </c:pt>
                <c:pt idx="5">
                  <c:v>1474.4546250000001</c:v>
                </c:pt>
              </c:numCache>
            </c:numRef>
          </c:val>
          <c:smooth val="0"/>
          <c:extLst>
            <c:ext xmlns:c16="http://schemas.microsoft.com/office/drawing/2014/chart" uri="{C3380CC4-5D6E-409C-BE32-E72D297353CC}">
              <c16:uniqueId val="{00000001-6FCE-4F23-A470-9EC2E5983681}"/>
            </c:ext>
          </c:extLst>
        </c:ser>
        <c:ser>
          <c:idx val="2"/>
          <c:order val="2"/>
          <c:tx>
            <c:strRef>
              <c:f>'Cap1hr1ln V8'!$B$27</c:f>
              <c:strCache>
                <c:ptCount val="1"/>
                <c:pt idx="0">
                  <c:v>Fwy: posted 65 mph, aux lane</c:v>
                </c:pt>
              </c:strCache>
            </c:strRef>
          </c:tx>
          <c:spPr>
            <a:ln w="38100">
              <a:solidFill>
                <a:srgbClr val="0000FF"/>
              </a:solidFill>
              <a:prstDash val="solid"/>
            </a:ln>
          </c:spPr>
          <c:marker>
            <c:symbol val="none"/>
          </c:marker>
          <c:cat>
            <c:strRef>
              <c:f>'Cap1hr1ln V8'!$D$7:$I$7</c:f>
              <c:strCache>
                <c:ptCount val="6"/>
                <c:pt idx="0">
                  <c:v> 2 lanes </c:v>
                </c:pt>
                <c:pt idx="1">
                  <c:v>3 lanes</c:v>
                </c:pt>
                <c:pt idx="2">
                  <c:v> 4 lanes </c:v>
                </c:pt>
                <c:pt idx="3">
                  <c:v>5 lanes</c:v>
                </c:pt>
                <c:pt idx="4">
                  <c:v> 6 lanes </c:v>
                </c:pt>
                <c:pt idx="5">
                  <c:v>7 lanes</c:v>
                </c:pt>
              </c:strCache>
            </c:strRef>
          </c:cat>
          <c:val>
            <c:numRef>
              <c:f>'Cap1hr1ln V8'!$D$27:$I$27</c:f>
              <c:numCache>
                <c:formatCode>_(* #,##0_);_(* \(#,##0\);_(* "-"??_);_(@_)</c:formatCode>
                <c:ptCount val="6"/>
                <c:pt idx="0">
                  <c:v>2105.3031250000004</c:v>
                </c:pt>
                <c:pt idx="1">
                  <c:v>1900.8713020833331</c:v>
                </c:pt>
                <c:pt idx="2">
                  <c:v>1772.3258437500001</c:v>
                </c:pt>
                <c:pt idx="3">
                  <c:v>1684.6667499999999</c:v>
                </c:pt>
                <c:pt idx="4">
                  <c:v>1626.2273541666666</c:v>
                </c:pt>
                <c:pt idx="5">
                  <c:v>1574.4546250000001</c:v>
                </c:pt>
              </c:numCache>
            </c:numRef>
          </c:val>
          <c:smooth val="0"/>
          <c:extLst>
            <c:ext xmlns:c16="http://schemas.microsoft.com/office/drawing/2014/chart" uri="{C3380CC4-5D6E-409C-BE32-E72D297353CC}">
              <c16:uniqueId val="{00000002-6FCE-4F23-A470-9EC2E5983681}"/>
            </c:ext>
          </c:extLst>
        </c:ser>
        <c:ser>
          <c:idx val="3"/>
          <c:order val="3"/>
          <c:tx>
            <c:strRef>
              <c:f>'Cap1hr1ln V8'!$B$28</c:f>
              <c:strCache>
                <c:ptCount val="1"/>
                <c:pt idx="0">
                  <c:v>Fwy: posted 75 mph, no aux lane</c:v>
                </c:pt>
              </c:strCache>
            </c:strRef>
          </c:tx>
          <c:spPr>
            <a:ln w="38100">
              <a:solidFill>
                <a:srgbClr val="FF00FF"/>
              </a:solidFill>
              <a:prstDash val="solid"/>
            </a:ln>
          </c:spPr>
          <c:marker>
            <c:symbol val="none"/>
          </c:marker>
          <c:cat>
            <c:strRef>
              <c:f>'Cap1hr1ln V8'!$D$7:$I$7</c:f>
              <c:strCache>
                <c:ptCount val="6"/>
                <c:pt idx="0">
                  <c:v> 2 lanes </c:v>
                </c:pt>
                <c:pt idx="1">
                  <c:v>3 lanes</c:v>
                </c:pt>
                <c:pt idx="2">
                  <c:v> 4 lanes </c:v>
                </c:pt>
                <c:pt idx="3">
                  <c:v>5 lanes</c:v>
                </c:pt>
                <c:pt idx="4">
                  <c:v> 6 lanes </c:v>
                </c:pt>
                <c:pt idx="5">
                  <c:v>7 lanes</c:v>
                </c:pt>
              </c:strCache>
            </c:strRef>
          </c:cat>
          <c:val>
            <c:numRef>
              <c:f>'Cap1hr1ln V8'!$D$28:$I$28</c:f>
              <c:numCache>
                <c:formatCode>_(* #,##0_);_(* \(#,##0\);_(* "-"??_);_(@_)</c:formatCode>
                <c:ptCount val="6"/>
                <c:pt idx="0">
                  <c:v>1792.65</c:v>
                </c:pt>
                <c:pt idx="1">
                  <c:v>1703.0175000000002</c:v>
                </c:pt>
                <c:pt idx="2">
                  <c:v>1631.3115000000003</c:v>
                </c:pt>
                <c:pt idx="3">
                  <c:v>1577.5320000000002</c:v>
                </c:pt>
                <c:pt idx="4">
                  <c:v>1541.6790000000001</c:v>
                </c:pt>
                <c:pt idx="5">
                  <c:v>1505.8259999999998</c:v>
                </c:pt>
              </c:numCache>
            </c:numRef>
          </c:val>
          <c:smooth val="0"/>
          <c:extLst>
            <c:ext xmlns:c16="http://schemas.microsoft.com/office/drawing/2014/chart" uri="{C3380CC4-5D6E-409C-BE32-E72D297353CC}">
              <c16:uniqueId val="{00000003-6FCE-4F23-A470-9EC2E5983681}"/>
            </c:ext>
          </c:extLst>
        </c:ser>
        <c:ser>
          <c:idx val="4"/>
          <c:order val="4"/>
          <c:tx>
            <c:strRef>
              <c:f>'Cap1hr1ln V8'!$B$29</c:f>
              <c:strCache>
                <c:ptCount val="1"/>
                <c:pt idx="0">
                  <c:v>Fwy: posted 75 mph, aux lane</c:v>
                </c:pt>
              </c:strCache>
            </c:strRef>
          </c:tx>
          <c:spPr>
            <a:ln w="38100">
              <a:solidFill>
                <a:schemeClr val="bg1">
                  <a:lumMod val="50000"/>
                </a:schemeClr>
              </a:solidFill>
              <a:prstDash val="solid"/>
            </a:ln>
          </c:spPr>
          <c:marker>
            <c:symbol val="none"/>
          </c:marker>
          <c:cat>
            <c:strRef>
              <c:f>'Cap1hr1ln V8'!$D$7:$I$7</c:f>
              <c:strCache>
                <c:ptCount val="6"/>
                <c:pt idx="0">
                  <c:v> 2 lanes </c:v>
                </c:pt>
                <c:pt idx="1">
                  <c:v>3 lanes</c:v>
                </c:pt>
                <c:pt idx="2">
                  <c:v> 4 lanes </c:v>
                </c:pt>
                <c:pt idx="3">
                  <c:v>5 lanes</c:v>
                </c:pt>
                <c:pt idx="4">
                  <c:v> 6 lanes </c:v>
                </c:pt>
                <c:pt idx="5">
                  <c:v>7 lanes</c:v>
                </c:pt>
              </c:strCache>
            </c:strRef>
          </c:cat>
          <c:val>
            <c:numRef>
              <c:f>'Cap1hr1ln V8'!$D$29:$I$29</c:f>
              <c:numCache>
                <c:formatCode>_(* #,##0_);_(* \(#,##0\);_(* "-"??_);_(@_)</c:formatCode>
                <c:ptCount val="6"/>
                <c:pt idx="0">
                  <c:v>2142.65</c:v>
                </c:pt>
                <c:pt idx="1">
                  <c:v>1936.3508333333336</c:v>
                </c:pt>
                <c:pt idx="2">
                  <c:v>1806.3115000000003</c:v>
                </c:pt>
                <c:pt idx="3">
                  <c:v>1717.5319999999999</c:v>
                </c:pt>
                <c:pt idx="4">
                  <c:v>1658.3456666666668</c:v>
                </c:pt>
                <c:pt idx="5">
                  <c:v>1605.8259999999998</c:v>
                </c:pt>
              </c:numCache>
            </c:numRef>
          </c:val>
          <c:smooth val="0"/>
          <c:extLst>
            <c:ext xmlns:c16="http://schemas.microsoft.com/office/drawing/2014/chart" uri="{C3380CC4-5D6E-409C-BE32-E72D297353CC}">
              <c16:uniqueId val="{00000004-6FCE-4F23-A470-9EC2E5983681}"/>
            </c:ext>
          </c:extLst>
        </c:ser>
        <c:dLbls>
          <c:showLegendKey val="0"/>
          <c:showVal val="0"/>
          <c:showCatName val="0"/>
          <c:showSerName val="0"/>
          <c:showPercent val="0"/>
          <c:showBubbleSize val="0"/>
        </c:dLbls>
        <c:smooth val="0"/>
        <c:axId val="245804344"/>
        <c:axId val="245804736"/>
      </c:lineChart>
      <c:catAx>
        <c:axId val="245804344"/>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5804736"/>
        <c:crosses val="autoZero"/>
        <c:auto val="1"/>
        <c:lblAlgn val="ctr"/>
        <c:lblOffset val="100"/>
        <c:noMultiLvlLbl val="0"/>
      </c:catAx>
      <c:valAx>
        <c:axId val="245804736"/>
        <c:scaling>
          <c:orientation val="minMax"/>
          <c:max val="2400"/>
          <c:min val="100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5804344"/>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Managed Lane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V8'!$B$30</c:f>
              <c:strCache>
                <c:ptCount val="1"/>
                <c:pt idx="0">
                  <c:v>Fwy: HOV lane</c:v>
                </c:pt>
              </c:strCache>
            </c:strRef>
          </c:tx>
          <c:spPr>
            <a:ln w="38100">
              <a:solidFill>
                <a:srgbClr val="FF0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V8'!$C$30:$I$30</c:f>
              <c:numCache>
                <c:formatCode>_(* #,##0_);_(* \(#,##0\);_(* "-"??_);_(@_)</c:formatCode>
                <c:ptCount val="7"/>
                <c:pt idx="0">
                  <c:v>1938</c:v>
                </c:pt>
                <c:pt idx="1">
                  <c:v>1938</c:v>
                </c:pt>
                <c:pt idx="2">
                  <c:v>1841.1000000000001</c:v>
                </c:pt>
                <c:pt idx="3">
                  <c:v>1763.5800000000002</c:v>
                </c:pt>
                <c:pt idx="4">
                  <c:v>1705.44</c:v>
                </c:pt>
                <c:pt idx="5">
                  <c:v>1666.68</c:v>
                </c:pt>
                <c:pt idx="6">
                  <c:v>1627.9199999999998</c:v>
                </c:pt>
              </c:numCache>
            </c:numRef>
          </c:val>
          <c:smooth val="0"/>
          <c:extLst>
            <c:ext xmlns:c16="http://schemas.microsoft.com/office/drawing/2014/chart" uri="{C3380CC4-5D6E-409C-BE32-E72D297353CC}">
              <c16:uniqueId val="{00000000-C923-4893-B9E7-BCEDF2860FF4}"/>
            </c:ext>
          </c:extLst>
        </c:ser>
        <c:ser>
          <c:idx val="1"/>
          <c:order val="1"/>
          <c:tx>
            <c:strRef>
              <c:f>'Cap1hr1ln V8'!$B$31</c:f>
              <c:strCache>
                <c:ptCount val="1"/>
                <c:pt idx="0">
                  <c:v>Fwy: Managed lane</c:v>
                </c:pt>
              </c:strCache>
            </c:strRef>
          </c:tx>
          <c:spPr>
            <a:ln w="38100">
              <a:solidFill>
                <a:srgbClr val="008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V8'!$C$31:$I$31</c:f>
              <c:numCache>
                <c:formatCode>_(* #,##0_);_(* \(#,##0\);_(* "-"??_);_(@_)</c:formatCode>
                <c:ptCount val="7"/>
                <c:pt idx="0">
                  <c:v>1938</c:v>
                </c:pt>
                <c:pt idx="1">
                  <c:v>1938</c:v>
                </c:pt>
                <c:pt idx="2">
                  <c:v>1841.1000000000001</c:v>
                </c:pt>
                <c:pt idx="3">
                  <c:v>1763.5800000000002</c:v>
                </c:pt>
                <c:pt idx="4">
                  <c:v>1705.44</c:v>
                </c:pt>
                <c:pt idx="5">
                  <c:v>1666.68</c:v>
                </c:pt>
                <c:pt idx="6">
                  <c:v>1627.9199999999998</c:v>
                </c:pt>
              </c:numCache>
            </c:numRef>
          </c:val>
          <c:smooth val="0"/>
          <c:extLst>
            <c:ext xmlns:c16="http://schemas.microsoft.com/office/drawing/2014/chart" uri="{C3380CC4-5D6E-409C-BE32-E72D297353CC}">
              <c16:uniqueId val="{00000001-C923-4893-B9E7-BCEDF2860FF4}"/>
            </c:ext>
          </c:extLst>
        </c:ser>
        <c:ser>
          <c:idx val="2"/>
          <c:order val="2"/>
          <c:tx>
            <c:strRef>
              <c:f>'Cap1hr1ln V8'!$B$32</c:f>
              <c:strCache>
                <c:ptCount val="1"/>
                <c:pt idx="0">
                  <c:v>Fwy: Managed lane access</c:v>
                </c:pt>
              </c:strCache>
            </c:strRef>
          </c:tx>
          <c:spPr>
            <a:ln w="38100">
              <a:solidFill>
                <a:srgbClr val="0000FF"/>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V8'!$C$32:$I$32</c:f>
              <c:numCache>
                <c:formatCode>_(* #,##0_);_(* \(#,##0\);_(* "-"??_);_(@_)</c:formatCode>
                <c:ptCount val="7"/>
                <c:pt idx="0">
                  <c:v>1938</c:v>
                </c:pt>
                <c:pt idx="1">
                  <c:v>1938</c:v>
                </c:pt>
                <c:pt idx="2">
                  <c:v>1841.1000000000001</c:v>
                </c:pt>
                <c:pt idx="3">
                  <c:v>1763.5800000000002</c:v>
                </c:pt>
                <c:pt idx="4">
                  <c:v>1705.44</c:v>
                </c:pt>
                <c:pt idx="5">
                  <c:v>1666.68</c:v>
                </c:pt>
                <c:pt idx="6">
                  <c:v>1627.9199999999998</c:v>
                </c:pt>
              </c:numCache>
            </c:numRef>
          </c:val>
          <c:smooth val="0"/>
          <c:extLst>
            <c:ext xmlns:c16="http://schemas.microsoft.com/office/drawing/2014/chart" uri="{C3380CC4-5D6E-409C-BE32-E72D297353CC}">
              <c16:uniqueId val="{00000002-C923-4893-B9E7-BCEDF2860FF4}"/>
            </c:ext>
          </c:extLst>
        </c:ser>
        <c:ser>
          <c:idx val="3"/>
          <c:order val="3"/>
          <c:tx>
            <c:strRef>
              <c:f>'Cap1hr1ln V8'!$B$33</c:f>
              <c:strCache>
                <c:ptCount val="1"/>
                <c:pt idx="0">
                  <c:v>Fwy: Tollway</c:v>
                </c:pt>
              </c:strCache>
            </c:strRef>
          </c:tx>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V8'!$C$33:$I$33</c:f>
              <c:numCache>
                <c:formatCode>_(* #,##0_);_(* \(#,##0\);_(* "-"??_);_(@_)</c:formatCode>
                <c:ptCount val="7"/>
                <c:pt idx="0">
                  <c:v>1800</c:v>
                </c:pt>
                <c:pt idx="1">
                  <c:v>1800</c:v>
                </c:pt>
                <c:pt idx="2">
                  <c:v>1710.0000000000002</c:v>
                </c:pt>
                <c:pt idx="3">
                  <c:v>1638.0000000000002</c:v>
                </c:pt>
                <c:pt idx="4">
                  <c:v>1584</c:v>
                </c:pt>
                <c:pt idx="5">
                  <c:v>1548</c:v>
                </c:pt>
                <c:pt idx="6">
                  <c:v>1511.9999999999998</c:v>
                </c:pt>
              </c:numCache>
            </c:numRef>
          </c:val>
          <c:smooth val="0"/>
          <c:extLst>
            <c:ext xmlns:c16="http://schemas.microsoft.com/office/drawing/2014/chart" uri="{C3380CC4-5D6E-409C-BE32-E72D297353CC}">
              <c16:uniqueId val="{00000003-C923-4893-B9E7-BCEDF2860FF4}"/>
            </c:ext>
          </c:extLst>
        </c:ser>
        <c:dLbls>
          <c:showLegendKey val="0"/>
          <c:showVal val="0"/>
          <c:showCatName val="0"/>
          <c:showSerName val="0"/>
          <c:showPercent val="0"/>
          <c:showBubbleSize val="0"/>
        </c:dLbls>
        <c:smooth val="0"/>
        <c:axId val="245805520"/>
        <c:axId val="245805912"/>
      </c:lineChart>
      <c:catAx>
        <c:axId val="245805520"/>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5805912"/>
        <c:crosses val="autoZero"/>
        <c:auto val="1"/>
        <c:lblAlgn val="ctr"/>
        <c:lblOffset val="100"/>
        <c:noMultiLvlLbl val="0"/>
      </c:catAx>
      <c:valAx>
        <c:axId val="245805912"/>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5805520"/>
        <c:crosses val="autoZero"/>
        <c:crossBetween val="between"/>
      </c:valAx>
    </c:plotArea>
    <c:legend>
      <c:legendPos val="r"/>
      <c:layout>
        <c:manualLayout>
          <c:xMode val="edge"/>
          <c:yMode val="edge"/>
          <c:x val="8.5055332742960107E-2"/>
          <c:y val="0.84415080227800676"/>
          <c:w val="0.85952027415141441"/>
          <c:h val="0.15584919772199315"/>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Ramp 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V8'!$B$34</c:f>
              <c:strCache>
                <c:ptCount val="1"/>
                <c:pt idx="0">
                  <c:v>Fwy: On-ramp</c:v>
                </c:pt>
              </c:strCache>
            </c:strRef>
          </c:tx>
          <c:spPr>
            <a:ln w="38100">
              <a:solidFill>
                <a:srgbClr val="FF0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V8'!$C$34:$I$34</c:f>
              <c:numCache>
                <c:formatCode>_(* #,##0_);_(* \(#,##0\);_(* "-"??_);_(@_)</c:formatCode>
                <c:ptCount val="7"/>
                <c:pt idx="0">
                  <c:v>1200</c:v>
                </c:pt>
                <c:pt idx="1">
                  <c:v>900</c:v>
                </c:pt>
                <c:pt idx="2">
                  <c:v>600</c:v>
                </c:pt>
                <c:pt idx="3">
                  <c:v>600</c:v>
                </c:pt>
                <c:pt idx="4">
                  <c:v>600</c:v>
                </c:pt>
                <c:pt idx="5">
                  <c:v>600</c:v>
                </c:pt>
                <c:pt idx="6">
                  <c:v>600</c:v>
                </c:pt>
              </c:numCache>
            </c:numRef>
          </c:val>
          <c:smooth val="0"/>
          <c:extLst>
            <c:ext xmlns:c16="http://schemas.microsoft.com/office/drawing/2014/chart" uri="{C3380CC4-5D6E-409C-BE32-E72D297353CC}">
              <c16:uniqueId val="{00000000-EED8-4D54-813F-93E7330813A8}"/>
            </c:ext>
          </c:extLst>
        </c:ser>
        <c:ser>
          <c:idx val="1"/>
          <c:order val="1"/>
          <c:tx>
            <c:strRef>
              <c:f>'Cap1hr1ln V8'!$B$35</c:f>
              <c:strCache>
                <c:ptCount val="1"/>
                <c:pt idx="0">
                  <c:v>Fwy: Off-ramp</c:v>
                </c:pt>
              </c:strCache>
            </c:strRef>
          </c:tx>
          <c:spPr>
            <a:ln w="38100">
              <a:solidFill>
                <a:srgbClr val="008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V8'!$C$35:$I$35</c:f>
              <c:numCache>
                <c:formatCode>_(* #,##0_);_(* \(#,##0\);_(* "-"??_);_(@_)</c:formatCode>
                <c:ptCount val="7"/>
                <c:pt idx="0">
                  <c:v>924.14783999999997</c:v>
                </c:pt>
                <c:pt idx="1">
                  <c:v>886.89902400000005</c:v>
                </c:pt>
                <c:pt idx="2">
                  <c:v>849.55590719999998</c:v>
                </c:pt>
                <c:pt idx="3">
                  <c:v>829.84703999999999</c:v>
                </c:pt>
                <c:pt idx="4">
                  <c:v>810.59539926739933</c:v>
                </c:pt>
                <c:pt idx="5">
                  <c:v>791.79037779477346</c:v>
                </c:pt>
                <c:pt idx="6">
                  <c:v>773.42161445154932</c:v>
                </c:pt>
              </c:numCache>
            </c:numRef>
          </c:val>
          <c:smooth val="0"/>
          <c:extLst>
            <c:ext xmlns:c16="http://schemas.microsoft.com/office/drawing/2014/chart" uri="{C3380CC4-5D6E-409C-BE32-E72D297353CC}">
              <c16:uniqueId val="{00000001-EED8-4D54-813F-93E7330813A8}"/>
            </c:ext>
          </c:extLst>
        </c:ser>
        <c:ser>
          <c:idx val="2"/>
          <c:order val="2"/>
          <c:tx>
            <c:strRef>
              <c:f>'Cap1hr1ln V8'!$B$23</c:f>
              <c:strCache>
                <c:ptCount val="1"/>
                <c:pt idx="0">
                  <c:v>Fwy: fwy-to-fwy loop ramp</c:v>
                </c:pt>
              </c:strCache>
            </c:strRef>
          </c:tx>
          <c:marker>
            <c:symbol val="none"/>
          </c:marker>
          <c:val>
            <c:numRef>
              <c:f>'Cap1hr1ln V8'!$C$23:$I$23</c:f>
              <c:numCache>
                <c:formatCode>_(* #,##0_);_(* \(#,##0\);_(* "-"??_);_(@_)</c:formatCode>
                <c:ptCount val="7"/>
                <c:pt idx="0">
                  <c:v>1600</c:v>
                </c:pt>
                <c:pt idx="1">
                  <c:v>1300</c:v>
                </c:pt>
                <c:pt idx="2">
                  <c:v>1100</c:v>
                </c:pt>
                <c:pt idx="3">
                  <c:v>900</c:v>
                </c:pt>
                <c:pt idx="4">
                  <c:v>900</c:v>
                </c:pt>
                <c:pt idx="5">
                  <c:v>900</c:v>
                </c:pt>
                <c:pt idx="6">
                  <c:v>900</c:v>
                </c:pt>
              </c:numCache>
            </c:numRef>
          </c:val>
          <c:smooth val="0"/>
          <c:extLst>
            <c:ext xmlns:c16="http://schemas.microsoft.com/office/drawing/2014/chart" uri="{C3380CC4-5D6E-409C-BE32-E72D297353CC}">
              <c16:uniqueId val="{00000002-EED8-4D54-813F-93E7330813A8}"/>
            </c:ext>
          </c:extLst>
        </c:ser>
        <c:dLbls>
          <c:showLegendKey val="0"/>
          <c:showVal val="0"/>
          <c:showCatName val="0"/>
          <c:showSerName val="0"/>
          <c:showPercent val="0"/>
          <c:showBubbleSize val="0"/>
        </c:dLbls>
        <c:smooth val="0"/>
        <c:axId val="246012736"/>
        <c:axId val="246013128"/>
      </c:lineChart>
      <c:catAx>
        <c:axId val="246012736"/>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6013128"/>
        <c:crosses val="autoZero"/>
        <c:auto val="1"/>
        <c:lblAlgn val="ctr"/>
        <c:lblOffset val="100"/>
        <c:noMultiLvlLbl val="0"/>
      </c:catAx>
      <c:valAx>
        <c:axId val="246013128"/>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6012736"/>
        <c:crosses val="autoZero"/>
        <c:crossBetween val="between"/>
      </c:valAx>
    </c:plotArea>
    <c:legend>
      <c:legendPos val="r"/>
      <c:layout>
        <c:manualLayout>
          <c:xMode val="edge"/>
          <c:yMode val="edge"/>
          <c:x val="8.5055332742960107E-2"/>
          <c:y val="0.84415080227800676"/>
          <c:w val="0.89392162961899524"/>
          <c:h val="0.15584919772199315"/>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Arterial</a:t>
            </a:r>
            <a:r>
              <a:rPr lang="en-US" sz="1800" baseline="0"/>
              <a:t> &amp; Local </a:t>
            </a:r>
            <a:r>
              <a:rPr lang="en-US" sz="1800"/>
              <a:t>Capacity</a:t>
            </a:r>
          </a:p>
        </c:rich>
      </c:tx>
      <c:overlay val="0"/>
    </c:title>
    <c:autoTitleDeleted val="0"/>
    <c:plotArea>
      <c:layout>
        <c:manualLayout>
          <c:layoutTarget val="inner"/>
          <c:xMode val="edge"/>
          <c:yMode val="edge"/>
          <c:x val="8.4893306030901158E-2"/>
          <c:y val="0.12754183890708087"/>
          <c:w val="0.89342553336120689"/>
          <c:h val="0.60859475689041209"/>
        </c:manualLayout>
      </c:layout>
      <c:lineChart>
        <c:grouping val="standard"/>
        <c:varyColors val="0"/>
        <c:ser>
          <c:idx val="0"/>
          <c:order val="0"/>
          <c:tx>
            <c:strRef>
              <c:f>'Cap1hr1ln V8'!$B$8</c:f>
              <c:strCache>
                <c:ptCount val="1"/>
                <c:pt idx="0">
                  <c:v>Principal Arterial</c:v>
                </c:pt>
              </c:strCache>
            </c:strRef>
          </c:tx>
          <c:spPr>
            <a:ln w="38100">
              <a:solidFill>
                <a:srgbClr val="FF0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V8'!$C$8:$I$8</c:f>
              <c:numCache>
                <c:formatCode>_(* #,##0_);_(* \(#,##0\);_(* "-"??_);_(@_)</c:formatCode>
                <c:ptCount val="7"/>
                <c:pt idx="0">
                  <c:v>929.5104</c:v>
                </c:pt>
                <c:pt idx="1">
                  <c:v>892.04543999999999</c:v>
                </c:pt>
                <c:pt idx="2">
                  <c:v>854.48563200000001</c:v>
                </c:pt>
                <c:pt idx="3">
                  <c:v>834.66240000000005</c:v>
                </c:pt>
                <c:pt idx="4">
                  <c:v>815.29904761904766</c:v>
                </c:pt>
                <c:pt idx="5">
                  <c:v>796.38490609919177</c:v>
                </c:pt>
                <c:pt idx="6">
                  <c:v>777.90955418724468</c:v>
                </c:pt>
              </c:numCache>
            </c:numRef>
          </c:val>
          <c:smooth val="0"/>
          <c:extLst>
            <c:ext xmlns:c16="http://schemas.microsoft.com/office/drawing/2014/chart" uri="{C3380CC4-5D6E-409C-BE32-E72D297353CC}">
              <c16:uniqueId val="{00000000-EF73-455F-BFBB-AE6395E15D9A}"/>
            </c:ext>
          </c:extLst>
        </c:ser>
        <c:ser>
          <c:idx val="1"/>
          <c:order val="1"/>
          <c:tx>
            <c:strRef>
              <c:f>'Cap1hr1ln V8'!$B$9</c:f>
              <c:strCache>
                <c:ptCount val="1"/>
                <c:pt idx="0">
                  <c:v>Minor Arterial</c:v>
                </c:pt>
              </c:strCache>
            </c:strRef>
          </c:tx>
          <c:spPr>
            <a:ln w="38100">
              <a:solidFill>
                <a:srgbClr val="008000"/>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V8'!$C$9:$I$9</c:f>
              <c:numCache>
                <c:formatCode>_(* #,##0_);_(* \(#,##0\);_(* "-"??_);_(@_)</c:formatCode>
                <c:ptCount val="7"/>
                <c:pt idx="0">
                  <c:v>840.13439999999991</c:v>
                </c:pt>
                <c:pt idx="1">
                  <c:v>806.27184</c:v>
                </c:pt>
                <c:pt idx="2">
                  <c:v>772.32355199999995</c:v>
                </c:pt>
                <c:pt idx="3">
                  <c:v>754.40639999999996</c:v>
                </c:pt>
                <c:pt idx="4">
                  <c:v>736.9049084249084</c:v>
                </c:pt>
                <c:pt idx="5">
                  <c:v>719.80943435888491</c:v>
                </c:pt>
                <c:pt idx="6">
                  <c:v>703.11055859231749</c:v>
                </c:pt>
              </c:numCache>
            </c:numRef>
          </c:val>
          <c:smooth val="0"/>
          <c:extLst>
            <c:ext xmlns:c16="http://schemas.microsoft.com/office/drawing/2014/chart" uri="{C3380CC4-5D6E-409C-BE32-E72D297353CC}">
              <c16:uniqueId val="{00000001-EF73-455F-BFBB-AE6395E15D9A}"/>
            </c:ext>
          </c:extLst>
        </c:ser>
        <c:ser>
          <c:idx val="2"/>
          <c:order val="2"/>
          <c:tx>
            <c:strRef>
              <c:f>'Cap1hr1ln V8'!$B$10</c:f>
              <c:strCache>
                <c:ptCount val="1"/>
                <c:pt idx="0">
                  <c:v>Major Collector</c:v>
                </c:pt>
              </c:strCache>
            </c:strRef>
          </c:tx>
          <c:spPr>
            <a:ln w="38100">
              <a:solidFill>
                <a:srgbClr val="0000FF"/>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V8'!$C$10:$I$10</c:f>
              <c:numCache>
                <c:formatCode>_(* #,##0_);_(* \(#,##0\);_(* "-"??_);_(@_)</c:formatCode>
                <c:ptCount val="7"/>
                <c:pt idx="0">
                  <c:v>666.40000000000009</c:v>
                </c:pt>
                <c:pt idx="1">
                  <c:v>633.07999999999993</c:v>
                </c:pt>
                <c:pt idx="2">
                  <c:v>606.42399999999998</c:v>
                </c:pt>
                <c:pt idx="3">
                  <c:v>586.43200000000002</c:v>
                </c:pt>
                <c:pt idx="4">
                  <c:v>567.09907692307695</c:v>
                </c:pt>
                <c:pt idx="5">
                  <c:v>548.40350295857991</c:v>
                </c:pt>
                <c:pt idx="6">
                  <c:v>530.32426659730811</c:v>
                </c:pt>
              </c:numCache>
            </c:numRef>
          </c:val>
          <c:smooth val="0"/>
          <c:extLst>
            <c:ext xmlns:c16="http://schemas.microsoft.com/office/drawing/2014/chart" uri="{C3380CC4-5D6E-409C-BE32-E72D297353CC}">
              <c16:uniqueId val="{00000002-EF73-455F-BFBB-AE6395E15D9A}"/>
            </c:ext>
          </c:extLst>
        </c:ser>
        <c:ser>
          <c:idx val="3"/>
          <c:order val="3"/>
          <c:tx>
            <c:strRef>
              <c:f>'Cap1hr1ln V8'!$B$11</c:f>
              <c:strCache>
                <c:ptCount val="1"/>
                <c:pt idx="0">
                  <c:v>Minor Collector</c:v>
                </c:pt>
              </c:strCache>
            </c:strRef>
          </c:tx>
          <c:spPr>
            <a:ln w="38100">
              <a:solidFill>
                <a:srgbClr val="FF00FF"/>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V8'!$C$11:$I$11</c:f>
              <c:numCache>
                <c:formatCode>_(* #,##0_);_(* \(#,##0\);_(* "-"??_);_(@_)</c:formatCode>
                <c:ptCount val="7"/>
                <c:pt idx="0">
                  <c:v>514.5</c:v>
                </c:pt>
                <c:pt idx="1">
                  <c:v>488.77499999999998</c:v>
                </c:pt>
                <c:pt idx="2">
                  <c:v>468.19499999999999</c:v>
                </c:pt>
                <c:pt idx="3">
                  <c:v>452.75999999999993</c:v>
                </c:pt>
                <c:pt idx="4">
                  <c:v>437.83384615384603</c:v>
                </c:pt>
                <c:pt idx="5">
                  <c:v>423.39976331360924</c:v>
                </c:pt>
                <c:pt idx="6">
                  <c:v>409.4415293582154</c:v>
                </c:pt>
              </c:numCache>
            </c:numRef>
          </c:val>
          <c:smooth val="0"/>
          <c:extLst>
            <c:ext xmlns:c16="http://schemas.microsoft.com/office/drawing/2014/chart" uri="{C3380CC4-5D6E-409C-BE32-E72D297353CC}">
              <c16:uniqueId val="{00000003-EF73-455F-BFBB-AE6395E15D9A}"/>
            </c:ext>
          </c:extLst>
        </c:ser>
        <c:ser>
          <c:idx val="4"/>
          <c:order val="4"/>
          <c:tx>
            <c:strRef>
              <c:f>'Cap1hr1ln V8'!$B$12</c:f>
              <c:strCache>
                <c:ptCount val="1"/>
                <c:pt idx="0">
                  <c:v>Local</c:v>
                </c:pt>
              </c:strCache>
            </c:strRef>
          </c:tx>
          <c:spPr>
            <a:ln w="38100">
              <a:solidFill>
                <a:schemeClr val="bg1">
                  <a:lumMod val="50000"/>
                </a:schemeClr>
              </a:solidFill>
              <a:prstDash val="solid"/>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V8'!$C$12:$I$12</c:f>
              <c:numCache>
                <c:formatCode>_(* #,##0_);_(* \(#,##0\);_(* "-"??_);_(@_)</c:formatCode>
                <c:ptCount val="7"/>
                <c:pt idx="0">
                  <c:v>411.6</c:v>
                </c:pt>
                <c:pt idx="1">
                  <c:v>391.02</c:v>
                </c:pt>
                <c:pt idx="2">
                  <c:v>374.55600000000004</c:v>
                </c:pt>
                <c:pt idx="3">
                  <c:v>362.20799999999997</c:v>
                </c:pt>
                <c:pt idx="4">
                  <c:v>350.26707692307684</c:v>
                </c:pt>
                <c:pt idx="5">
                  <c:v>338.71981065088744</c:v>
                </c:pt>
                <c:pt idx="6">
                  <c:v>327.55322348657234</c:v>
                </c:pt>
              </c:numCache>
            </c:numRef>
          </c:val>
          <c:smooth val="0"/>
          <c:extLst>
            <c:ext xmlns:c16="http://schemas.microsoft.com/office/drawing/2014/chart" uri="{C3380CC4-5D6E-409C-BE32-E72D297353CC}">
              <c16:uniqueId val="{00000004-EF73-455F-BFBB-AE6395E15D9A}"/>
            </c:ext>
          </c:extLst>
        </c:ser>
        <c:ser>
          <c:idx val="5"/>
          <c:order val="5"/>
          <c:tx>
            <c:strRef>
              <c:f>'Cap1hr1ln V8'!$B$13</c:f>
              <c:strCache>
                <c:ptCount val="1"/>
                <c:pt idx="0">
                  <c:v>Unpaved</c:v>
                </c:pt>
              </c:strCache>
            </c:strRef>
          </c:tx>
          <c:spPr>
            <a:ln w="38100">
              <a:solidFill>
                <a:schemeClr val="bg1">
                  <a:lumMod val="50000"/>
                </a:schemeClr>
              </a:solidFill>
              <a:prstDash val="dash"/>
            </a:ln>
          </c:spPr>
          <c:marker>
            <c:symbol val="none"/>
          </c:marker>
          <c:cat>
            <c:strRef>
              <c:f>'Cap1hr1ln V8'!$C$7:$I$7</c:f>
              <c:strCache>
                <c:ptCount val="7"/>
                <c:pt idx="0">
                  <c:v>1 lane</c:v>
                </c:pt>
                <c:pt idx="1">
                  <c:v> 2 lanes </c:v>
                </c:pt>
                <c:pt idx="2">
                  <c:v>3 lanes</c:v>
                </c:pt>
                <c:pt idx="3">
                  <c:v> 4 lanes </c:v>
                </c:pt>
                <c:pt idx="4">
                  <c:v>5 lanes</c:v>
                </c:pt>
                <c:pt idx="5">
                  <c:v> 6 lanes </c:v>
                </c:pt>
                <c:pt idx="6">
                  <c:v>7 lanes</c:v>
                </c:pt>
              </c:strCache>
            </c:strRef>
          </c:cat>
          <c:val>
            <c:numRef>
              <c:f>'Cap1hr1ln V8'!$C$13:$I$13</c:f>
              <c:numCache>
                <c:formatCode>_(* #,##0_);_(* \(#,##0\);_(* "-"??_);_(@_)</c:formatCode>
                <c:ptCount val="7"/>
                <c:pt idx="0">
                  <c:v>300</c:v>
                </c:pt>
                <c:pt idx="1">
                  <c:v>300</c:v>
                </c:pt>
                <c:pt idx="2">
                  <c:v>300</c:v>
                </c:pt>
                <c:pt idx="3">
                  <c:v>300</c:v>
                </c:pt>
                <c:pt idx="4">
                  <c:v>300</c:v>
                </c:pt>
                <c:pt idx="5">
                  <c:v>300</c:v>
                </c:pt>
                <c:pt idx="6">
                  <c:v>300</c:v>
                </c:pt>
              </c:numCache>
            </c:numRef>
          </c:val>
          <c:smooth val="0"/>
          <c:extLst>
            <c:ext xmlns:c16="http://schemas.microsoft.com/office/drawing/2014/chart" uri="{C3380CC4-5D6E-409C-BE32-E72D297353CC}">
              <c16:uniqueId val="{00000005-EF73-455F-BFBB-AE6395E15D9A}"/>
            </c:ext>
          </c:extLst>
        </c:ser>
        <c:dLbls>
          <c:showLegendKey val="0"/>
          <c:showVal val="0"/>
          <c:showCatName val="0"/>
          <c:showSerName val="0"/>
          <c:showPercent val="0"/>
          <c:showBubbleSize val="0"/>
        </c:dLbls>
        <c:smooth val="0"/>
        <c:axId val="246013912"/>
        <c:axId val="246014304"/>
      </c:lineChart>
      <c:catAx>
        <c:axId val="246013912"/>
        <c:scaling>
          <c:orientation val="minMax"/>
        </c:scaling>
        <c:delete val="0"/>
        <c:axPos val="b"/>
        <c:majorGridlines>
          <c:spPr>
            <a:ln w="6350">
              <a:solidFill>
                <a:schemeClr val="bg1">
                  <a:lumMod val="75000"/>
                </a:schemeClr>
              </a:solidFill>
            </a:ln>
          </c:spPr>
        </c:majorGridlines>
        <c:numFmt formatCode="General" sourceLinked="1"/>
        <c:majorTickMark val="out"/>
        <c:minorTickMark val="none"/>
        <c:tickLblPos val="nextTo"/>
        <c:crossAx val="246014304"/>
        <c:crosses val="autoZero"/>
        <c:auto val="1"/>
        <c:lblAlgn val="ctr"/>
        <c:lblOffset val="100"/>
        <c:noMultiLvlLbl val="0"/>
      </c:catAx>
      <c:valAx>
        <c:axId val="246014304"/>
        <c:scaling>
          <c:orientation val="minMax"/>
          <c:min val="0"/>
        </c:scaling>
        <c:delete val="0"/>
        <c:axPos val="l"/>
        <c:majorGridlines>
          <c:spPr>
            <a:ln>
              <a:solidFill>
                <a:schemeClr val="bg1">
                  <a:lumMod val="75000"/>
                </a:schemeClr>
              </a:solidFill>
            </a:ln>
          </c:spPr>
        </c:majorGridlines>
        <c:numFmt formatCode="_(* #,##0_);_(* \(#,##0\);_(* &quot;-&quot;??_);_(@_)" sourceLinked="1"/>
        <c:majorTickMark val="out"/>
        <c:minorTickMark val="none"/>
        <c:tickLblPos val="nextTo"/>
        <c:crossAx val="246013912"/>
        <c:crosses val="autoZero"/>
        <c:crossBetween val="between"/>
      </c:valAx>
    </c:plotArea>
    <c:legend>
      <c:legendPos val="r"/>
      <c:layout>
        <c:manualLayout>
          <c:xMode val="edge"/>
          <c:yMode val="edge"/>
          <c:x val="8.5055332742960107E-2"/>
          <c:y val="0.84415080227800676"/>
          <c:w val="0.88541995492429304"/>
          <c:h val="0.13739875789257958"/>
        </c:manualLayout>
      </c:layout>
      <c:overlay val="1"/>
      <c:spPr>
        <a:solidFill>
          <a:srgbClr val="FFFFFF"/>
        </a:solidFill>
      </c:spPr>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 By Area Type</a:t>
            </a:r>
          </a:p>
        </c:rich>
      </c:tx>
      <c:layout>
        <c:manualLayout>
          <c:xMode val="edge"/>
          <c:yMode val="edge"/>
          <c:x val="0.2803712360162473"/>
          <c:y val="3.0935361536721821E-2"/>
        </c:manualLayout>
      </c:layout>
      <c:overlay val="0"/>
      <c:spPr>
        <a:noFill/>
        <a:ln w="25400">
          <a:noFill/>
        </a:ln>
      </c:spPr>
    </c:title>
    <c:autoTitleDeleted val="0"/>
    <c:plotArea>
      <c:layout>
        <c:manualLayout>
          <c:layoutTarget val="inner"/>
          <c:xMode val="edge"/>
          <c:yMode val="edge"/>
          <c:x val="8.5267525992475279E-2"/>
          <c:y val="0.147341205753245"/>
          <c:w val="0.88736035524372259"/>
          <c:h val="0.6693527820714692"/>
        </c:manualLayout>
      </c:layout>
      <c:lineChart>
        <c:grouping val="standard"/>
        <c:varyColors val="0"/>
        <c:ser>
          <c:idx val="1"/>
          <c:order val="0"/>
          <c:tx>
            <c:strRef>
              <c:f>'SFF 8'!$D$6</c:f>
              <c:strCache>
                <c:ptCount val="1"/>
                <c:pt idx="0">
                  <c:v>Principal Arterial</c:v>
                </c:pt>
              </c:strCache>
            </c:strRef>
          </c:tx>
          <c:spPr>
            <a:ln w="31750">
              <a:solidFill>
                <a:srgbClr val="FF0000"/>
              </a:solidFill>
              <a:prstDash val="solid"/>
            </a:ln>
          </c:spPr>
          <c:marker>
            <c:symbol val="square"/>
            <c:size val="7"/>
            <c:spPr>
              <a:noFill/>
              <a:ln w="19050">
                <a:solidFill>
                  <a:srgbClr val="FF0000"/>
                </a:solidFill>
                <a:prstDash val="solid"/>
              </a:ln>
            </c:spPr>
          </c:marker>
          <c:cat>
            <c:strRef>
              <c:f>'SFF 8'!$E$4:$I$4</c:f>
              <c:strCache>
                <c:ptCount val="5"/>
                <c:pt idx="0">
                  <c:v>Rural</c:v>
                </c:pt>
                <c:pt idx="1">
                  <c:v>Transition</c:v>
                </c:pt>
                <c:pt idx="2">
                  <c:v>Suburban</c:v>
                </c:pt>
                <c:pt idx="3">
                  <c:v>Urban</c:v>
                </c:pt>
                <c:pt idx="4">
                  <c:v>CBD-Like</c:v>
                </c:pt>
              </c:strCache>
            </c:strRef>
          </c:cat>
          <c:val>
            <c:numRef>
              <c:f>'SFF 8'!$E$6:$I$6</c:f>
              <c:numCache>
                <c:formatCode>0</c:formatCode>
                <c:ptCount val="5"/>
                <c:pt idx="0">
                  <c:v>60</c:v>
                </c:pt>
                <c:pt idx="1">
                  <c:v>47.710843373493979</c:v>
                </c:pt>
                <c:pt idx="2">
                  <c:v>39.560439560439562</c:v>
                </c:pt>
                <c:pt idx="3">
                  <c:v>32.757051865332116</c:v>
                </c:pt>
                <c:pt idx="4">
                  <c:v>24.347826086956523</c:v>
                </c:pt>
              </c:numCache>
            </c:numRef>
          </c:val>
          <c:smooth val="0"/>
          <c:extLst>
            <c:ext xmlns:c16="http://schemas.microsoft.com/office/drawing/2014/chart" uri="{C3380CC4-5D6E-409C-BE32-E72D297353CC}">
              <c16:uniqueId val="{00000000-1596-4575-983E-A2D016A3800A}"/>
            </c:ext>
          </c:extLst>
        </c:ser>
        <c:ser>
          <c:idx val="2"/>
          <c:order val="1"/>
          <c:tx>
            <c:strRef>
              <c:f>'SFF 8'!$D$7</c:f>
              <c:strCache>
                <c:ptCount val="1"/>
                <c:pt idx="0">
                  <c:v>Minor Arterial</c:v>
                </c:pt>
              </c:strCache>
            </c:strRef>
          </c:tx>
          <c:spPr>
            <a:ln w="31750">
              <a:solidFill>
                <a:srgbClr val="008000"/>
              </a:solidFill>
              <a:prstDash val="solid"/>
            </a:ln>
          </c:spPr>
          <c:marker>
            <c:symbol val="triangle"/>
            <c:size val="7"/>
            <c:spPr>
              <a:noFill/>
              <a:ln w="22225">
                <a:solidFill>
                  <a:srgbClr val="008000"/>
                </a:solidFill>
                <a:prstDash val="solid"/>
              </a:ln>
            </c:spPr>
          </c:marker>
          <c:cat>
            <c:strRef>
              <c:f>'SFF 8'!$E$4:$I$4</c:f>
              <c:strCache>
                <c:ptCount val="5"/>
                <c:pt idx="0">
                  <c:v>Rural</c:v>
                </c:pt>
                <c:pt idx="1">
                  <c:v>Transition</c:v>
                </c:pt>
                <c:pt idx="2">
                  <c:v>Suburban</c:v>
                </c:pt>
                <c:pt idx="3">
                  <c:v>Urban</c:v>
                </c:pt>
                <c:pt idx="4">
                  <c:v>CBD-Like</c:v>
                </c:pt>
              </c:strCache>
            </c:strRef>
          </c:cat>
          <c:val>
            <c:numRef>
              <c:f>'SFF 8'!$E$7:$I$7</c:f>
              <c:numCache>
                <c:formatCode>0</c:formatCode>
                <c:ptCount val="5"/>
                <c:pt idx="0">
                  <c:v>53</c:v>
                </c:pt>
                <c:pt idx="1">
                  <c:v>41.379310344827587</c:v>
                </c:pt>
                <c:pt idx="2">
                  <c:v>35.294117647058826</c:v>
                </c:pt>
                <c:pt idx="3">
                  <c:v>30.120940138434623</c:v>
                </c:pt>
                <c:pt idx="4">
                  <c:v>21.290322580645164</c:v>
                </c:pt>
              </c:numCache>
            </c:numRef>
          </c:val>
          <c:smooth val="0"/>
          <c:extLst>
            <c:ext xmlns:c16="http://schemas.microsoft.com/office/drawing/2014/chart" uri="{C3380CC4-5D6E-409C-BE32-E72D297353CC}">
              <c16:uniqueId val="{00000001-1596-4575-983E-A2D016A3800A}"/>
            </c:ext>
          </c:extLst>
        </c:ser>
        <c:ser>
          <c:idx val="3"/>
          <c:order val="2"/>
          <c:tx>
            <c:strRef>
              <c:f>'SFF 8'!$D$8</c:f>
              <c:strCache>
                <c:ptCount val="1"/>
                <c:pt idx="0">
                  <c:v>Major Collector</c:v>
                </c:pt>
              </c:strCache>
            </c:strRef>
          </c:tx>
          <c:spPr>
            <a:ln w="31750">
              <a:solidFill>
                <a:srgbClr val="0000FF"/>
              </a:solidFill>
              <a:prstDash val="solid"/>
            </a:ln>
          </c:spPr>
          <c:marker>
            <c:symbol val="x"/>
            <c:size val="7"/>
            <c:spPr>
              <a:noFill/>
              <a:ln w="19050">
                <a:solidFill>
                  <a:srgbClr val="0000FF"/>
                </a:solidFill>
                <a:prstDash val="solid"/>
              </a:ln>
            </c:spPr>
          </c:marker>
          <c:cat>
            <c:strRef>
              <c:f>'SFF 8'!$E$4:$I$4</c:f>
              <c:strCache>
                <c:ptCount val="5"/>
                <c:pt idx="0">
                  <c:v>Rural</c:v>
                </c:pt>
                <c:pt idx="1">
                  <c:v>Transition</c:v>
                </c:pt>
                <c:pt idx="2">
                  <c:v>Suburban</c:v>
                </c:pt>
                <c:pt idx="3">
                  <c:v>Urban</c:v>
                </c:pt>
                <c:pt idx="4">
                  <c:v>CBD-Like</c:v>
                </c:pt>
              </c:strCache>
            </c:strRef>
          </c:cat>
          <c:val>
            <c:numRef>
              <c:f>'SFF 8'!$E$8:$I$8</c:f>
              <c:numCache>
                <c:formatCode>0</c:formatCode>
                <c:ptCount val="5"/>
                <c:pt idx="0">
                  <c:v>45</c:v>
                </c:pt>
                <c:pt idx="1">
                  <c:v>34.708520179372194</c:v>
                </c:pt>
                <c:pt idx="2">
                  <c:v>28.799999999999997</c:v>
                </c:pt>
                <c:pt idx="3">
                  <c:v>25.678098432710659</c:v>
                </c:pt>
                <c:pt idx="4">
                  <c:v>18.378378378378379</c:v>
                </c:pt>
              </c:numCache>
            </c:numRef>
          </c:val>
          <c:smooth val="0"/>
          <c:extLst>
            <c:ext xmlns:c16="http://schemas.microsoft.com/office/drawing/2014/chart" uri="{C3380CC4-5D6E-409C-BE32-E72D297353CC}">
              <c16:uniqueId val="{00000002-1596-4575-983E-A2D016A3800A}"/>
            </c:ext>
          </c:extLst>
        </c:ser>
        <c:ser>
          <c:idx val="4"/>
          <c:order val="3"/>
          <c:tx>
            <c:strRef>
              <c:f>'SFF 8'!$D$9</c:f>
              <c:strCache>
                <c:ptCount val="1"/>
                <c:pt idx="0">
                  <c:v>Minor Collector</c:v>
                </c:pt>
              </c:strCache>
            </c:strRef>
          </c:tx>
          <c:spPr>
            <a:ln w="31750">
              <a:solidFill>
                <a:srgbClr val="9933FF"/>
              </a:solidFill>
              <a:prstDash val="solid"/>
            </a:ln>
          </c:spPr>
          <c:marker>
            <c:spPr>
              <a:ln w="19050">
                <a:solidFill>
                  <a:srgbClr val="9933FF"/>
                </a:solidFill>
              </a:ln>
            </c:spPr>
          </c:marker>
          <c:cat>
            <c:strRef>
              <c:f>'SFF 8'!$E$4:$I$4</c:f>
              <c:strCache>
                <c:ptCount val="5"/>
                <c:pt idx="0">
                  <c:v>Rural</c:v>
                </c:pt>
                <c:pt idx="1">
                  <c:v>Transition</c:v>
                </c:pt>
                <c:pt idx="2">
                  <c:v>Suburban</c:v>
                </c:pt>
                <c:pt idx="3">
                  <c:v>Urban</c:v>
                </c:pt>
                <c:pt idx="4">
                  <c:v>CBD-Like</c:v>
                </c:pt>
              </c:strCache>
            </c:strRef>
          </c:cat>
          <c:val>
            <c:numRef>
              <c:f>'SFF 8'!$E$9:$I$9</c:f>
              <c:numCache>
                <c:formatCode>0</c:formatCode>
                <c:ptCount val="5"/>
                <c:pt idx="0">
                  <c:v>42</c:v>
                </c:pt>
                <c:pt idx="1">
                  <c:v>31.708520179372194</c:v>
                </c:pt>
                <c:pt idx="2">
                  <c:v>25.799999999999997</c:v>
                </c:pt>
                <c:pt idx="3">
                  <c:v>22.678098432710659</c:v>
                </c:pt>
                <c:pt idx="4">
                  <c:v>15.378378378378379</c:v>
                </c:pt>
              </c:numCache>
            </c:numRef>
          </c:val>
          <c:smooth val="0"/>
          <c:extLst>
            <c:ext xmlns:c16="http://schemas.microsoft.com/office/drawing/2014/chart" uri="{C3380CC4-5D6E-409C-BE32-E72D297353CC}">
              <c16:uniqueId val="{00000003-1596-4575-983E-A2D016A3800A}"/>
            </c:ext>
          </c:extLst>
        </c:ser>
        <c:ser>
          <c:idx val="0"/>
          <c:order val="4"/>
          <c:tx>
            <c:strRef>
              <c:f>'SFF 8'!$D$5</c:f>
              <c:strCache>
                <c:ptCount val="1"/>
                <c:pt idx="0">
                  <c:v>Centroid Connector / Local</c:v>
                </c:pt>
              </c:strCache>
            </c:strRef>
          </c:tx>
          <c:spPr>
            <a:ln w="31750">
              <a:solidFill>
                <a:srgbClr val="969696"/>
              </a:solidFill>
              <a:prstDash val="solid"/>
            </a:ln>
          </c:spPr>
          <c:marker>
            <c:symbol val="diamond"/>
            <c:size val="7"/>
            <c:spPr>
              <a:noFill/>
              <a:ln w="19050">
                <a:solidFill>
                  <a:srgbClr val="969696"/>
                </a:solidFill>
                <a:prstDash val="solid"/>
              </a:ln>
            </c:spPr>
          </c:marker>
          <c:cat>
            <c:strRef>
              <c:f>'SFF 8'!$E$4:$I$4</c:f>
              <c:strCache>
                <c:ptCount val="5"/>
                <c:pt idx="0">
                  <c:v>Rural</c:v>
                </c:pt>
                <c:pt idx="1">
                  <c:v>Transition</c:v>
                </c:pt>
                <c:pt idx="2">
                  <c:v>Suburban</c:v>
                </c:pt>
                <c:pt idx="3">
                  <c:v>Urban</c:v>
                </c:pt>
                <c:pt idx="4">
                  <c:v>CBD-Like</c:v>
                </c:pt>
              </c:strCache>
            </c:strRef>
          </c:cat>
          <c:val>
            <c:numRef>
              <c:f>'SFF 8'!$E$5:$I$5</c:f>
              <c:numCache>
                <c:formatCode>0</c:formatCode>
                <c:ptCount val="5"/>
                <c:pt idx="0">
                  <c:v>30</c:v>
                </c:pt>
                <c:pt idx="1">
                  <c:v>24</c:v>
                </c:pt>
                <c:pt idx="2">
                  <c:v>20.16</c:v>
                </c:pt>
                <c:pt idx="3">
                  <c:v>17.034700315457414</c:v>
                </c:pt>
                <c:pt idx="4">
                  <c:v>13.535791757049891</c:v>
                </c:pt>
              </c:numCache>
            </c:numRef>
          </c:val>
          <c:smooth val="0"/>
          <c:extLst>
            <c:ext xmlns:c16="http://schemas.microsoft.com/office/drawing/2014/chart" uri="{C3380CC4-5D6E-409C-BE32-E72D297353CC}">
              <c16:uniqueId val="{00000004-1596-4575-983E-A2D016A3800A}"/>
            </c:ext>
          </c:extLst>
        </c:ser>
        <c:ser>
          <c:idx val="5"/>
          <c:order val="5"/>
          <c:tx>
            <c:v>Old Centroid Conector</c:v>
          </c:tx>
          <c:spPr>
            <a:ln w="31750">
              <a:solidFill>
                <a:schemeClr val="bg1">
                  <a:lumMod val="65000"/>
                </a:schemeClr>
              </a:solidFill>
              <a:prstDash val="dash"/>
            </a:ln>
          </c:spPr>
          <c:marker>
            <c:symbol val="none"/>
          </c:marker>
          <c:val>
            <c:numRef>
              <c:f>'SFF 7.0'!$C$5:$G$5</c:f>
              <c:numCache>
                <c:formatCode>0.0</c:formatCode>
                <c:ptCount val="5"/>
                <c:pt idx="0">
                  <c:v>30</c:v>
                </c:pt>
                <c:pt idx="1">
                  <c:v>23.225806451612904</c:v>
                </c:pt>
                <c:pt idx="2">
                  <c:v>21.176470588235293</c:v>
                </c:pt>
                <c:pt idx="3">
                  <c:v>16.216216216216218</c:v>
                </c:pt>
                <c:pt idx="4">
                  <c:v>13.535791757049891</c:v>
                </c:pt>
              </c:numCache>
            </c:numRef>
          </c:val>
          <c:smooth val="0"/>
          <c:extLst>
            <c:ext xmlns:c16="http://schemas.microsoft.com/office/drawing/2014/chart" uri="{C3380CC4-5D6E-409C-BE32-E72D297353CC}">
              <c16:uniqueId val="{00000005-1596-4575-983E-A2D016A3800A}"/>
            </c:ext>
          </c:extLst>
        </c:ser>
        <c:ser>
          <c:idx val="9"/>
          <c:order val="6"/>
          <c:tx>
            <c:v>Old Principal Arterial</c:v>
          </c:tx>
          <c:spPr>
            <a:ln>
              <a:solidFill>
                <a:srgbClr val="FF0000"/>
              </a:solidFill>
              <a:prstDash val="dash"/>
            </a:ln>
          </c:spPr>
          <c:marker>
            <c:symbol val="none"/>
          </c:marker>
          <c:val>
            <c:numRef>
              <c:f>'SFF 7.0'!$C$6:$G$6</c:f>
              <c:numCache>
                <c:formatCode>0.0</c:formatCode>
                <c:ptCount val="5"/>
                <c:pt idx="0">
                  <c:v>55</c:v>
                </c:pt>
                <c:pt idx="1">
                  <c:v>44.745762711864408</c:v>
                </c:pt>
                <c:pt idx="2">
                  <c:v>39.560439560439562</c:v>
                </c:pt>
                <c:pt idx="3">
                  <c:v>32.757051865332116</c:v>
                </c:pt>
                <c:pt idx="4">
                  <c:v>23.398328690807801</c:v>
                </c:pt>
              </c:numCache>
            </c:numRef>
          </c:val>
          <c:smooth val="0"/>
          <c:extLst>
            <c:ext xmlns:c16="http://schemas.microsoft.com/office/drawing/2014/chart" uri="{C3380CC4-5D6E-409C-BE32-E72D297353CC}">
              <c16:uniqueId val="{00000006-1596-4575-983E-A2D016A3800A}"/>
            </c:ext>
          </c:extLst>
        </c:ser>
        <c:ser>
          <c:idx val="6"/>
          <c:order val="7"/>
          <c:tx>
            <c:v>Old Minor Arterial</c:v>
          </c:tx>
          <c:spPr>
            <a:ln>
              <a:solidFill>
                <a:srgbClr val="008000"/>
              </a:solidFill>
              <a:prstDash val="dash"/>
            </a:ln>
          </c:spPr>
          <c:marker>
            <c:symbol val="none"/>
          </c:marker>
          <c:val>
            <c:numRef>
              <c:f>'SFF 7.0'!$C$7:$G$7</c:f>
              <c:numCache>
                <c:formatCode>0.0</c:formatCode>
                <c:ptCount val="5"/>
                <c:pt idx="0">
                  <c:v>50</c:v>
                </c:pt>
                <c:pt idx="1">
                  <c:v>39.130434782608695</c:v>
                </c:pt>
                <c:pt idx="2">
                  <c:v>36.363636363636367</c:v>
                </c:pt>
                <c:pt idx="3">
                  <c:v>31.044955194780847</c:v>
                </c:pt>
                <c:pt idx="4">
                  <c:v>22.527075812274372</c:v>
                </c:pt>
              </c:numCache>
            </c:numRef>
          </c:val>
          <c:smooth val="0"/>
          <c:extLst>
            <c:ext xmlns:c16="http://schemas.microsoft.com/office/drawing/2014/chart" uri="{C3380CC4-5D6E-409C-BE32-E72D297353CC}">
              <c16:uniqueId val="{00000007-1596-4575-983E-A2D016A3800A}"/>
            </c:ext>
          </c:extLst>
        </c:ser>
        <c:ser>
          <c:idx val="7"/>
          <c:order val="8"/>
          <c:tx>
            <c:v>Old Major Collector</c:v>
          </c:tx>
          <c:spPr>
            <a:ln>
              <a:solidFill>
                <a:srgbClr val="0000FF"/>
              </a:solidFill>
              <a:prstDash val="dash"/>
            </a:ln>
          </c:spPr>
          <c:marker>
            <c:symbol val="none"/>
          </c:marker>
          <c:val>
            <c:numRef>
              <c:f>'SFF 7.0'!$C$8:$G$8</c:f>
              <c:numCache>
                <c:formatCode>0.0</c:formatCode>
                <c:ptCount val="5"/>
                <c:pt idx="0">
                  <c:v>40</c:v>
                </c:pt>
                <c:pt idx="1">
                  <c:v>33.772455089820355</c:v>
                </c:pt>
                <c:pt idx="2">
                  <c:v>30.323212536728697</c:v>
                </c:pt>
                <c:pt idx="3">
                  <c:v>25.678098432710659</c:v>
                </c:pt>
                <c:pt idx="4">
                  <c:v>18.378378378378379</c:v>
                </c:pt>
              </c:numCache>
            </c:numRef>
          </c:val>
          <c:smooth val="0"/>
          <c:extLst>
            <c:ext xmlns:c16="http://schemas.microsoft.com/office/drawing/2014/chart" uri="{C3380CC4-5D6E-409C-BE32-E72D297353CC}">
              <c16:uniqueId val="{00000008-1596-4575-983E-A2D016A3800A}"/>
            </c:ext>
          </c:extLst>
        </c:ser>
        <c:ser>
          <c:idx val="8"/>
          <c:order val="9"/>
          <c:tx>
            <c:v>Old Minor Collector</c:v>
          </c:tx>
          <c:spPr>
            <a:ln>
              <a:solidFill>
                <a:srgbClr val="9933FF"/>
              </a:solidFill>
              <a:prstDash val="dash"/>
            </a:ln>
          </c:spPr>
          <c:marker>
            <c:symbol val="none"/>
          </c:marker>
          <c:val>
            <c:numRef>
              <c:f>'SFF 7.0'!$C$9:$G$9</c:f>
              <c:numCache>
                <c:formatCode>0.0</c:formatCode>
                <c:ptCount val="5"/>
                <c:pt idx="0">
                  <c:v>37</c:v>
                </c:pt>
                <c:pt idx="1">
                  <c:v>30.772455089820355</c:v>
                </c:pt>
                <c:pt idx="2">
                  <c:v>27.323212536728697</c:v>
                </c:pt>
                <c:pt idx="3">
                  <c:v>22.678098432710659</c:v>
                </c:pt>
                <c:pt idx="4">
                  <c:v>15.378378378378379</c:v>
                </c:pt>
              </c:numCache>
            </c:numRef>
          </c:val>
          <c:smooth val="0"/>
          <c:extLst>
            <c:ext xmlns:c16="http://schemas.microsoft.com/office/drawing/2014/chart" uri="{C3380CC4-5D6E-409C-BE32-E72D297353CC}">
              <c16:uniqueId val="{00000009-1596-4575-983E-A2D016A3800A}"/>
            </c:ext>
          </c:extLst>
        </c:ser>
        <c:dLbls>
          <c:showLegendKey val="0"/>
          <c:showVal val="0"/>
          <c:showCatName val="0"/>
          <c:showSerName val="0"/>
          <c:showPercent val="0"/>
          <c:showBubbleSize val="0"/>
        </c:dLbls>
        <c:marker val="1"/>
        <c:smooth val="0"/>
        <c:axId val="246015088"/>
        <c:axId val="246015480"/>
      </c:lineChart>
      <c:catAx>
        <c:axId val="246015088"/>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6015480"/>
        <c:crosses val="autoZero"/>
        <c:auto val="1"/>
        <c:lblAlgn val="ctr"/>
        <c:lblOffset val="100"/>
        <c:tickLblSkip val="1"/>
        <c:tickMarkSkip val="1"/>
        <c:noMultiLvlLbl val="0"/>
      </c:catAx>
      <c:valAx>
        <c:axId val="246015480"/>
        <c:scaling>
          <c:orientation val="minMax"/>
          <c:max val="60"/>
          <c:min val="0"/>
        </c:scaling>
        <c:delete val="0"/>
        <c:axPos val="l"/>
        <c:majorGridlines>
          <c:spPr>
            <a:ln w="3175">
              <a:solidFill>
                <a:srgbClr val="C0C0C0"/>
              </a:solidFill>
              <a:prstDash val="solid"/>
            </a:ln>
          </c:spPr>
        </c:majorGridlines>
        <c:title>
          <c:tx>
            <c:rich>
              <a:bodyPr rot="0" vert="horz"/>
              <a:lstStyle/>
              <a:p>
                <a:pPr algn="ctr">
                  <a:defRPr sz="1200" b="1" i="0" u="none" strike="noStrike" baseline="0">
                    <a:solidFill>
                      <a:srgbClr val="000000"/>
                    </a:solidFill>
                    <a:latin typeface="Calibri"/>
                    <a:ea typeface="Calibri"/>
                    <a:cs typeface="Calibri"/>
                  </a:defRPr>
                </a:pPr>
                <a:r>
                  <a:rPr lang="en-US"/>
                  <a:t>MPH</a:t>
                </a:r>
              </a:p>
            </c:rich>
          </c:tx>
          <c:layout>
            <c:manualLayout>
              <c:xMode val="edge"/>
              <c:yMode val="edge"/>
              <c:x val="2.450548128998719E-2"/>
              <c:y val="8.1575454032608699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6015088"/>
        <c:crosses val="autoZero"/>
        <c:crossBetween val="between"/>
      </c:valAx>
      <c:spPr>
        <a:solidFill>
          <a:srgbClr val="FFFFFF"/>
        </a:solidFill>
        <a:ln w="12700">
          <a:solidFill>
            <a:srgbClr val="C0C0C0"/>
          </a:solidFill>
          <a:prstDash val="solid"/>
        </a:ln>
      </c:spPr>
    </c:plotArea>
    <c:legend>
      <c:legendPos val="b"/>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7.2260924156814944E-3"/>
          <c:y val="0.9214881227584244"/>
          <c:w val="0.89999994119260807"/>
          <c:h val="4.1249078307885878E-2"/>
        </c:manualLayout>
      </c:layout>
      <c:overlay val="0"/>
      <c:spPr>
        <a:solidFill>
          <a:srgbClr val="FFFFFF"/>
        </a:solid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a:t>
            </a:r>
          </a:p>
        </c:rich>
      </c:tx>
      <c:layout>
        <c:manualLayout>
          <c:xMode val="edge"/>
          <c:yMode val="edge"/>
          <c:x val="0.37864560878017045"/>
          <c:y val="2.8136482939632456E-2"/>
        </c:manualLayout>
      </c:layout>
      <c:overlay val="0"/>
      <c:spPr>
        <a:noFill/>
        <a:ln w="25400">
          <a:noFill/>
        </a:ln>
      </c:spPr>
    </c:title>
    <c:autoTitleDeleted val="0"/>
    <c:plotArea>
      <c:layout>
        <c:manualLayout>
          <c:layoutTarget val="inner"/>
          <c:xMode val="edge"/>
          <c:yMode val="edge"/>
          <c:x val="0.24849260450336544"/>
          <c:y val="0.20913366596418331"/>
          <c:w val="0.71401872876933148"/>
          <c:h val="0.76063606903976544"/>
        </c:manualLayout>
      </c:layout>
      <c:barChart>
        <c:barDir val="bar"/>
        <c:grouping val="clustered"/>
        <c:varyColors val="0"/>
        <c:ser>
          <c:idx val="0"/>
          <c:order val="0"/>
          <c:tx>
            <c:strRef>
              <c:f>'SFF 8'!$E$14</c:f>
              <c:strCache>
                <c:ptCount val="1"/>
                <c:pt idx="0">
                  <c:v>Speed</c:v>
                </c:pt>
              </c:strCache>
            </c:strRef>
          </c:tx>
          <c:spPr>
            <a:solidFill>
              <a:srgbClr val="339966"/>
            </a:solidFill>
            <a:ln w="12700">
              <a:solidFill>
                <a:srgbClr val="C0C0C0"/>
              </a:solidFill>
              <a:prstDash val="solid"/>
            </a:ln>
          </c:spPr>
          <c:invertIfNegative val="0"/>
          <c:cat>
            <c:strRef>
              <c:f>('SFF 8'!$D$15:$D$18,'SFF 8'!$D$20:$D$29,'SFF 8'!$D$31:$D$32)</c:f>
              <c:strCache>
                <c:ptCount val="16"/>
                <c:pt idx="0">
                  <c:v>Expressway, posted 60-70 mph</c:v>
                </c:pt>
                <c:pt idx="1">
                  <c:v>Expressway, posted 55-65 mph</c:v>
                </c:pt>
                <c:pt idx="2">
                  <c:v>Expressway, posted 50-60 mph</c:v>
                </c:pt>
                <c:pt idx="3">
                  <c:v>Expressway, posted 45-55 mph</c:v>
                </c:pt>
                <c:pt idx="4">
                  <c:v>#REF!</c:v>
                </c:pt>
                <c:pt idx="5">
                  <c:v>#REF!</c:v>
                </c:pt>
                <c:pt idx="6">
                  <c:v>#REF!</c:v>
                </c:pt>
                <c:pt idx="7">
                  <c:v>#REF!</c:v>
                </c:pt>
                <c:pt idx="8">
                  <c:v>#REF!</c:v>
                </c:pt>
                <c:pt idx="9">
                  <c:v>#REF!</c:v>
                </c:pt>
                <c:pt idx="10">
                  <c:v>#REF!</c:v>
                </c:pt>
                <c:pt idx="11">
                  <c:v>#REF!</c:v>
                </c:pt>
                <c:pt idx="12">
                  <c:v>#REF!</c:v>
                </c:pt>
                <c:pt idx="13">
                  <c:v>#REF!</c:v>
                </c:pt>
                <c:pt idx="14">
                  <c:v>#REF!</c:v>
                </c:pt>
                <c:pt idx="15">
                  <c:v>#REF!</c:v>
                </c:pt>
              </c:strCache>
            </c:strRef>
          </c:cat>
          <c:val>
            <c:numRef>
              <c:f>('SFF 8'!$E$15:$E$18,'SFF 8'!$E$20:$E$29,'SFF 8'!$E$31:$E$32)</c:f>
              <c:numCache>
                <c:formatCode>0</c:formatCode>
                <c:ptCount val="16"/>
                <c:pt idx="0">
                  <c:v>59.617834394904463</c:v>
                </c:pt>
                <c:pt idx="1">
                  <c:v>53.333333333333336</c:v>
                </c:pt>
                <c:pt idx="2">
                  <c:v>47.710843373493979</c:v>
                </c:pt>
                <c:pt idx="3">
                  <c:v>42.603550295857993</c:v>
                </c:pt>
                <c:pt idx="4">
                  <c:v>35</c:v>
                </c:pt>
                <c:pt idx="5">
                  <c:v>55</c:v>
                </c:pt>
                <c:pt idx="6">
                  <c:v>62</c:v>
                </c:pt>
                <c:pt idx="7">
                  <c:v>67</c:v>
                </c:pt>
                <c:pt idx="8">
                  <c:v>67</c:v>
                </c:pt>
                <c:pt idx="9">
                  <c:v>75</c:v>
                </c:pt>
                <c:pt idx="10">
                  <c:v>75</c:v>
                </c:pt>
                <c:pt idx="11">
                  <c:v>70</c:v>
                </c:pt>
                <c:pt idx="12">
                  <c:v>70</c:v>
                </c:pt>
                <c:pt idx="13">
                  <c:v>70</c:v>
                </c:pt>
                <c:pt idx="14">
                  <c:v>23</c:v>
                </c:pt>
                <c:pt idx="15">
                  <c:v>26</c:v>
                </c:pt>
              </c:numCache>
            </c:numRef>
          </c:val>
          <c:extLst>
            <c:ext xmlns:c16="http://schemas.microsoft.com/office/drawing/2014/chart" uri="{C3380CC4-5D6E-409C-BE32-E72D297353CC}">
              <c16:uniqueId val="{00000000-69AE-47AE-88E3-700563E28133}"/>
            </c:ext>
          </c:extLst>
        </c:ser>
        <c:dLbls>
          <c:showLegendKey val="0"/>
          <c:showVal val="0"/>
          <c:showCatName val="0"/>
          <c:showSerName val="0"/>
          <c:showPercent val="0"/>
          <c:showBubbleSize val="0"/>
        </c:dLbls>
        <c:gapWidth val="100"/>
        <c:axId val="246016264"/>
        <c:axId val="245544440"/>
      </c:barChart>
      <c:catAx>
        <c:axId val="246016264"/>
        <c:scaling>
          <c:orientation val="maxMin"/>
        </c:scaling>
        <c:delete val="0"/>
        <c:axPos val="l"/>
        <c:title>
          <c:tx>
            <c:rich>
              <a:bodyPr rot="0" vert="horz"/>
              <a:lstStyle/>
              <a:p>
                <a:pPr algn="ctr">
                  <a:defRPr sz="1200" b="1" i="0" u="none" strike="noStrike" baseline="0">
                    <a:solidFill>
                      <a:srgbClr val="000000"/>
                    </a:solidFill>
                    <a:latin typeface="Calibri"/>
                    <a:ea typeface="Calibri"/>
                    <a:cs typeface="Calibri"/>
                  </a:defRPr>
                </a:pPr>
                <a:r>
                  <a:rPr lang="en-US"/>
                  <a:t>Functional Type</a:t>
                </a:r>
              </a:p>
            </c:rich>
          </c:tx>
          <c:layout>
            <c:manualLayout>
              <c:xMode val="edge"/>
              <c:yMode val="edge"/>
              <c:x val="4.9316860157255712E-2"/>
              <c:y val="0.15760823021528977"/>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245544440"/>
        <c:crosses val="autoZero"/>
        <c:auto val="1"/>
        <c:lblAlgn val="ctr"/>
        <c:lblOffset val="100"/>
        <c:tickLblSkip val="1"/>
        <c:tickMarkSkip val="1"/>
        <c:noMultiLvlLbl val="0"/>
      </c:catAx>
      <c:valAx>
        <c:axId val="245544440"/>
        <c:scaling>
          <c:orientation val="minMax"/>
          <c:max val="80"/>
        </c:scaling>
        <c:delete val="0"/>
        <c:axPos val="t"/>
        <c:majorGridlines>
          <c:spPr>
            <a:ln w="3175">
              <a:solidFill>
                <a:srgbClr val="C0C0C0"/>
              </a:solidFill>
              <a:prstDash val="solid"/>
            </a:ln>
          </c:spPr>
        </c:majorGridlines>
        <c:title>
          <c:tx>
            <c:rich>
              <a:bodyPr/>
              <a:lstStyle/>
              <a:p>
                <a:pPr>
                  <a:defRPr sz="1200" b="1" i="0" u="none" strike="noStrike" baseline="0">
                    <a:solidFill>
                      <a:srgbClr val="000000"/>
                    </a:solidFill>
                    <a:latin typeface="Calibri"/>
                    <a:ea typeface="Calibri"/>
                    <a:cs typeface="Calibri"/>
                  </a:defRPr>
                </a:pPr>
                <a:r>
                  <a:rPr lang="en-US"/>
                  <a:t>MPH</a:t>
                </a:r>
              </a:p>
            </c:rich>
          </c:tx>
          <c:layout>
            <c:manualLayout>
              <c:xMode val="edge"/>
              <c:yMode val="edge"/>
              <c:x val="0.57653934452464384"/>
              <c:y val="0.1217899695636282"/>
            </c:manualLayout>
          </c:layout>
          <c:overlay val="0"/>
          <c:spPr>
            <a:noFill/>
            <a:ln w="25400">
              <a:noFill/>
            </a:ln>
          </c:spPr>
        </c:title>
        <c:numFmt formatCode="0" sourceLinked="0"/>
        <c:majorTickMark val="out"/>
        <c:minorTickMark val="none"/>
        <c:tickLblPos val="nextTo"/>
        <c:spPr>
          <a:ln w="3175">
            <a:solidFill>
              <a:srgbClr val="C0C0C0"/>
            </a:solidFill>
            <a:prstDash val="solid"/>
          </a:ln>
        </c:spPr>
        <c:txPr>
          <a:bodyPr rot="0" vert="horz"/>
          <a:lstStyle/>
          <a:p>
            <a:pPr>
              <a:defRPr sz="1100" b="0" i="0" u="none" strike="noStrike" baseline="0">
                <a:solidFill>
                  <a:srgbClr val="000000"/>
                </a:solidFill>
                <a:latin typeface="Calibri"/>
                <a:ea typeface="Calibri"/>
                <a:cs typeface="Calibri"/>
              </a:defRPr>
            </a:pPr>
            <a:endParaRPr lang="en-US"/>
          </a:p>
        </c:txPr>
        <c:crossAx val="246016264"/>
        <c:crosses val="autoZero"/>
        <c:crossBetween val="between"/>
      </c:valAx>
      <c:spPr>
        <a:noFill/>
        <a:ln w="12700">
          <a:solidFill>
            <a:srgbClr val="C0C0C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 By Area Type</a:t>
            </a:r>
          </a:p>
        </c:rich>
      </c:tx>
      <c:layout>
        <c:manualLayout>
          <c:xMode val="edge"/>
          <c:yMode val="edge"/>
          <c:x val="0.2803712360162473"/>
          <c:y val="3.0935361536721821E-2"/>
        </c:manualLayout>
      </c:layout>
      <c:overlay val="0"/>
      <c:spPr>
        <a:noFill/>
        <a:ln w="25400">
          <a:noFill/>
        </a:ln>
      </c:spPr>
    </c:title>
    <c:autoTitleDeleted val="0"/>
    <c:plotArea>
      <c:layout>
        <c:manualLayout>
          <c:layoutTarget val="inner"/>
          <c:xMode val="edge"/>
          <c:yMode val="edge"/>
          <c:x val="8.5267525992475279E-2"/>
          <c:y val="0.2206723577332653"/>
          <c:w val="0.88736035524372259"/>
          <c:h val="0.5960216017281651"/>
        </c:manualLayout>
      </c:layout>
      <c:lineChart>
        <c:grouping val="standard"/>
        <c:varyColors val="0"/>
        <c:ser>
          <c:idx val="1"/>
          <c:order val="0"/>
          <c:tx>
            <c:strRef>
              <c:f>'SFF 7.0'!$B$6</c:f>
              <c:strCache>
                <c:ptCount val="1"/>
                <c:pt idx="0">
                  <c:v>Principle Arterial</c:v>
                </c:pt>
              </c:strCache>
            </c:strRef>
          </c:tx>
          <c:spPr>
            <a:ln w="25400">
              <a:solidFill>
                <a:srgbClr val="FF0000"/>
              </a:solidFill>
              <a:prstDash val="solid"/>
            </a:ln>
          </c:spPr>
          <c:marker>
            <c:symbol val="square"/>
            <c:size val="7"/>
            <c:spPr>
              <a:noFill/>
              <a:ln>
                <a:solidFill>
                  <a:srgbClr val="FF0000"/>
                </a:solidFill>
                <a:prstDash val="solid"/>
              </a:ln>
            </c:spPr>
          </c:marker>
          <c:cat>
            <c:strRef>
              <c:f>'SFF 7.0'!$C$4:$G$4</c:f>
              <c:strCache>
                <c:ptCount val="5"/>
                <c:pt idx="0">
                  <c:v>Rural</c:v>
                </c:pt>
                <c:pt idx="1">
                  <c:v>Transition</c:v>
                </c:pt>
                <c:pt idx="2">
                  <c:v>Suburban</c:v>
                </c:pt>
                <c:pt idx="3">
                  <c:v>Urban</c:v>
                </c:pt>
                <c:pt idx="4">
                  <c:v>CBD-Like</c:v>
                </c:pt>
              </c:strCache>
            </c:strRef>
          </c:cat>
          <c:val>
            <c:numRef>
              <c:f>'SFF 7.0'!$C$6:$G$6</c:f>
              <c:numCache>
                <c:formatCode>0.0</c:formatCode>
                <c:ptCount val="5"/>
                <c:pt idx="0">
                  <c:v>55</c:v>
                </c:pt>
                <c:pt idx="1">
                  <c:v>44.745762711864408</c:v>
                </c:pt>
                <c:pt idx="2">
                  <c:v>39.560439560439562</c:v>
                </c:pt>
                <c:pt idx="3">
                  <c:v>32.757051865332116</c:v>
                </c:pt>
                <c:pt idx="4">
                  <c:v>23.398328690807801</c:v>
                </c:pt>
              </c:numCache>
            </c:numRef>
          </c:val>
          <c:smooth val="0"/>
          <c:extLst>
            <c:ext xmlns:c16="http://schemas.microsoft.com/office/drawing/2014/chart" uri="{C3380CC4-5D6E-409C-BE32-E72D297353CC}">
              <c16:uniqueId val="{00000000-A6B5-4F79-A3B1-1072D19D150F}"/>
            </c:ext>
          </c:extLst>
        </c:ser>
        <c:ser>
          <c:idx val="2"/>
          <c:order val="1"/>
          <c:tx>
            <c:strRef>
              <c:f>'SFF 7.0'!$B$7</c:f>
              <c:strCache>
                <c:ptCount val="1"/>
                <c:pt idx="0">
                  <c:v>Minor Arterial</c:v>
                </c:pt>
              </c:strCache>
            </c:strRef>
          </c:tx>
          <c:spPr>
            <a:ln w="25400">
              <a:solidFill>
                <a:srgbClr val="008000"/>
              </a:solidFill>
              <a:prstDash val="solid"/>
            </a:ln>
          </c:spPr>
          <c:marker>
            <c:symbol val="triangle"/>
            <c:size val="7"/>
            <c:spPr>
              <a:noFill/>
              <a:ln>
                <a:solidFill>
                  <a:srgbClr val="008000"/>
                </a:solidFill>
                <a:prstDash val="solid"/>
              </a:ln>
            </c:spPr>
          </c:marker>
          <c:cat>
            <c:strRef>
              <c:f>'SFF 7.0'!$C$4:$G$4</c:f>
              <c:strCache>
                <c:ptCount val="5"/>
                <c:pt idx="0">
                  <c:v>Rural</c:v>
                </c:pt>
                <c:pt idx="1">
                  <c:v>Transition</c:v>
                </c:pt>
                <c:pt idx="2">
                  <c:v>Suburban</c:v>
                </c:pt>
                <c:pt idx="3">
                  <c:v>Urban</c:v>
                </c:pt>
                <c:pt idx="4">
                  <c:v>CBD-Like</c:v>
                </c:pt>
              </c:strCache>
            </c:strRef>
          </c:cat>
          <c:val>
            <c:numRef>
              <c:f>'SFF 7.0'!$C$7:$G$7</c:f>
              <c:numCache>
                <c:formatCode>0.0</c:formatCode>
                <c:ptCount val="5"/>
                <c:pt idx="0">
                  <c:v>50</c:v>
                </c:pt>
                <c:pt idx="1">
                  <c:v>39.130434782608695</c:v>
                </c:pt>
                <c:pt idx="2">
                  <c:v>36.363636363636367</c:v>
                </c:pt>
                <c:pt idx="3">
                  <c:v>31.044955194780847</c:v>
                </c:pt>
                <c:pt idx="4">
                  <c:v>22.527075812274372</c:v>
                </c:pt>
              </c:numCache>
            </c:numRef>
          </c:val>
          <c:smooth val="0"/>
          <c:extLst>
            <c:ext xmlns:c16="http://schemas.microsoft.com/office/drawing/2014/chart" uri="{C3380CC4-5D6E-409C-BE32-E72D297353CC}">
              <c16:uniqueId val="{00000001-A6B5-4F79-A3B1-1072D19D150F}"/>
            </c:ext>
          </c:extLst>
        </c:ser>
        <c:ser>
          <c:idx val="3"/>
          <c:order val="2"/>
          <c:tx>
            <c:strRef>
              <c:f>'SFF 7.0'!$B$8</c:f>
              <c:strCache>
                <c:ptCount val="1"/>
                <c:pt idx="0">
                  <c:v>Major Collector</c:v>
                </c:pt>
              </c:strCache>
            </c:strRef>
          </c:tx>
          <c:spPr>
            <a:ln w="25400">
              <a:solidFill>
                <a:srgbClr val="0000FF"/>
              </a:solidFill>
              <a:prstDash val="solid"/>
            </a:ln>
          </c:spPr>
          <c:marker>
            <c:symbol val="x"/>
            <c:size val="7"/>
            <c:spPr>
              <a:noFill/>
              <a:ln>
                <a:solidFill>
                  <a:srgbClr val="0000FF"/>
                </a:solidFill>
                <a:prstDash val="solid"/>
              </a:ln>
            </c:spPr>
          </c:marker>
          <c:cat>
            <c:strRef>
              <c:f>'SFF 7.0'!$C$4:$G$4</c:f>
              <c:strCache>
                <c:ptCount val="5"/>
                <c:pt idx="0">
                  <c:v>Rural</c:v>
                </c:pt>
                <c:pt idx="1">
                  <c:v>Transition</c:v>
                </c:pt>
                <c:pt idx="2">
                  <c:v>Suburban</c:v>
                </c:pt>
                <c:pt idx="3">
                  <c:v>Urban</c:v>
                </c:pt>
                <c:pt idx="4">
                  <c:v>CBD-Like</c:v>
                </c:pt>
              </c:strCache>
            </c:strRef>
          </c:cat>
          <c:val>
            <c:numRef>
              <c:f>'SFF 7.0'!$C$8:$G$8</c:f>
              <c:numCache>
                <c:formatCode>0.0</c:formatCode>
                <c:ptCount val="5"/>
                <c:pt idx="0">
                  <c:v>40</c:v>
                </c:pt>
                <c:pt idx="1">
                  <c:v>33.772455089820355</c:v>
                </c:pt>
                <c:pt idx="2">
                  <c:v>30.323212536728697</c:v>
                </c:pt>
                <c:pt idx="3">
                  <c:v>25.678098432710659</c:v>
                </c:pt>
                <c:pt idx="4">
                  <c:v>18.378378378378379</c:v>
                </c:pt>
              </c:numCache>
            </c:numRef>
          </c:val>
          <c:smooth val="0"/>
          <c:extLst>
            <c:ext xmlns:c16="http://schemas.microsoft.com/office/drawing/2014/chart" uri="{C3380CC4-5D6E-409C-BE32-E72D297353CC}">
              <c16:uniqueId val="{00000002-A6B5-4F79-A3B1-1072D19D150F}"/>
            </c:ext>
          </c:extLst>
        </c:ser>
        <c:ser>
          <c:idx val="4"/>
          <c:order val="3"/>
          <c:tx>
            <c:strRef>
              <c:f>'SFF 7.0'!$B$9</c:f>
              <c:strCache>
                <c:ptCount val="1"/>
                <c:pt idx="0">
                  <c:v>Minor Collector</c:v>
                </c:pt>
              </c:strCache>
            </c:strRef>
          </c:tx>
          <c:spPr>
            <a:ln w="25400">
              <a:solidFill>
                <a:srgbClr val="FF80FF"/>
              </a:solidFill>
              <a:prstDash val="solid"/>
            </a:ln>
          </c:spPr>
          <c:marker>
            <c:symbol val="plus"/>
            <c:size val="7"/>
            <c:spPr>
              <a:ln>
                <a:solidFill>
                  <a:srgbClr val="FF80FF"/>
                </a:solidFill>
              </a:ln>
            </c:spPr>
          </c:marker>
          <c:cat>
            <c:strRef>
              <c:f>'SFF 7.0'!$C$4:$G$4</c:f>
              <c:strCache>
                <c:ptCount val="5"/>
                <c:pt idx="0">
                  <c:v>Rural</c:v>
                </c:pt>
                <c:pt idx="1">
                  <c:v>Transition</c:v>
                </c:pt>
                <c:pt idx="2">
                  <c:v>Suburban</c:v>
                </c:pt>
                <c:pt idx="3">
                  <c:v>Urban</c:v>
                </c:pt>
                <c:pt idx="4">
                  <c:v>CBD-Like</c:v>
                </c:pt>
              </c:strCache>
            </c:strRef>
          </c:cat>
          <c:val>
            <c:numRef>
              <c:f>'SFF 7.0'!$C$9:$G$9</c:f>
              <c:numCache>
                <c:formatCode>0.0</c:formatCode>
                <c:ptCount val="5"/>
                <c:pt idx="0">
                  <c:v>37</c:v>
                </c:pt>
                <c:pt idx="1">
                  <c:v>30.772455089820355</c:v>
                </c:pt>
                <c:pt idx="2">
                  <c:v>27.323212536728697</c:v>
                </c:pt>
                <c:pt idx="3">
                  <c:v>22.678098432710659</c:v>
                </c:pt>
                <c:pt idx="4">
                  <c:v>15.378378378378379</c:v>
                </c:pt>
              </c:numCache>
            </c:numRef>
          </c:val>
          <c:smooth val="0"/>
          <c:extLst>
            <c:ext xmlns:c16="http://schemas.microsoft.com/office/drawing/2014/chart" uri="{C3380CC4-5D6E-409C-BE32-E72D297353CC}">
              <c16:uniqueId val="{00000003-A6B5-4F79-A3B1-1072D19D150F}"/>
            </c:ext>
          </c:extLst>
        </c:ser>
        <c:ser>
          <c:idx val="0"/>
          <c:order val="4"/>
          <c:tx>
            <c:strRef>
              <c:f>'SFF 7.0'!$B$5</c:f>
              <c:strCache>
                <c:ptCount val="1"/>
                <c:pt idx="0">
                  <c:v>Centroid Connector / Local</c:v>
                </c:pt>
              </c:strCache>
            </c:strRef>
          </c:tx>
          <c:spPr>
            <a:ln w="25400">
              <a:solidFill>
                <a:srgbClr val="969696"/>
              </a:solidFill>
              <a:prstDash val="solid"/>
            </a:ln>
          </c:spPr>
          <c:marker>
            <c:symbol val="diamond"/>
            <c:size val="7"/>
            <c:spPr>
              <a:noFill/>
              <a:ln>
                <a:solidFill>
                  <a:srgbClr val="969696"/>
                </a:solidFill>
                <a:prstDash val="solid"/>
              </a:ln>
            </c:spPr>
          </c:marker>
          <c:cat>
            <c:strRef>
              <c:f>'SFF 7.0'!$C$4:$G$4</c:f>
              <c:strCache>
                <c:ptCount val="5"/>
                <c:pt idx="0">
                  <c:v>Rural</c:v>
                </c:pt>
                <c:pt idx="1">
                  <c:v>Transition</c:v>
                </c:pt>
                <c:pt idx="2">
                  <c:v>Suburban</c:v>
                </c:pt>
                <c:pt idx="3">
                  <c:v>Urban</c:v>
                </c:pt>
                <c:pt idx="4">
                  <c:v>CBD-Like</c:v>
                </c:pt>
              </c:strCache>
            </c:strRef>
          </c:cat>
          <c:val>
            <c:numRef>
              <c:f>'SFF 7.0'!$C$5:$G$5</c:f>
              <c:numCache>
                <c:formatCode>0.0</c:formatCode>
                <c:ptCount val="5"/>
                <c:pt idx="0">
                  <c:v>30</c:v>
                </c:pt>
                <c:pt idx="1">
                  <c:v>23.225806451612904</c:v>
                </c:pt>
                <c:pt idx="2">
                  <c:v>21.176470588235293</c:v>
                </c:pt>
                <c:pt idx="3">
                  <c:v>16.216216216216218</c:v>
                </c:pt>
                <c:pt idx="4">
                  <c:v>13.535791757049891</c:v>
                </c:pt>
              </c:numCache>
            </c:numRef>
          </c:val>
          <c:smooth val="0"/>
          <c:extLst>
            <c:ext xmlns:c16="http://schemas.microsoft.com/office/drawing/2014/chart" uri="{C3380CC4-5D6E-409C-BE32-E72D297353CC}">
              <c16:uniqueId val="{00000004-A6B5-4F79-A3B1-1072D19D150F}"/>
            </c:ext>
          </c:extLst>
        </c:ser>
        <c:dLbls>
          <c:showLegendKey val="0"/>
          <c:showVal val="0"/>
          <c:showCatName val="0"/>
          <c:showSerName val="0"/>
          <c:showPercent val="0"/>
          <c:showBubbleSize val="0"/>
        </c:dLbls>
        <c:marker val="1"/>
        <c:smooth val="0"/>
        <c:axId val="245545224"/>
        <c:axId val="245545616"/>
      </c:lineChart>
      <c:catAx>
        <c:axId val="245545224"/>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5545616"/>
        <c:crosses val="autoZero"/>
        <c:auto val="1"/>
        <c:lblAlgn val="ctr"/>
        <c:lblOffset val="100"/>
        <c:tickLblSkip val="1"/>
        <c:tickMarkSkip val="1"/>
        <c:noMultiLvlLbl val="0"/>
      </c:catAx>
      <c:valAx>
        <c:axId val="245545616"/>
        <c:scaling>
          <c:orientation val="minMax"/>
          <c:max val="60"/>
          <c:min val="0"/>
        </c:scaling>
        <c:delete val="0"/>
        <c:axPos val="l"/>
        <c:majorGridlines>
          <c:spPr>
            <a:ln w="3175">
              <a:solidFill>
                <a:srgbClr val="C0C0C0"/>
              </a:solidFill>
              <a:prstDash val="solid"/>
            </a:ln>
          </c:spPr>
        </c:majorGridlines>
        <c:title>
          <c:tx>
            <c:rich>
              <a:bodyPr rot="0" vert="horz"/>
              <a:lstStyle/>
              <a:p>
                <a:pPr algn="ctr">
                  <a:defRPr sz="1200" b="1" i="0" u="none" strike="noStrike" baseline="0">
                    <a:solidFill>
                      <a:srgbClr val="000000"/>
                    </a:solidFill>
                    <a:latin typeface="Calibri"/>
                    <a:ea typeface="Calibri"/>
                    <a:cs typeface="Calibri"/>
                  </a:defRPr>
                </a:pPr>
                <a:r>
                  <a:rPr lang="en-US"/>
                  <a:t>MPH</a:t>
                </a:r>
              </a:p>
            </c:rich>
          </c:tx>
          <c:layout>
            <c:manualLayout>
              <c:xMode val="edge"/>
              <c:yMode val="edge"/>
              <c:x val="3.7575468772455427E-2"/>
              <c:y val="0.140240375764652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en-US"/>
          </a:p>
        </c:txPr>
        <c:crossAx val="245545224"/>
        <c:crosses val="autoZero"/>
        <c:crossBetween val="between"/>
      </c:valAx>
      <c:spPr>
        <a:solidFill>
          <a:srgbClr val="FFFFFF"/>
        </a:solidFill>
        <a:ln w="12700">
          <a:solidFill>
            <a:srgbClr val="C0C0C0"/>
          </a:solidFill>
          <a:prstDash val="solid"/>
        </a:ln>
      </c:spPr>
    </c:plotArea>
    <c:legend>
      <c:legendPos val="b"/>
      <c:layout>
        <c:manualLayout>
          <c:xMode val="edge"/>
          <c:yMode val="edge"/>
          <c:x val="7.2260924156814944E-3"/>
          <c:y val="0.92393669228220221"/>
          <c:w val="0.9422783967566013"/>
          <c:h val="4.5371793455677774E-2"/>
        </c:manualLayout>
      </c:layout>
      <c:overlay val="0"/>
      <c:spPr>
        <a:solidFill>
          <a:srgbClr val="FFFFFF"/>
        </a:solidFill>
        <a:ln w="25400">
          <a:noFill/>
        </a:ln>
      </c:spPr>
      <c:txPr>
        <a:bodyPr/>
        <a:lstStyle/>
        <a:p>
          <a:pPr>
            <a:defRPr sz="735"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Free Flow Speed</a:t>
            </a:r>
          </a:p>
        </c:rich>
      </c:tx>
      <c:layout>
        <c:manualLayout>
          <c:xMode val="edge"/>
          <c:yMode val="edge"/>
          <c:x val="0.37864560878017045"/>
          <c:y val="2.8136482939632456E-2"/>
        </c:manualLayout>
      </c:layout>
      <c:overlay val="0"/>
      <c:spPr>
        <a:noFill/>
        <a:ln w="25400">
          <a:noFill/>
        </a:ln>
      </c:spPr>
    </c:title>
    <c:autoTitleDeleted val="0"/>
    <c:plotArea>
      <c:layout>
        <c:manualLayout>
          <c:layoutTarget val="inner"/>
          <c:xMode val="edge"/>
          <c:yMode val="edge"/>
          <c:x val="0.35841265162938707"/>
          <c:y val="0.25135232666130553"/>
          <c:w val="0.60409874347211223"/>
          <c:h val="0.71841747097970177"/>
        </c:manualLayout>
      </c:layout>
      <c:barChart>
        <c:barDir val="bar"/>
        <c:grouping val="clustered"/>
        <c:varyColors val="0"/>
        <c:ser>
          <c:idx val="0"/>
          <c:order val="0"/>
          <c:tx>
            <c:strRef>
              <c:f>'SFF 7.0'!$C$11</c:f>
              <c:strCache>
                <c:ptCount val="1"/>
                <c:pt idx="0">
                  <c:v>Speed</c:v>
                </c:pt>
              </c:strCache>
            </c:strRef>
          </c:tx>
          <c:spPr>
            <a:solidFill>
              <a:srgbClr val="339966"/>
            </a:solidFill>
            <a:ln w="12700">
              <a:solidFill>
                <a:srgbClr val="C0C0C0"/>
              </a:solidFill>
              <a:prstDash val="solid"/>
            </a:ln>
          </c:spPr>
          <c:invertIfNegative val="0"/>
          <c:cat>
            <c:strRef>
              <c:f>'SFF 7.0'!$B$12:$B$29</c:f>
              <c:strCache>
                <c:ptCount val="18"/>
                <c:pt idx="0">
                  <c:v>Innovative intersection, cross-street</c:v>
                </c:pt>
                <c:pt idx="1">
                  <c:v>Innovative intersection, primary street</c:v>
                </c:pt>
                <c:pt idx="2">
                  <c:v>Multilane Hwy</c:v>
                </c:pt>
                <c:pt idx="3">
                  <c:v>Rural Hwy - Principal Arterial</c:v>
                </c:pt>
                <c:pt idx="4">
                  <c:v>Rural Hwy - Minor Arterial</c:v>
                </c:pt>
                <c:pt idx="5">
                  <c:v>Rural Hwy - Collector</c:v>
                </c:pt>
                <c:pt idx="6">
                  <c:v>Fwy: system-to-system loop ramp</c:v>
                </c:pt>
                <c:pt idx="7">
                  <c:v>Fwy: Lower spd, higher access CD roads</c:v>
                </c:pt>
                <c:pt idx="8">
                  <c:v>Fwy: lower capacity</c:v>
                </c:pt>
                <c:pt idx="9">
                  <c:v>Fwy: higher capacity</c:v>
                </c:pt>
                <c:pt idx="10">
                  <c:v>Fwy: CD roads</c:v>
                </c:pt>
                <c:pt idx="11">
                  <c:v>Fwy: HOV lanes</c:v>
                </c:pt>
                <c:pt idx="12">
                  <c:v>Fwy: Rural/High spd</c:v>
                </c:pt>
                <c:pt idx="13">
                  <c:v>Fwy: On-ramp</c:v>
                </c:pt>
                <c:pt idx="14">
                  <c:v>Fwy: Off-ramp</c:v>
                </c:pt>
                <c:pt idx="15">
                  <c:v>Fwy: Managed Ln access</c:v>
                </c:pt>
                <c:pt idx="16">
                  <c:v>Fwy: Toll lanes</c:v>
                </c:pt>
                <c:pt idx="17">
                  <c:v>Fwy: Tollway</c:v>
                </c:pt>
              </c:strCache>
            </c:strRef>
          </c:cat>
          <c:val>
            <c:numRef>
              <c:f>'SFF 7.0'!$C$12:$C$29</c:f>
              <c:numCache>
                <c:formatCode>0</c:formatCode>
                <c:ptCount val="18"/>
                <c:pt idx="0">
                  <c:v>38</c:v>
                </c:pt>
                <c:pt idx="1">
                  <c:v>42</c:v>
                </c:pt>
                <c:pt idx="2" formatCode="0.0">
                  <c:v>41.379310344827587</c:v>
                </c:pt>
                <c:pt idx="3" formatCode="0.0">
                  <c:v>44.978123480797279</c:v>
                </c:pt>
                <c:pt idx="4" formatCode="0.0">
                  <c:v>39.978123480797279</c:v>
                </c:pt>
                <c:pt idx="5" formatCode="0.0">
                  <c:v>34.978123480797279</c:v>
                </c:pt>
                <c:pt idx="6">
                  <c:v>40</c:v>
                </c:pt>
                <c:pt idx="7">
                  <c:v>40</c:v>
                </c:pt>
                <c:pt idx="8">
                  <c:v>67</c:v>
                </c:pt>
                <c:pt idx="9">
                  <c:v>67</c:v>
                </c:pt>
                <c:pt idx="10">
                  <c:v>55</c:v>
                </c:pt>
                <c:pt idx="11">
                  <c:v>70</c:v>
                </c:pt>
                <c:pt idx="12">
                  <c:v>75</c:v>
                </c:pt>
                <c:pt idx="13">
                  <c:v>23</c:v>
                </c:pt>
                <c:pt idx="14">
                  <c:v>26</c:v>
                </c:pt>
                <c:pt idx="15">
                  <c:v>70</c:v>
                </c:pt>
                <c:pt idx="16">
                  <c:v>70</c:v>
                </c:pt>
                <c:pt idx="17" formatCode="0.0">
                  <c:v>77.5</c:v>
                </c:pt>
              </c:numCache>
            </c:numRef>
          </c:val>
          <c:extLst>
            <c:ext xmlns:c16="http://schemas.microsoft.com/office/drawing/2014/chart" uri="{C3380CC4-5D6E-409C-BE32-E72D297353CC}">
              <c16:uniqueId val="{00000000-A25C-4A72-939F-AFDCC4B1AD77}"/>
            </c:ext>
          </c:extLst>
        </c:ser>
        <c:dLbls>
          <c:showLegendKey val="0"/>
          <c:showVal val="0"/>
          <c:showCatName val="0"/>
          <c:showSerName val="0"/>
          <c:showPercent val="0"/>
          <c:showBubbleSize val="0"/>
        </c:dLbls>
        <c:gapWidth val="100"/>
        <c:axId val="245546400"/>
        <c:axId val="245546792"/>
      </c:barChart>
      <c:catAx>
        <c:axId val="245546400"/>
        <c:scaling>
          <c:orientation val="maxMin"/>
        </c:scaling>
        <c:delete val="0"/>
        <c:axPos val="l"/>
        <c:title>
          <c:tx>
            <c:rich>
              <a:bodyPr rot="0" vert="horz"/>
              <a:lstStyle/>
              <a:p>
                <a:pPr algn="ctr">
                  <a:defRPr sz="1200" b="1" i="0" u="none" strike="noStrike" baseline="0">
                    <a:solidFill>
                      <a:srgbClr val="000000"/>
                    </a:solidFill>
                    <a:latin typeface="Calibri"/>
                    <a:ea typeface="Calibri"/>
                    <a:cs typeface="Calibri"/>
                  </a:defRPr>
                </a:pPr>
                <a:r>
                  <a:rPr lang="en-US"/>
                  <a:t>Functional Type</a:t>
                </a:r>
              </a:p>
            </c:rich>
          </c:tx>
          <c:layout>
            <c:manualLayout>
              <c:xMode val="edge"/>
              <c:yMode val="edge"/>
              <c:x val="0.13006905837058552"/>
              <c:y val="0.17819753405141331"/>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245546792"/>
        <c:crosses val="autoZero"/>
        <c:auto val="1"/>
        <c:lblAlgn val="ctr"/>
        <c:lblOffset val="100"/>
        <c:tickLblSkip val="1"/>
        <c:tickMarkSkip val="1"/>
        <c:noMultiLvlLbl val="0"/>
      </c:catAx>
      <c:valAx>
        <c:axId val="245546792"/>
        <c:scaling>
          <c:orientation val="minMax"/>
        </c:scaling>
        <c:delete val="0"/>
        <c:axPos val="t"/>
        <c:majorGridlines>
          <c:spPr>
            <a:ln w="3175">
              <a:solidFill>
                <a:srgbClr val="C0C0C0"/>
              </a:solidFill>
              <a:prstDash val="solid"/>
            </a:ln>
          </c:spPr>
        </c:majorGridlines>
        <c:title>
          <c:tx>
            <c:rich>
              <a:bodyPr/>
              <a:lstStyle/>
              <a:p>
                <a:pPr>
                  <a:defRPr sz="1200" b="1" i="0" u="none" strike="noStrike" baseline="0">
                    <a:solidFill>
                      <a:srgbClr val="000000"/>
                    </a:solidFill>
                    <a:latin typeface="Calibri"/>
                    <a:ea typeface="Calibri"/>
                    <a:cs typeface="Calibri"/>
                  </a:defRPr>
                </a:pPr>
                <a:r>
                  <a:rPr lang="en-US"/>
                  <a:t>MPH</a:t>
                </a:r>
              </a:p>
            </c:rich>
          </c:tx>
          <c:layout>
            <c:manualLayout>
              <c:xMode val="edge"/>
              <c:yMode val="edge"/>
              <c:x val="0.63444825160543872"/>
              <c:y val="0.12380037194804212"/>
            </c:manualLayout>
          </c:layout>
          <c:overlay val="0"/>
          <c:spPr>
            <a:noFill/>
            <a:ln w="25400">
              <a:noFill/>
            </a:ln>
          </c:spPr>
        </c:title>
        <c:numFmt formatCode="0" sourceLinked="0"/>
        <c:majorTickMark val="out"/>
        <c:minorTickMark val="none"/>
        <c:tickLblPos val="nextTo"/>
        <c:spPr>
          <a:ln w="3175">
            <a:solidFill>
              <a:srgbClr val="C0C0C0"/>
            </a:solidFill>
            <a:prstDash val="solid"/>
          </a:ln>
        </c:spPr>
        <c:txPr>
          <a:bodyPr rot="0" vert="horz"/>
          <a:lstStyle/>
          <a:p>
            <a:pPr>
              <a:defRPr sz="1200" b="0" i="0" u="none" strike="noStrike" baseline="0">
                <a:solidFill>
                  <a:srgbClr val="000000"/>
                </a:solidFill>
                <a:latin typeface="Calibri"/>
                <a:ea typeface="Calibri"/>
                <a:cs typeface="Calibri"/>
              </a:defRPr>
            </a:pPr>
            <a:endParaRPr lang="en-US"/>
          </a:p>
        </c:txPr>
        <c:crossAx val="245546400"/>
        <c:crosses val="autoZero"/>
        <c:crossBetween val="between"/>
      </c:valAx>
      <c:spPr>
        <a:noFill/>
        <a:ln w="12700">
          <a:solidFill>
            <a:srgbClr val="C0C0C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44" r="0.75000000000000144"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Hourly Capacity per Direction, FT 32 Freeway</a:t>
            </a:r>
            <a:endParaRPr lang="en-US"/>
          </a:p>
        </c:rich>
      </c:tx>
      <c:overlay val="0"/>
      <c:spPr>
        <a:noFill/>
        <a:ln w="25400">
          <a:noFill/>
        </a:ln>
      </c:spPr>
    </c:title>
    <c:autoTitleDeleted val="0"/>
    <c:plotArea>
      <c:layout>
        <c:manualLayout>
          <c:layoutTarget val="inner"/>
          <c:xMode val="edge"/>
          <c:yMode val="edge"/>
          <c:x val="0.14476717555093577"/>
          <c:y val="0.15596363721797704"/>
          <c:w val="0.65724297700124601"/>
          <c:h val="0.68026692829117452"/>
        </c:manualLayout>
      </c:layout>
      <c:scatterChart>
        <c:scatterStyle val="smoothMarker"/>
        <c:varyColors val="0"/>
        <c:ser>
          <c:idx val="0"/>
          <c:order val="0"/>
          <c:tx>
            <c:strRef>
              <c:f>'Cap1hr1ln V7.0'!$R$37</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V7.0'!$Q$38:$Q$43</c:f>
              <c:numCache>
                <c:formatCode>General</c:formatCode>
                <c:ptCount val="6"/>
                <c:pt idx="0">
                  <c:v>2</c:v>
                </c:pt>
                <c:pt idx="1">
                  <c:v>3</c:v>
                </c:pt>
                <c:pt idx="2">
                  <c:v>4</c:v>
                </c:pt>
                <c:pt idx="3">
                  <c:v>5</c:v>
                </c:pt>
                <c:pt idx="4">
                  <c:v>6</c:v>
                </c:pt>
                <c:pt idx="5">
                  <c:v>7</c:v>
                </c:pt>
              </c:numCache>
            </c:numRef>
          </c:xVal>
          <c:yVal>
            <c:numRef>
              <c:f>'Cap1hr1ln V7.0'!$R$38:$R$43</c:f>
              <c:numCache>
                <c:formatCode>_(* #,##0_);_(* \(#,##0\);_(* "-"??_);_(@_)</c:formatCode>
                <c:ptCount val="6"/>
                <c:pt idx="0">
                  <c:v>4800</c:v>
                </c:pt>
                <c:pt idx="1">
                  <c:v>7200</c:v>
                </c:pt>
                <c:pt idx="2">
                  <c:v>9600</c:v>
                </c:pt>
                <c:pt idx="3">
                  <c:v>12000</c:v>
                </c:pt>
                <c:pt idx="4">
                  <c:v>14400</c:v>
                </c:pt>
                <c:pt idx="5">
                  <c:v>16800</c:v>
                </c:pt>
              </c:numCache>
            </c:numRef>
          </c:yVal>
          <c:smooth val="1"/>
          <c:extLst>
            <c:ext xmlns:c16="http://schemas.microsoft.com/office/drawing/2014/chart" uri="{C3380CC4-5D6E-409C-BE32-E72D297353CC}">
              <c16:uniqueId val="{00000000-9F0A-434F-B41A-4BB86E18CBB7}"/>
            </c:ext>
          </c:extLst>
        </c:ser>
        <c:ser>
          <c:idx val="1"/>
          <c:order val="1"/>
          <c:tx>
            <c:strRef>
              <c:f>'Cap1hr1ln V7.0'!$S$37</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V7.0'!$Q$38:$Q$43</c:f>
              <c:numCache>
                <c:formatCode>General</c:formatCode>
                <c:ptCount val="6"/>
                <c:pt idx="0">
                  <c:v>2</c:v>
                </c:pt>
                <c:pt idx="1">
                  <c:v>3</c:v>
                </c:pt>
                <c:pt idx="2">
                  <c:v>4</c:v>
                </c:pt>
                <c:pt idx="3">
                  <c:v>5</c:v>
                </c:pt>
                <c:pt idx="4">
                  <c:v>6</c:v>
                </c:pt>
                <c:pt idx="5">
                  <c:v>7</c:v>
                </c:pt>
              </c:numCache>
            </c:numRef>
          </c:xVal>
          <c:yVal>
            <c:numRef>
              <c:f>'Cap1hr1ln V7.0'!$S$38:$S$43</c:f>
              <c:numCache>
                <c:formatCode>_(* #,##0_);_(* \(#,##0\);_(* "-"??_);_(@_)</c:formatCode>
                <c:ptCount val="6"/>
                <c:pt idx="0">
                  <c:v>4918</c:v>
                </c:pt>
                <c:pt idx="1">
                  <c:v>6710.6500000000005</c:v>
                </c:pt>
                <c:pt idx="2">
                  <c:v>8376.7599999999984</c:v>
                </c:pt>
                <c:pt idx="3">
                  <c:v>9979.6</c:v>
                </c:pt>
                <c:pt idx="4">
                  <c:v>11582.44</c:v>
                </c:pt>
                <c:pt idx="5">
                  <c:v>13100.92</c:v>
                </c:pt>
              </c:numCache>
            </c:numRef>
          </c:yVal>
          <c:smooth val="1"/>
          <c:extLst>
            <c:ext xmlns:c16="http://schemas.microsoft.com/office/drawing/2014/chart" uri="{C3380CC4-5D6E-409C-BE32-E72D297353CC}">
              <c16:uniqueId val="{00000001-9F0A-434F-B41A-4BB86E18CBB7}"/>
            </c:ext>
          </c:extLst>
        </c:ser>
        <c:dLbls>
          <c:showLegendKey val="0"/>
          <c:showVal val="0"/>
          <c:showCatName val="0"/>
          <c:showSerName val="0"/>
          <c:showPercent val="0"/>
          <c:showBubbleSize val="0"/>
        </c:dLbls>
        <c:axId val="245547576"/>
        <c:axId val="245547968"/>
      </c:scatterChart>
      <c:valAx>
        <c:axId val="245547576"/>
        <c:scaling>
          <c:orientation val="minMax"/>
        </c:scaling>
        <c:delete val="0"/>
        <c:axPos val="b"/>
        <c:title>
          <c:tx>
            <c:rich>
              <a:bodyPr/>
              <a:lstStyle/>
              <a:p>
                <a:pPr>
                  <a:defRPr/>
                </a:pPr>
                <a:r>
                  <a:rPr lang="en-US"/>
                  <a:t>Total Lanes</a:t>
                </a:r>
              </a:p>
            </c:rich>
          </c:tx>
          <c:layout>
            <c:manualLayout>
              <c:xMode val="edge"/>
              <c:yMode val="edge"/>
              <c:x val="0.82968328958880277"/>
              <c:y val="0.85852596399726433"/>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5547968"/>
        <c:crosses val="autoZero"/>
        <c:crossBetween val="midCat"/>
      </c:valAx>
      <c:valAx>
        <c:axId val="245547968"/>
        <c:scaling>
          <c:orientation val="minMax"/>
          <c:min val="4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5547576"/>
        <c:crosses val="autoZero"/>
        <c:crossBetween val="midCat"/>
      </c:valAx>
    </c:plotArea>
    <c:legend>
      <c:legendPos val="r"/>
      <c:layout>
        <c:manualLayout>
          <c:xMode val="edge"/>
          <c:yMode val="edge"/>
          <c:x val="0.17372056753775345"/>
          <c:y val="0.27542513777417732"/>
          <c:w val="0.28808672828939952"/>
          <c:h val="0.15928197078259154"/>
        </c:manualLayout>
      </c:layout>
      <c:overlay val="0"/>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Daily Capacity, Both Directions, FT 32 Freeway</a:t>
            </a:r>
            <a:endParaRPr lang="en-US"/>
          </a:p>
        </c:rich>
      </c:tx>
      <c:overlay val="0"/>
      <c:spPr>
        <a:noFill/>
        <a:ln w="25400">
          <a:noFill/>
        </a:ln>
      </c:spPr>
    </c:title>
    <c:autoTitleDeleted val="0"/>
    <c:plotArea>
      <c:layout>
        <c:manualLayout>
          <c:layoutTarget val="inner"/>
          <c:xMode val="edge"/>
          <c:yMode val="edge"/>
          <c:x val="0.16213923661704746"/>
          <c:y val="0.31192727443595414"/>
          <c:w val="0.62394652662453343"/>
          <c:h val="0.45793578587405992"/>
        </c:manualLayout>
      </c:layout>
      <c:scatterChart>
        <c:scatterStyle val="smoothMarker"/>
        <c:varyColors val="0"/>
        <c:ser>
          <c:idx val="0"/>
          <c:order val="0"/>
          <c:tx>
            <c:strRef>
              <c:f>'Cap1hr1ln V7.0'!$V$37</c:f>
              <c:strCache>
                <c:ptCount val="1"/>
                <c:pt idx="0">
                  <c:v>Sat Flow, 100% efficient, PCE</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V7.0'!$U$38:$U$43</c:f>
              <c:numCache>
                <c:formatCode>General</c:formatCode>
                <c:ptCount val="6"/>
                <c:pt idx="0">
                  <c:v>2</c:v>
                </c:pt>
                <c:pt idx="1">
                  <c:v>3</c:v>
                </c:pt>
                <c:pt idx="2">
                  <c:v>4</c:v>
                </c:pt>
                <c:pt idx="3">
                  <c:v>5</c:v>
                </c:pt>
                <c:pt idx="4">
                  <c:v>6</c:v>
                </c:pt>
                <c:pt idx="5">
                  <c:v>7</c:v>
                </c:pt>
              </c:numCache>
            </c:numRef>
          </c:xVal>
          <c:yVal>
            <c:numRef>
              <c:f>'Cap1hr1ln V7.0'!$V$38:$V$43</c:f>
              <c:numCache>
                <c:formatCode>_(* #,##0_);_(* \(#,##0\);_(* "-"??_);_(@_)</c:formatCode>
                <c:ptCount val="6"/>
                <c:pt idx="0">
                  <c:v>107000</c:v>
                </c:pt>
                <c:pt idx="1">
                  <c:v>160000</c:v>
                </c:pt>
                <c:pt idx="2">
                  <c:v>213000</c:v>
                </c:pt>
                <c:pt idx="3">
                  <c:v>267000</c:v>
                </c:pt>
                <c:pt idx="4">
                  <c:v>320000</c:v>
                </c:pt>
                <c:pt idx="5">
                  <c:v>373000</c:v>
                </c:pt>
              </c:numCache>
            </c:numRef>
          </c:yVal>
          <c:smooth val="1"/>
          <c:extLst>
            <c:ext xmlns:c16="http://schemas.microsoft.com/office/drawing/2014/chart" uri="{C3380CC4-5D6E-409C-BE32-E72D297353CC}">
              <c16:uniqueId val="{00000000-6BB4-4EF2-B3AA-2F2005AACC1D}"/>
            </c:ext>
          </c:extLst>
        </c:ser>
        <c:ser>
          <c:idx val="1"/>
          <c:order val="1"/>
          <c:tx>
            <c:strRef>
              <c:f>'Cap1hr1ln V7.0'!$W$37</c:f>
              <c:strCache>
                <c:ptCount val="1"/>
                <c:pt idx="0">
                  <c:v>Actual Vehicles (not PCE)</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V7.0'!$U$38:$U$43</c:f>
              <c:numCache>
                <c:formatCode>General</c:formatCode>
                <c:ptCount val="6"/>
                <c:pt idx="0">
                  <c:v>2</c:v>
                </c:pt>
                <c:pt idx="1">
                  <c:v>3</c:v>
                </c:pt>
                <c:pt idx="2">
                  <c:v>4</c:v>
                </c:pt>
                <c:pt idx="3">
                  <c:v>5</c:v>
                </c:pt>
                <c:pt idx="4">
                  <c:v>6</c:v>
                </c:pt>
                <c:pt idx="5">
                  <c:v>7</c:v>
                </c:pt>
              </c:numCache>
            </c:numRef>
          </c:xVal>
          <c:yVal>
            <c:numRef>
              <c:f>'Cap1hr1ln V7.0'!$W$38:$W$43</c:f>
              <c:numCache>
                <c:formatCode>_(* #,##0_);_(* \(#,##0\);_(* "-"??_);_(@_)</c:formatCode>
                <c:ptCount val="6"/>
                <c:pt idx="0">
                  <c:v>109000</c:v>
                </c:pt>
                <c:pt idx="1">
                  <c:v>149000</c:v>
                </c:pt>
                <c:pt idx="2">
                  <c:v>186000</c:v>
                </c:pt>
                <c:pt idx="3">
                  <c:v>222000</c:v>
                </c:pt>
                <c:pt idx="4">
                  <c:v>257000</c:v>
                </c:pt>
                <c:pt idx="5">
                  <c:v>291000</c:v>
                </c:pt>
              </c:numCache>
            </c:numRef>
          </c:yVal>
          <c:smooth val="1"/>
          <c:extLst>
            <c:ext xmlns:c16="http://schemas.microsoft.com/office/drawing/2014/chart" uri="{C3380CC4-5D6E-409C-BE32-E72D297353CC}">
              <c16:uniqueId val="{00000001-6BB4-4EF2-B3AA-2F2005AACC1D}"/>
            </c:ext>
          </c:extLst>
        </c:ser>
        <c:dLbls>
          <c:showLegendKey val="0"/>
          <c:showVal val="0"/>
          <c:showCatName val="0"/>
          <c:showSerName val="0"/>
          <c:showPercent val="0"/>
          <c:showBubbleSize val="0"/>
        </c:dLbls>
        <c:axId val="246549632"/>
        <c:axId val="246550024"/>
      </c:scatterChart>
      <c:valAx>
        <c:axId val="246549632"/>
        <c:scaling>
          <c:orientation val="minMax"/>
        </c:scaling>
        <c:delete val="0"/>
        <c:axPos val="b"/>
        <c:title>
          <c:tx>
            <c:rich>
              <a:bodyPr/>
              <a:lstStyle/>
              <a:p>
                <a:pPr>
                  <a:defRPr/>
                </a:pPr>
                <a:r>
                  <a:rPr lang="en-US"/>
                  <a:t>Total Lanes per Dir.</a:t>
                </a:r>
              </a:p>
            </c:rich>
          </c:tx>
          <c:layout>
            <c:manualLayout>
              <c:xMode val="edge"/>
              <c:yMode val="edge"/>
              <c:x val="0.81854144318916788"/>
              <c:y val="0.86669130988851684"/>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6550024"/>
        <c:crosses val="autoZero"/>
        <c:crossBetween val="midCat"/>
      </c:valAx>
      <c:valAx>
        <c:axId val="246550024"/>
        <c:scaling>
          <c:orientation val="minMax"/>
          <c:min val="100000"/>
        </c:scaling>
        <c:delete val="0"/>
        <c:axPos val="l"/>
        <c:majorGridlines/>
        <c:title>
          <c:tx>
            <c:rich>
              <a:bodyPr rot="-5400000" vert="horz"/>
              <a:lstStyle/>
              <a:p>
                <a:pPr>
                  <a:defRPr sz="1400"/>
                </a:pPr>
                <a:r>
                  <a:rPr lang="en-US" sz="1400"/>
                  <a:t>Total Capacity</a:t>
                </a:r>
              </a:p>
            </c:rich>
          </c:tx>
          <c:overlay val="0"/>
          <c:spPr>
            <a:noFill/>
            <a:ln w="25400">
              <a:noFill/>
            </a:ln>
          </c:spPr>
        </c:title>
        <c:numFmt formatCode="_(* #,##0_);_(* \(#,##0\);_(* &quot;-&quot;??_);_(@_)" sourceLinked="1"/>
        <c:majorTickMark val="out"/>
        <c:minorTickMark val="none"/>
        <c:tickLblPos val="nextTo"/>
        <c:crossAx val="246549632"/>
        <c:crosses val="autoZero"/>
        <c:crossBetween val="midCat"/>
      </c:valAx>
    </c:plotArea>
    <c:legend>
      <c:legendPos val="r"/>
      <c:layout>
        <c:manualLayout>
          <c:xMode val="edge"/>
          <c:yMode val="edge"/>
          <c:x val="0.15055787591768419"/>
          <c:y val="0.15264517980268544"/>
          <c:w val="0.157796188519914"/>
          <c:h val="0.15928197078259154"/>
        </c:manualLayout>
      </c:layout>
      <c:overlay val="0"/>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a:t>
            </a:r>
            <a:r>
              <a:rPr lang="en-US" baseline="0"/>
              <a:t> Capacity per Hour per Lane, FT 32 Freeway</a:t>
            </a:r>
            <a:endParaRPr lang="en-US"/>
          </a:p>
        </c:rich>
      </c:tx>
      <c:overlay val="0"/>
      <c:spPr>
        <a:noFill/>
        <a:ln w="25400">
          <a:noFill/>
        </a:ln>
      </c:spPr>
    </c:title>
    <c:autoTitleDeleted val="0"/>
    <c:plotArea>
      <c:layout>
        <c:manualLayout>
          <c:layoutTarget val="inner"/>
          <c:xMode val="edge"/>
          <c:yMode val="edge"/>
          <c:x val="0.1881973282162159"/>
          <c:y val="0.30648774912214993"/>
          <c:w val="0.60657446555841865"/>
          <c:h val="0.46306301226063784"/>
        </c:manualLayout>
      </c:layout>
      <c:scatterChart>
        <c:scatterStyle val="smoothMarker"/>
        <c:varyColors val="0"/>
        <c:ser>
          <c:idx val="0"/>
          <c:order val="0"/>
          <c:tx>
            <c:strRef>
              <c:f>'Cap1hr1ln V7.0'!$N$37</c:f>
              <c:strCache>
                <c:ptCount val="1"/>
                <c:pt idx="0">
                  <c:v>Sat Flow</c:v>
                </c:pt>
              </c:strCache>
            </c:strRef>
          </c:tx>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V7.0'!$M$38:$M$43</c:f>
              <c:numCache>
                <c:formatCode>General</c:formatCode>
                <c:ptCount val="6"/>
                <c:pt idx="0">
                  <c:v>2</c:v>
                </c:pt>
                <c:pt idx="1">
                  <c:v>3</c:v>
                </c:pt>
                <c:pt idx="2">
                  <c:v>4</c:v>
                </c:pt>
                <c:pt idx="3">
                  <c:v>5</c:v>
                </c:pt>
                <c:pt idx="4">
                  <c:v>6</c:v>
                </c:pt>
                <c:pt idx="5">
                  <c:v>7</c:v>
                </c:pt>
              </c:numCache>
            </c:numRef>
          </c:xVal>
          <c:yVal>
            <c:numRef>
              <c:f>'Cap1hr1ln V7.0'!$N$38:$N$43</c:f>
              <c:numCache>
                <c:formatCode>General</c:formatCode>
                <c:ptCount val="6"/>
                <c:pt idx="0">
                  <c:v>2400</c:v>
                </c:pt>
                <c:pt idx="1">
                  <c:v>2400</c:v>
                </c:pt>
                <c:pt idx="2">
                  <c:v>2400</c:v>
                </c:pt>
                <c:pt idx="3">
                  <c:v>2400</c:v>
                </c:pt>
                <c:pt idx="4">
                  <c:v>2400</c:v>
                </c:pt>
                <c:pt idx="5">
                  <c:v>2400</c:v>
                </c:pt>
              </c:numCache>
            </c:numRef>
          </c:yVal>
          <c:smooth val="1"/>
          <c:extLst>
            <c:ext xmlns:c16="http://schemas.microsoft.com/office/drawing/2014/chart" uri="{C3380CC4-5D6E-409C-BE32-E72D297353CC}">
              <c16:uniqueId val="{00000000-C00A-4831-A0DD-7E57B8F552C9}"/>
            </c:ext>
          </c:extLst>
        </c:ser>
        <c:ser>
          <c:idx val="1"/>
          <c:order val="1"/>
          <c:tx>
            <c:strRef>
              <c:f>'Cap1hr1ln V7.0'!$O$37</c:f>
              <c:strCache>
                <c:ptCount val="1"/>
                <c:pt idx="0">
                  <c:v>Cap1hr1ln</c:v>
                </c:pt>
              </c:strCache>
            </c:strRef>
          </c:tx>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'Cap1hr1ln V7.0'!$M$38:$M$43</c:f>
              <c:numCache>
                <c:formatCode>General</c:formatCode>
                <c:ptCount val="6"/>
                <c:pt idx="0">
                  <c:v>2</c:v>
                </c:pt>
                <c:pt idx="1">
                  <c:v>3</c:v>
                </c:pt>
                <c:pt idx="2">
                  <c:v>4</c:v>
                </c:pt>
                <c:pt idx="3">
                  <c:v>5</c:v>
                </c:pt>
                <c:pt idx="4">
                  <c:v>6</c:v>
                </c:pt>
                <c:pt idx="5">
                  <c:v>7</c:v>
                </c:pt>
              </c:numCache>
            </c:numRef>
          </c:xVal>
          <c:yVal>
            <c:numRef>
              <c:f>'Cap1hr1ln V7.0'!$O$38:$O$43</c:f>
              <c:numCache>
                <c:formatCode>_(* #,##0_);_(* \(#,##0\);_(* "-"??_);_(@_)</c:formatCode>
                <c:ptCount val="6"/>
                <c:pt idx="0">
                  <c:v>2459</c:v>
                </c:pt>
                <c:pt idx="1">
                  <c:v>2236.8833333333337</c:v>
                </c:pt>
                <c:pt idx="2">
                  <c:v>2094.1899999999996</c:v>
                </c:pt>
                <c:pt idx="3">
                  <c:v>1995.92</c:v>
                </c:pt>
                <c:pt idx="4">
                  <c:v>1930.4066666666668</c:v>
                </c:pt>
                <c:pt idx="5">
                  <c:v>1871.56</c:v>
                </c:pt>
              </c:numCache>
            </c:numRef>
          </c:yVal>
          <c:smooth val="1"/>
          <c:extLst>
            <c:ext xmlns:c16="http://schemas.microsoft.com/office/drawing/2014/chart" uri="{C3380CC4-5D6E-409C-BE32-E72D297353CC}">
              <c16:uniqueId val="{00000001-C00A-4831-A0DD-7E57B8F552C9}"/>
            </c:ext>
          </c:extLst>
        </c:ser>
        <c:dLbls>
          <c:showLegendKey val="0"/>
          <c:showVal val="0"/>
          <c:showCatName val="0"/>
          <c:showSerName val="0"/>
          <c:showPercent val="0"/>
          <c:showBubbleSize val="0"/>
        </c:dLbls>
        <c:axId val="246550808"/>
        <c:axId val="246551200"/>
      </c:scatterChart>
      <c:valAx>
        <c:axId val="246550808"/>
        <c:scaling>
          <c:orientation val="minMax"/>
        </c:scaling>
        <c:delete val="0"/>
        <c:axPos val="b"/>
        <c:title>
          <c:tx>
            <c:rich>
              <a:bodyPr/>
              <a:lstStyle/>
              <a:p>
                <a:pPr>
                  <a:defRPr/>
                </a:pPr>
                <a:r>
                  <a:rPr lang="en-US"/>
                  <a:t>Total Lanes</a:t>
                </a:r>
              </a:p>
            </c:rich>
          </c:tx>
          <c:layout>
            <c:manualLayout>
              <c:xMode val="edge"/>
              <c:yMode val="edge"/>
              <c:x val="0.82968328958880277"/>
              <c:y val="0.8911868597070508"/>
            </c:manualLayout>
          </c:layout>
          <c:overlay val="0"/>
          <c:spPr>
            <a:noFill/>
            <a:ln w="25400">
              <a:noFill/>
            </a:ln>
          </c:sp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6551200"/>
        <c:crosses val="autoZero"/>
        <c:crossBetween val="midCat"/>
      </c:valAx>
      <c:valAx>
        <c:axId val="246551200"/>
        <c:scaling>
          <c:orientation val="minMax"/>
          <c:min val="1500"/>
        </c:scaling>
        <c:delete val="0"/>
        <c:axPos val="l"/>
        <c:majorGridlines/>
        <c:title>
          <c:tx>
            <c:rich>
              <a:bodyPr rot="-5400000" vert="horz"/>
              <a:lstStyle/>
              <a:p>
                <a:pPr>
                  <a:defRPr sz="1400"/>
                </a:pPr>
                <a:r>
                  <a:rPr lang="en-US" sz="1400"/>
                  <a:t>Cap1hr1ln</a:t>
                </a:r>
              </a:p>
            </c:rich>
          </c:tx>
          <c:overlay val="0"/>
          <c:spPr>
            <a:noFill/>
            <a:ln w="25400">
              <a:noFill/>
            </a:ln>
          </c:spPr>
        </c:title>
        <c:numFmt formatCode="General" sourceLinked="1"/>
        <c:majorTickMark val="out"/>
        <c:minorTickMark val="none"/>
        <c:tickLblPos val="nextTo"/>
        <c:crossAx val="246550808"/>
        <c:crosses val="autoZero"/>
        <c:crossBetween val="midCat"/>
      </c:valAx>
    </c:plotArea>
    <c:legend>
      <c:legendPos val="r"/>
      <c:layout>
        <c:manualLayout>
          <c:xMode val="edge"/>
          <c:yMode val="edge"/>
          <c:x val="0.18095903229487656"/>
          <c:y val="0.62963237659808957"/>
          <c:w val="0.14042420784358475"/>
          <c:h val="0.15990652781305559"/>
        </c:manualLayout>
      </c:layout>
      <c:overlay val="0"/>
    </c:legend>
    <c:plotVisOnly val="1"/>
    <c:dispBlanksAs val="gap"/>
    <c:showDLblsOverMax val="0"/>
  </c:chart>
  <c:printSettings>
    <c:headerFooter/>
    <c:pageMargins b="0.75000000000000167" l="0.70000000000000062" r="0.70000000000000062" t="0.75000000000000167" header="0.30000000000000032" footer="0.30000000000000032"/>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508810010460226E-2"/>
          <c:y val="5.8785489327308184E-2"/>
          <c:w val="0.86496924139721842"/>
          <c:h val="0.81300680879848319"/>
        </c:manualLayout>
      </c:layout>
      <c:scatterChart>
        <c:scatterStyle val="lineMarker"/>
        <c:varyColors val="0"/>
        <c:ser>
          <c:idx val="0"/>
          <c:order val="0"/>
          <c:tx>
            <c:strRef>
              <c:f>'Cap1hr1ln V7.0'!$AG$7</c:f>
              <c:strCache>
                <c:ptCount val="1"/>
                <c:pt idx="0">
                  <c:v>2 Lane Principle Arterial</c:v>
                </c:pt>
              </c:strCache>
            </c:strRef>
          </c:tx>
          <c:spPr>
            <a:ln>
              <a:solidFill>
                <a:srgbClr val="FF0000"/>
              </a:solidFill>
            </a:ln>
          </c:spPr>
          <c:marker>
            <c:symbol val="none"/>
          </c:marker>
          <c:xVal>
            <c:numRef>
              <c:f>'Cap1hr1ln V7.0'!$AC$7:$AC$11</c:f>
              <c:numCache>
                <c:formatCode>General</c:formatCode>
                <c:ptCount val="5"/>
                <c:pt idx="0">
                  <c:v>1</c:v>
                </c:pt>
                <c:pt idx="1">
                  <c:v>2</c:v>
                </c:pt>
                <c:pt idx="2">
                  <c:v>3</c:v>
                </c:pt>
                <c:pt idx="3">
                  <c:v>4</c:v>
                </c:pt>
                <c:pt idx="4">
                  <c:v>5</c:v>
                </c:pt>
              </c:numCache>
            </c:numRef>
          </c:xVal>
          <c:yVal>
            <c:numRef>
              <c:f>'Cap1hr1ln V7.0'!$AD$7:$AD$11</c:f>
              <c:numCache>
                <c:formatCode>_(* #,##0_);_(* \(#,##0\);_(* "-"??_);_(@_)</c:formatCode>
                <c:ptCount val="5"/>
                <c:pt idx="0">
                  <c:v>981.24998400000004</c:v>
                </c:pt>
                <c:pt idx="1">
                  <c:v>936.64771200000007</c:v>
                </c:pt>
                <c:pt idx="2">
                  <c:v>892.04543999999999</c:v>
                </c:pt>
                <c:pt idx="3">
                  <c:v>847.4431679999999</c:v>
                </c:pt>
                <c:pt idx="4">
                  <c:v>802.84089600000004</c:v>
                </c:pt>
              </c:numCache>
            </c:numRef>
          </c:yVal>
          <c:smooth val="0"/>
          <c:extLst>
            <c:ext xmlns:c16="http://schemas.microsoft.com/office/drawing/2014/chart" uri="{C3380CC4-5D6E-409C-BE32-E72D297353CC}">
              <c16:uniqueId val="{00000000-6AA4-49CB-867E-1240FDF1FA07}"/>
            </c:ext>
          </c:extLst>
        </c:ser>
        <c:ser>
          <c:idx val="1"/>
          <c:order val="1"/>
          <c:tx>
            <c:strRef>
              <c:f>'Cap1hr1ln V7.0'!$AG$7</c:f>
              <c:strCache>
                <c:ptCount val="1"/>
                <c:pt idx="0">
                  <c:v>2 Lane Principle Arterial</c:v>
                </c:pt>
              </c:strCache>
            </c:strRef>
          </c:tx>
          <c:spPr>
            <a:ln>
              <a:solidFill>
                <a:srgbClr val="FF0000"/>
              </a:solidFill>
              <a:prstDash val="lgDash"/>
            </a:ln>
          </c:spPr>
          <c:marker>
            <c:symbol val="none"/>
          </c:marker>
          <c:xVal>
            <c:numRef>
              <c:f>'Cap1hr1ln V7.0'!$AC$7:$AC$11</c:f>
              <c:numCache>
                <c:formatCode>General</c:formatCode>
                <c:ptCount val="5"/>
                <c:pt idx="0">
                  <c:v>1</c:v>
                </c:pt>
                <c:pt idx="1">
                  <c:v>2</c:v>
                </c:pt>
                <c:pt idx="2">
                  <c:v>3</c:v>
                </c:pt>
                <c:pt idx="3">
                  <c:v>4</c:v>
                </c:pt>
                <c:pt idx="4">
                  <c:v>5</c:v>
                </c:pt>
              </c:numCache>
            </c:numRef>
          </c:xVal>
          <c:yVal>
            <c:numRef>
              <c:f>'Cap1hr1ln V7.0'!$AE$7:$AE$11</c:f>
              <c:numCache>
                <c:formatCode>_(* #,##0_);_(* \(#,##0\);_(* "-"??_);_(@_)</c:formatCode>
                <c:ptCount val="5"/>
                <c:pt idx="0">
                  <c:v>814.8492</c:v>
                </c:pt>
                <c:pt idx="1">
                  <c:v>814.8492</c:v>
                </c:pt>
                <c:pt idx="2">
                  <c:v>814.8492</c:v>
                </c:pt>
                <c:pt idx="3">
                  <c:v>814.8492</c:v>
                </c:pt>
                <c:pt idx="4">
                  <c:v>733.36428000000001</c:v>
                </c:pt>
              </c:numCache>
            </c:numRef>
          </c:yVal>
          <c:smooth val="0"/>
          <c:extLst>
            <c:ext xmlns:c16="http://schemas.microsoft.com/office/drawing/2014/chart" uri="{C3380CC4-5D6E-409C-BE32-E72D297353CC}">
              <c16:uniqueId val="{00000001-6AA4-49CB-867E-1240FDF1FA07}"/>
            </c:ext>
          </c:extLst>
        </c:ser>
        <c:ser>
          <c:idx val="4"/>
          <c:order val="2"/>
          <c:tx>
            <c:strRef>
              <c:f>'Cap1hr1ln V7.0'!$AG$12</c:f>
              <c:strCache>
                <c:ptCount val="1"/>
                <c:pt idx="0">
                  <c:v>3 Lane Principle Arterial</c:v>
                </c:pt>
              </c:strCache>
            </c:strRef>
          </c:tx>
          <c:spPr>
            <a:ln>
              <a:solidFill>
                <a:srgbClr val="FF8181"/>
              </a:solidFill>
            </a:ln>
          </c:spPr>
          <c:marker>
            <c:symbol val="none"/>
          </c:marker>
          <c:xVal>
            <c:numRef>
              <c:f>'Cap1hr1ln V7.0'!$AC$12:$AC$16</c:f>
              <c:numCache>
                <c:formatCode>General</c:formatCode>
                <c:ptCount val="5"/>
                <c:pt idx="0">
                  <c:v>1</c:v>
                </c:pt>
                <c:pt idx="1">
                  <c:v>2</c:v>
                </c:pt>
                <c:pt idx="2">
                  <c:v>3</c:v>
                </c:pt>
                <c:pt idx="3">
                  <c:v>4</c:v>
                </c:pt>
                <c:pt idx="4">
                  <c:v>5</c:v>
                </c:pt>
              </c:numCache>
            </c:numRef>
          </c:xVal>
          <c:yVal>
            <c:numRef>
              <c:f>'Cap1hr1ln V7.0'!$AD$12:$AD$16</c:f>
              <c:numCache>
                <c:formatCode>_(* #,##0_);_(* \(#,##0\);_(* "-"??_);_(@_)</c:formatCode>
                <c:ptCount val="5"/>
                <c:pt idx="0">
                  <c:v>939.93419520000009</c:v>
                </c:pt>
                <c:pt idx="1">
                  <c:v>897.20991360000005</c:v>
                </c:pt>
                <c:pt idx="2">
                  <c:v>854.48563200000001</c:v>
                </c:pt>
                <c:pt idx="3">
                  <c:v>811.76135039999997</c:v>
                </c:pt>
                <c:pt idx="4">
                  <c:v>769.03706880000004</c:v>
                </c:pt>
              </c:numCache>
            </c:numRef>
          </c:yVal>
          <c:smooth val="0"/>
          <c:extLst>
            <c:ext xmlns:c16="http://schemas.microsoft.com/office/drawing/2014/chart" uri="{C3380CC4-5D6E-409C-BE32-E72D297353CC}">
              <c16:uniqueId val="{00000002-6AA4-49CB-867E-1240FDF1FA07}"/>
            </c:ext>
          </c:extLst>
        </c:ser>
        <c:ser>
          <c:idx val="5"/>
          <c:order val="3"/>
          <c:tx>
            <c:v>3 Lane Principle Arterial v6</c:v>
          </c:tx>
          <c:spPr>
            <a:ln>
              <a:solidFill>
                <a:srgbClr val="FF8181"/>
              </a:solidFill>
              <a:prstDash val="lgDash"/>
            </a:ln>
          </c:spPr>
          <c:marker>
            <c:symbol val="none"/>
          </c:marker>
          <c:xVal>
            <c:numRef>
              <c:f>'Cap1hr1ln V7.0'!$AC$12:$AC$16</c:f>
              <c:numCache>
                <c:formatCode>General</c:formatCode>
                <c:ptCount val="5"/>
                <c:pt idx="0">
                  <c:v>1</c:v>
                </c:pt>
                <c:pt idx="1">
                  <c:v>2</c:v>
                </c:pt>
                <c:pt idx="2">
                  <c:v>3</c:v>
                </c:pt>
                <c:pt idx="3">
                  <c:v>4</c:v>
                </c:pt>
                <c:pt idx="4">
                  <c:v>5</c:v>
                </c:pt>
              </c:numCache>
            </c:numRef>
          </c:xVal>
          <c:yVal>
            <c:numRef>
              <c:f>'Cap1hr1ln V7.0'!$AE$12:$AE$16</c:f>
              <c:numCache>
                <c:formatCode>_(* #,##0_);_(* \(#,##0\);_(* "-"??_);_(@_)</c:formatCode>
                <c:ptCount val="5"/>
                <c:pt idx="0">
                  <c:v>796.97217999999998</c:v>
                </c:pt>
                <c:pt idx="1">
                  <c:v>796.97217999999998</c:v>
                </c:pt>
                <c:pt idx="2">
                  <c:v>796.97217999999998</c:v>
                </c:pt>
                <c:pt idx="3">
                  <c:v>796.97217999999998</c:v>
                </c:pt>
                <c:pt idx="4">
                  <c:v>717.27496199999996</c:v>
                </c:pt>
              </c:numCache>
            </c:numRef>
          </c:yVal>
          <c:smooth val="0"/>
          <c:extLst>
            <c:ext xmlns:c16="http://schemas.microsoft.com/office/drawing/2014/chart" uri="{C3380CC4-5D6E-409C-BE32-E72D297353CC}">
              <c16:uniqueId val="{00000003-6AA4-49CB-867E-1240FDF1FA07}"/>
            </c:ext>
          </c:extLst>
        </c:ser>
        <c:ser>
          <c:idx val="2"/>
          <c:order val="4"/>
          <c:tx>
            <c:strRef>
              <c:f>'Cap1hr1ln V7.0'!$AG$22</c:f>
              <c:strCache>
                <c:ptCount val="1"/>
                <c:pt idx="0">
                  <c:v>2 Lane Minor Arterial</c:v>
                </c:pt>
              </c:strCache>
            </c:strRef>
          </c:tx>
          <c:spPr>
            <a:ln>
              <a:solidFill>
                <a:srgbClr val="008000"/>
              </a:solidFill>
            </a:ln>
          </c:spPr>
          <c:marker>
            <c:symbol val="none"/>
          </c:marker>
          <c:xVal>
            <c:numRef>
              <c:f>'Cap1hr1ln V7.0'!$AC$22:$AC$26</c:f>
              <c:numCache>
                <c:formatCode>General</c:formatCode>
                <c:ptCount val="5"/>
                <c:pt idx="0">
                  <c:v>1</c:v>
                </c:pt>
                <c:pt idx="1">
                  <c:v>2</c:v>
                </c:pt>
                <c:pt idx="2">
                  <c:v>3</c:v>
                </c:pt>
                <c:pt idx="3">
                  <c:v>4</c:v>
                </c:pt>
                <c:pt idx="4">
                  <c:v>5</c:v>
                </c:pt>
              </c:numCache>
            </c:numRef>
          </c:xVal>
          <c:yVal>
            <c:numRef>
              <c:f>'Cap1hr1ln V7.0'!$AD$22:$AD$26</c:f>
              <c:numCache>
                <c:formatCode>_(* #,##0_);_(* \(#,##0\);_(* "-"??_);_(@_)</c:formatCode>
                <c:ptCount val="5"/>
                <c:pt idx="0">
                  <c:v>895.85760000000005</c:v>
                </c:pt>
                <c:pt idx="1">
                  <c:v>855.13679999999999</c:v>
                </c:pt>
                <c:pt idx="2">
                  <c:v>814.41599999999994</c:v>
                </c:pt>
                <c:pt idx="3">
                  <c:v>773.69519999999989</c:v>
                </c:pt>
                <c:pt idx="4">
                  <c:v>732.97439999999995</c:v>
                </c:pt>
              </c:numCache>
            </c:numRef>
          </c:yVal>
          <c:smooth val="0"/>
          <c:extLst>
            <c:ext xmlns:c16="http://schemas.microsoft.com/office/drawing/2014/chart" uri="{C3380CC4-5D6E-409C-BE32-E72D297353CC}">
              <c16:uniqueId val="{00000004-6AA4-49CB-867E-1240FDF1FA07}"/>
            </c:ext>
          </c:extLst>
        </c:ser>
        <c:ser>
          <c:idx val="3"/>
          <c:order val="5"/>
          <c:tx>
            <c:v>2 Lane Minor Arterial v6</c:v>
          </c:tx>
          <c:spPr>
            <a:ln>
              <a:solidFill>
                <a:srgbClr val="008000"/>
              </a:solidFill>
              <a:prstDash val="lgDash"/>
            </a:ln>
          </c:spPr>
          <c:marker>
            <c:symbol val="none"/>
          </c:marker>
          <c:xVal>
            <c:numRef>
              <c:f>'Cap1hr1ln V7.0'!$AC$22:$AC$26</c:f>
              <c:numCache>
                <c:formatCode>General</c:formatCode>
                <c:ptCount val="5"/>
                <c:pt idx="0">
                  <c:v>1</c:v>
                </c:pt>
                <c:pt idx="1">
                  <c:v>2</c:v>
                </c:pt>
                <c:pt idx="2">
                  <c:v>3</c:v>
                </c:pt>
                <c:pt idx="3">
                  <c:v>4</c:v>
                </c:pt>
                <c:pt idx="4">
                  <c:v>5</c:v>
                </c:pt>
              </c:numCache>
            </c:numRef>
          </c:xVal>
          <c:yVal>
            <c:numRef>
              <c:f>'Cap1hr1ln V7.0'!$AE$22:$AE$26</c:f>
              <c:numCache>
                <c:formatCode>_(* #,##0_);_(* \(#,##0\);_(* "-"??_);_(@_)</c:formatCode>
                <c:ptCount val="5"/>
                <c:pt idx="0">
                  <c:v>733.36428000000001</c:v>
                </c:pt>
                <c:pt idx="1">
                  <c:v>733.36428000000001</c:v>
                </c:pt>
                <c:pt idx="2">
                  <c:v>733.36428000000001</c:v>
                </c:pt>
                <c:pt idx="3">
                  <c:v>733.36428000000001</c:v>
                </c:pt>
                <c:pt idx="4">
                  <c:v>660.02785200000005</c:v>
                </c:pt>
              </c:numCache>
            </c:numRef>
          </c:yVal>
          <c:smooth val="0"/>
          <c:extLst>
            <c:ext xmlns:c16="http://schemas.microsoft.com/office/drawing/2014/chart" uri="{C3380CC4-5D6E-409C-BE32-E72D297353CC}">
              <c16:uniqueId val="{00000005-6AA4-49CB-867E-1240FDF1FA07}"/>
            </c:ext>
          </c:extLst>
        </c:ser>
        <c:ser>
          <c:idx val="6"/>
          <c:order val="6"/>
          <c:tx>
            <c:strRef>
              <c:f>'Cap1hr1ln V7.0'!$AG$27</c:f>
              <c:strCache>
                <c:ptCount val="1"/>
                <c:pt idx="0">
                  <c:v>3 Lane Minor Arterial</c:v>
                </c:pt>
              </c:strCache>
            </c:strRef>
          </c:tx>
          <c:spPr>
            <a:ln>
              <a:solidFill>
                <a:srgbClr val="00FF00"/>
              </a:solidFill>
            </a:ln>
          </c:spPr>
          <c:marker>
            <c:symbol val="none"/>
          </c:marker>
          <c:xVal>
            <c:numRef>
              <c:f>'Cap1hr1ln V7.0'!$AC$27:$AC$31</c:f>
              <c:numCache>
                <c:formatCode>General</c:formatCode>
                <c:ptCount val="5"/>
                <c:pt idx="0">
                  <c:v>1</c:v>
                </c:pt>
                <c:pt idx="1">
                  <c:v>2</c:v>
                </c:pt>
                <c:pt idx="2">
                  <c:v>3</c:v>
                </c:pt>
                <c:pt idx="3">
                  <c:v>4</c:v>
                </c:pt>
                <c:pt idx="4">
                  <c:v>5</c:v>
                </c:pt>
              </c:numCache>
            </c:numRef>
          </c:xVal>
          <c:yVal>
            <c:numRef>
              <c:f>'Cap1hr1ln V7.0'!$AD$27:$AD$31</c:f>
              <c:numCache>
                <c:formatCode>_(* #,##0_);_(* \(#,##0\);_(* "-"??_);_(@_)</c:formatCode>
                <c:ptCount val="5"/>
                <c:pt idx="0">
                  <c:v>858.13728000000015</c:v>
                </c:pt>
                <c:pt idx="1">
                  <c:v>819.1310400000001</c:v>
                </c:pt>
                <c:pt idx="2">
                  <c:v>780.12480000000005</c:v>
                </c:pt>
                <c:pt idx="3">
                  <c:v>741.11856</c:v>
                </c:pt>
                <c:pt idx="4">
                  <c:v>702.11232000000007</c:v>
                </c:pt>
              </c:numCache>
            </c:numRef>
          </c:yVal>
          <c:smooth val="0"/>
          <c:extLst>
            <c:ext xmlns:c16="http://schemas.microsoft.com/office/drawing/2014/chart" uri="{C3380CC4-5D6E-409C-BE32-E72D297353CC}">
              <c16:uniqueId val="{00000006-6AA4-49CB-867E-1240FDF1FA07}"/>
            </c:ext>
          </c:extLst>
        </c:ser>
        <c:ser>
          <c:idx val="7"/>
          <c:order val="7"/>
          <c:tx>
            <c:v>3 Lane Minor Arterial v6</c:v>
          </c:tx>
          <c:spPr>
            <a:ln>
              <a:solidFill>
                <a:srgbClr val="00FF00"/>
              </a:solidFill>
              <a:prstDash val="lgDash"/>
            </a:ln>
          </c:spPr>
          <c:marker>
            <c:symbol val="none"/>
          </c:marker>
          <c:xVal>
            <c:numRef>
              <c:f>'Cap1hr1ln V7.0'!$AC$27:$AC$31</c:f>
              <c:numCache>
                <c:formatCode>General</c:formatCode>
                <c:ptCount val="5"/>
                <c:pt idx="0">
                  <c:v>1</c:v>
                </c:pt>
                <c:pt idx="1">
                  <c:v>2</c:v>
                </c:pt>
                <c:pt idx="2">
                  <c:v>3</c:v>
                </c:pt>
                <c:pt idx="3">
                  <c:v>4</c:v>
                </c:pt>
                <c:pt idx="4">
                  <c:v>5</c:v>
                </c:pt>
              </c:numCache>
            </c:numRef>
          </c:xVal>
          <c:yVal>
            <c:numRef>
              <c:f>'Cap1hr1ln V7.0'!$AE$27:$AE$31</c:f>
              <c:numCache>
                <c:formatCode>_(* #,##0_);_(* \(#,##0\);_(* "-"??_);_(@_)</c:formatCode>
                <c:ptCount val="5"/>
                <c:pt idx="0">
                  <c:v>637.57773999999995</c:v>
                </c:pt>
                <c:pt idx="1">
                  <c:v>637.57773999999995</c:v>
                </c:pt>
                <c:pt idx="2">
                  <c:v>637.57773999999995</c:v>
                </c:pt>
                <c:pt idx="3">
                  <c:v>637.57773999999995</c:v>
                </c:pt>
                <c:pt idx="4">
                  <c:v>573.81996600000002</c:v>
                </c:pt>
              </c:numCache>
            </c:numRef>
          </c:yVal>
          <c:smooth val="0"/>
          <c:extLst>
            <c:ext xmlns:c16="http://schemas.microsoft.com/office/drawing/2014/chart" uri="{C3380CC4-5D6E-409C-BE32-E72D297353CC}">
              <c16:uniqueId val="{00000007-6AA4-49CB-867E-1240FDF1FA07}"/>
            </c:ext>
          </c:extLst>
        </c:ser>
        <c:dLbls>
          <c:showLegendKey val="0"/>
          <c:showVal val="0"/>
          <c:showCatName val="0"/>
          <c:showSerName val="0"/>
          <c:showPercent val="0"/>
          <c:showBubbleSize val="0"/>
        </c:dLbls>
        <c:axId val="246551984"/>
        <c:axId val="246552376"/>
      </c:scatterChart>
      <c:valAx>
        <c:axId val="246551984"/>
        <c:scaling>
          <c:orientation val="minMax"/>
          <c:max val="5"/>
          <c:min val="1"/>
        </c:scaling>
        <c:delete val="0"/>
        <c:axPos val="b"/>
        <c:title>
          <c:tx>
            <c:rich>
              <a:bodyPr/>
              <a:lstStyle/>
              <a:p>
                <a:pPr>
                  <a:defRPr sz="1400" baseline="0"/>
                </a:pPr>
                <a:r>
                  <a:rPr lang="en-US" sz="1400" b="1" baseline="0"/>
                  <a:t>Area Type (1=Rural, 5=CBD)</a:t>
                </a:r>
              </a:p>
            </c:rich>
          </c:tx>
          <c:overlay val="0"/>
        </c:title>
        <c:numFmt formatCode="General" sourceLinked="1"/>
        <c:majorTickMark val="out"/>
        <c:minorTickMark val="none"/>
        <c:tickLblPos val="nextTo"/>
        <c:txPr>
          <a:bodyPr/>
          <a:lstStyle/>
          <a:p>
            <a:pPr>
              <a:defRPr sz="1100" baseline="0"/>
            </a:pPr>
            <a:endParaRPr lang="en-US"/>
          </a:p>
        </c:txPr>
        <c:crossAx val="246552376"/>
        <c:crosses val="autoZero"/>
        <c:crossBetween val="midCat"/>
        <c:majorUnit val="1"/>
      </c:valAx>
      <c:valAx>
        <c:axId val="246552376"/>
        <c:scaling>
          <c:orientation val="minMax"/>
          <c:max val="1000"/>
          <c:min val="550"/>
        </c:scaling>
        <c:delete val="0"/>
        <c:axPos val="l"/>
        <c:title>
          <c:tx>
            <c:rich>
              <a:bodyPr rot="-5400000" vert="horz"/>
              <a:lstStyle/>
              <a:p>
                <a:pPr>
                  <a:defRPr sz="1400" baseline="0"/>
                </a:pPr>
                <a:r>
                  <a:rPr lang="en-US" sz="1400" b="1" baseline="0"/>
                  <a:t>LOS E Cap. (vphpl)</a:t>
                </a:r>
              </a:p>
            </c:rich>
          </c:tx>
          <c:layout>
            <c:manualLayout>
              <c:xMode val="edge"/>
              <c:yMode val="edge"/>
              <c:x val="1.5724813291057949E-2"/>
              <c:y val="0.35653519809570167"/>
            </c:manualLayout>
          </c:layout>
          <c:overlay val="0"/>
        </c:title>
        <c:numFmt formatCode="_(* #,##0_);_(* \(#,##0\);_(* &quot;-&quot;??_);_(@_)" sourceLinked="1"/>
        <c:majorTickMark val="out"/>
        <c:minorTickMark val="none"/>
        <c:tickLblPos val="nextTo"/>
        <c:txPr>
          <a:bodyPr/>
          <a:lstStyle/>
          <a:p>
            <a:pPr>
              <a:defRPr sz="1100" baseline="0"/>
            </a:pPr>
            <a:endParaRPr lang="en-US"/>
          </a:p>
        </c:txPr>
        <c:crossAx val="246551984"/>
        <c:crosses val="autoZero"/>
        <c:crossBetween val="midCat"/>
      </c:valAx>
      <c:spPr>
        <a:ln>
          <a:noFill/>
        </a:ln>
      </c:spPr>
    </c:plotArea>
    <c:legend>
      <c:legendPos val="r"/>
      <c:legendEntry>
        <c:idx val="1"/>
        <c:delete val="1"/>
      </c:legendEntry>
      <c:legendEntry>
        <c:idx val="3"/>
        <c:delete val="1"/>
      </c:legendEntry>
      <c:legendEntry>
        <c:idx val="5"/>
        <c:delete val="1"/>
      </c:legendEntry>
      <c:legendEntry>
        <c:idx val="7"/>
        <c:delete val="1"/>
      </c:legendEntry>
      <c:layout>
        <c:manualLayout>
          <c:xMode val="edge"/>
          <c:yMode val="edge"/>
          <c:x val="0.73892833048840678"/>
          <c:y val="5.8605646353763759E-2"/>
          <c:w val="0.21492185298919383"/>
          <c:h val="0.17629164899649627"/>
        </c:manualLayout>
      </c:layout>
      <c:overlay val="0"/>
      <c:txPr>
        <a:bodyPr/>
        <a:lstStyle/>
        <a:p>
          <a:pPr>
            <a:defRPr sz="1200" baseline="0"/>
          </a:pPr>
          <a:endParaRPr lang="en-US"/>
        </a:p>
      </c:txPr>
    </c:legend>
    <c:plotVisOnly val="1"/>
    <c:dispBlanksAs val="gap"/>
    <c:showDLblsOverMax val="0"/>
  </c:chart>
  <c:spPr>
    <a:ln>
      <a:noFill/>
    </a:ln>
  </c:spPr>
  <c:printSettings>
    <c:headerFooter/>
    <c:pageMargins b="0.75000000000000078" l="0.70000000000000062" r="0.70000000000000062" t="0.75000000000000078" header="0.30000000000000032" footer="0.30000000000000032"/>
    <c:pageSetup/>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16492480902577E-2"/>
          <c:y val="6.5718681406228469E-2"/>
          <c:w val="0.8717047988791139"/>
          <c:h val="0.80412277573451352"/>
        </c:manualLayout>
      </c:layout>
      <c:scatterChart>
        <c:scatterStyle val="lineMarker"/>
        <c:varyColors val="0"/>
        <c:ser>
          <c:idx val="0"/>
          <c:order val="0"/>
          <c:tx>
            <c:strRef>
              <c:f>'Cap1hr1ln V7.0'!$AG$32</c:f>
              <c:strCache>
                <c:ptCount val="1"/>
                <c:pt idx="0">
                  <c:v>1 Lane Major Collector v7</c:v>
                </c:pt>
              </c:strCache>
            </c:strRef>
          </c:tx>
          <c:spPr>
            <a:ln>
              <a:solidFill>
                <a:srgbClr val="0000FF"/>
              </a:solidFill>
            </a:ln>
          </c:spPr>
          <c:marker>
            <c:symbol val="none"/>
          </c:marker>
          <c:xVal>
            <c:numRef>
              <c:f>'Cap1hr1ln V7.0'!$AC$32:$AC$36</c:f>
              <c:numCache>
                <c:formatCode>General</c:formatCode>
                <c:ptCount val="5"/>
                <c:pt idx="0">
                  <c:v>1</c:v>
                </c:pt>
                <c:pt idx="1">
                  <c:v>2</c:v>
                </c:pt>
                <c:pt idx="2">
                  <c:v>3</c:v>
                </c:pt>
                <c:pt idx="3">
                  <c:v>4</c:v>
                </c:pt>
                <c:pt idx="4">
                  <c:v>5</c:v>
                </c:pt>
              </c:numCache>
            </c:numRef>
          </c:xVal>
          <c:yVal>
            <c:numRef>
              <c:f>'Cap1hr1ln V7.0'!$AD$32:$AD$36</c:f>
              <c:numCache>
                <c:formatCode>_(* #,##0_);_(* \(#,##0\);_(* "-"??_);_(@_)</c:formatCode>
                <c:ptCount val="5"/>
                <c:pt idx="0">
                  <c:v>733.04000000000019</c:v>
                </c:pt>
                <c:pt idx="1">
                  <c:v>699.72000000000014</c:v>
                </c:pt>
                <c:pt idx="2">
                  <c:v>666.40000000000009</c:v>
                </c:pt>
                <c:pt idx="3">
                  <c:v>633.08000000000004</c:v>
                </c:pt>
                <c:pt idx="4">
                  <c:v>599.7600000000001</c:v>
                </c:pt>
              </c:numCache>
            </c:numRef>
          </c:yVal>
          <c:smooth val="0"/>
          <c:extLst>
            <c:ext xmlns:c16="http://schemas.microsoft.com/office/drawing/2014/chart" uri="{C3380CC4-5D6E-409C-BE32-E72D297353CC}">
              <c16:uniqueId val="{00000000-F1B7-467A-84F8-26669CD6563A}"/>
            </c:ext>
          </c:extLst>
        </c:ser>
        <c:ser>
          <c:idx val="1"/>
          <c:order val="1"/>
          <c:tx>
            <c:strRef>
              <c:f>'Cap1hr1ln V7.0'!$AG$33</c:f>
              <c:strCache>
                <c:ptCount val="1"/>
                <c:pt idx="0">
                  <c:v>1 Lane Collector v6</c:v>
                </c:pt>
              </c:strCache>
            </c:strRef>
          </c:tx>
          <c:spPr>
            <a:ln>
              <a:solidFill>
                <a:srgbClr val="0000FF"/>
              </a:solidFill>
              <a:prstDash val="lgDash"/>
            </a:ln>
          </c:spPr>
          <c:marker>
            <c:symbol val="none"/>
          </c:marker>
          <c:xVal>
            <c:numRef>
              <c:f>'Cap1hr1ln V7.0'!$AC$32:$AC$36</c:f>
              <c:numCache>
                <c:formatCode>General</c:formatCode>
                <c:ptCount val="5"/>
                <c:pt idx="0">
                  <c:v>1</c:v>
                </c:pt>
                <c:pt idx="1">
                  <c:v>2</c:v>
                </c:pt>
                <c:pt idx="2">
                  <c:v>3</c:v>
                </c:pt>
                <c:pt idx="3">
                  <c:v>4</c:v>
                </c:pt>
                <c:pt idx="4">
                  <c:v>5</c:v>
                </c:pt>
              </c:numCache>
            </c:numRef>
          </c:xVal>
          <c:yVal>
            <c:numRef>
              <c:f>'Cap1hr1ln V7.0'!$AE$32:$AE$36</c:f>
              <c:numCache>
                <c:formatCode>_(* #,##0_);_(* \(#,##0\);_(* "-"??_);_(@_)</c:formatCode>
                <c:ptCount val="5"/>
                <c:pt idx="0">
                  <c:v>586.53</c:v>
                </c:pt>
                <c:pt idx="1">
                  <c:v>586.53</c:v>
                </c:pt>
                <c:pt idx="2">
                  <c:v>586.53</c:v>
                </c:pt>
                <c:pt idx="3">
                  <c:v>586.53</c:v>
                </c:pt>
                <c:pt idx="4">
                  <c:v>527.87699999999995</c:v>
                </c:pt>
              </c:numCache>
            </c:numRef>
          </c:yVal>
          <c:smooth val="0"/>
          <c:extLst>
            <c:ext xmlns:c16="http://schemas.microsoft.com/office/drawing/2014/chart" uri="{C3380CC4-5D6E-409C-BE32-E72D297353CC}">
              <c16:uniqueId val="{00000001-F1B7-467A-84F8-26669CD6563A}"/>
            </c:ext>
          </c:extLst>
        </c:ser>
        <c:ser>
          <c:idx val="8"/>
          <c:order val="2"/>
          <c:tx>
            <c:strRef>
              <c:f>'Cap1hr1ln V7.0'!$AG$37</c:f>
              <c:strCache>
                <c:ptCount val="1"/>
                <c:pt idx="0">
                  <c:v>2 Lane Major Collector v7</c:v>
                </c:pt>
              </c:strCache>
            </c:strRef>
          </c:tx>
          <c:spPr>
            <a:ln>
              <a:solidFill>
                <a:srgbClr val="7D7DFF"/>
              </a:solidFill>
            </a:ln>
          </c:spPr>
          <c:marker>
            <c:symbol val="none"/>
          </c:marker>
          <c:xVal>
            <c:numRef>
              <c:f>'Cap1hr1ln V7.0'!$AC$37:$AC$41</c:f>
              <c:numCache>
                <c:formatCode>General</c:formatCode>
                <c:ptCount val="5"/>
                <c:pt idx="0">
                  <c:v>1</c:v>
                </c:pt>
                <c:pt idx="1">
                  <c:v>2</c:v>
                </c:pt>
                <c:pt idx="2">
                  <c:v>3</c:v>
                </c:pt>
                <c:pt idx="3">
                  <c:v>4</c:v>
                </c:pt>
                <c:pt idx="4">
                  <c:v>5</c:v>
                </c:pt>
              </c:numCache>
            </c:numRef>
          </c:xVal>
          <c:yVal>
            <c:numRef>
              <c:f>'Cap1hr1ln V7.0'!$AD$37:$AD$41</c:f>
              <c:numCache>
                <c:formatCode>_(* #,##0_);_(* \(#,##0\);_(* "-"??_);_(@_)</c:formatCode>
                <c:ptCount val="5"/>
                <c:pt idx="0">
                  <c:v>696.38799999999992</c:v>
                </c:pt>
                <c:pt idx="1">
                  <c:v>664.73399999999992</c:v>
                </c:pt>
                <c:pt idx="2">
                  <c:v>633.07999999999993</c:v>
                </c:pt>
                <c:pt idx="3">
                  <c:v>601.42599999999993</c:v>
                </c:pt>
                <c:pt idx="4">
                  <c:v>569.77199999999993</c:v>
                </c:pt>
              </c:numCache>
            </c:numRef>
          </c:yVal>
          <c:smooth val="0"/>
          <c:extLst>
            <c:ext xmlns:c16="http://schemas.microsoft.com/office/drawing/2014/chart" uri="{C3380CC4-5D6E-409C-BE32-E72D297353CC}">
              <c16:uniqueId val="{00000002-F1B7-467A-84F8-26669CD6563A}"/>
            </c:ext>
          </c:extLst>
        </c:ser>
        <c:ser>
          <c:idx val="9"/>
          <c:order val="3"/>
          <c:tx>
            <c:strRef>
              <c:f>'Cap1hr1ln V7.0'!$AG$38</c:f>
              <c:strCache>
                <c:ptCount val="1"/>
                <c:pt idx="0">
                  <c:v>2 Lane Collector v6</c:v>
                </c:pt>
              </c:strCache>
            </c:strRef>
          </c:tx>
          <c:spPr>
            <a:ln>
              <a:solidFill>
                <a:srgbClr val="7D7DFF"/>
              </a:solidFill>
              <a:prstDash val="lgDash"/>
            </a:ln>
          </c:spPr>
          <c:marker>
            <c:symbol val="none"/>
          </c:marker>
          <c:xVal>
            <c:numRef>
              <c:f>'Cap1hr1ln V7.0'!$AC$37:$AC$41</c:f>
              <c:numCache>
                <c:formatCode>General</c:formatCode>
                <c:ptCount val="5"/>
                <c:pt idx="0">
                  <c:v>1</c:v>
                </c:pt>
                <c:pt idx="1">
                  <c:v>2</c:v>
                </c:pt>
                <c:pt idx="2">
                  <c:v>3</c:v>
                </c:pt>
                <c:pt idx="3">
                  <c:v>4</c:v>
                </c:pt>
                <c:pt idx="4">
                  <c:v>5</c:v>
                </c:pt>
              </c:numCache>
            </c:numRef>
          </c:xVal>
          <c:yVal>
            <c:numRef>
              <c:f>'Cap1hr1ln V7.0'!$AE$37:$AE$41</c:f>
              <c:numCache>
                <c:formatCode>_(* #,##0_);_(* \(#,##0\);_(* "-"??_);_(@_)</c:formatCode>
                <c:ptCount val="5"/>
                <c:pt idx="0">
                  <c:v>588.15925000000004</c:v>
                </c:pt>
                <c:pt idx="1">
                  <c:v>588.15925000000004</c:v>
                </c:pt>
                <c:pt idx="2">
                  <c:v>588.15925000000004</c:v>
                </c:pt>
                <c:pt idx="3">
                  <c:v>588.15925000000004</c:v>
                </c:pt>
                <c:pt idx="4">
                  <c:v>529.34332500000005</c:v>
                </c:pt>
              </c:numCache>
            </c:numRef>
          </c:yVal>
          <c:smooth val="0"/>
          <c:extLst>
            <c:ext xmlns:c16="http://schemas.microsoft.com/office/drawing/2014/chart" uri="{C3380CC4-5D6E-409C-BE32-E72D297353CC}">
              <c16:uniqueId val="{00000003-F1B7-467A-84F8-26669CD6563A}"/>
            </c:ext>
          </c:extLst>
        </c:ser>
        <c:ser>
          <c:idx val="10"/>
          <c:order val="4"/>
          <c:tx>
            <c:strRef>
              <c:f>'Cap1hr1ln V7.0'!$AG$42</c:f>
              <c:strCache>
                <c:ptCount val="1"/>
                <c:pt idx="0">
                  <c:v>1 Lane Minor Collector v7</c:v>
                </c:pt>
              </c:strCache>
            </c:strRef>
          </c:tx>
          <c:spPr>
            <a:ln>
              <a:solidFill>
                <a:srgbClr val="FF00FF"/>
              </a:solidFill>
            </a:ln>
          </c:spPr>
          <c:marker>
            <c:symbol val="none"/>
          </c:marker>
          <c:xVal>
            <c:numRef>
              <c:f>'Cap1hr1ln V7.0'!$AC$42:$AC$46</c:f>
              <c:numCache>
                <c:formatCode>General</c:formatCode>
                <c:ptCount val="5"/>
                <c:pt idx="0">
                  <c:v>1</c:v>
                </c:pt>
                <c:pt idx="1">
                  <c:v>2</c:v>
                </c:pt>
                <c:pt idx="2">
                  <c:v>3</c:v>
                </c:pt>
                <c:pt idx="3">
                  <c:v>4</c:v>
                </c:pt>
                <c:pt idx="4">
                  <c:v>5</c:v>
                </c:pt>
              </c:numCache>
            </c:numRef>
          </c:xVal>
          <c:yVal>
            <c:numRef>
              <c:f>'Cap1hr1ln V7.0'!$AD$42:$AD$46</c:f>
              <c:numCache>
                <c:formatCode>_(* #,##0_);_(* \(#,##0\);_(* "-"??_);_(@_)</c:formatCode>
                <c:ptCount val="5"/>
                <c:pt idx="0">
                  <c:v>565.95000000000005</c:v>
                </c:pt>
                <c:pt idx="1">
                  <c:v>540.22500000000002</c:v>
                </c:pt>
                <c:pt idx="2">
                  <c:v>514.5</c:v>
                </c:pt>
                <c:pt idx="3">
                  <c:v>488.77499999999998</c:v>
                </c:pt>
                <c:pt idx="4">
                  <c:v>463.05</c:v>
                </c:pt>
              </c:numCache>
            </c:numRef>
          </c:yVal>
          <c:smooth val="0"/>
          <c:extLst>
            <c:ext xmlns:c16="http://schemas.microsoft.com/office/drawing/2014/chart" uri="{C3380CC4-5D6E-409C-BE32-E72D297353CC}">
              <c16:uniqueId val="{00000004-F1B7-467A-84F8-26669CD6563A}"/>
            </c:ext>
          </c:extLst>
        </c:ser>
        <c:dLbls>
          <c:showLegendKey val="0"/>
          <c:showVal val="0"/>
          <c:showCatName val="0"/>
          <c:showSerName val="0"/>
          <c:showPercent val="0"/>
          <c:showBubbleSize val="0"/>
        </c:dLbls>
        <c:axId val="247536232"/>
        <c:axId val="247536624"/>
      </c:scatterChart>
      <c:valAx>
        <c:axId val="247536232"/>
        <c:scaling>
          <c:orientation val="minMax"/>
          <c:max val="5"/>
          <c:min val="1"/>
        </c:scaling>
        <c:delete val="0"/>
        <c:axPos val="b"/>
        <c:title>
          <c:tx>
            <c:rich>
              <a:bodyPr/>
              <a:lstStyle/>
              <a:p>
                <a:pPr>
                  <a:defRPr sz="1400" baseline="0"/>
                </a:pPr>
                <a:r>
                  <a:rPr lang="en-US" sz="1400" b="1" baseline="0"/>
                  <a:t>Area Type (1=Rural, 5=CBD)</a:t>
                </a:r>
              </a:p>
            </c:rich>
          </c:tx>
          <c:overlay val="0"/>
        </c:title>
        <c:numFmt formatCode="General" sourceLinked="1"/>
        <c:majorTickMark val="out"/>
        <c:minorTickMark val="none"/>
        <c:tickLblPos val="nextTo"/>
        <c:txPr>
          <a:bodyPr/>
          <a:lstStyle/>
          <a:p>
            <a:pPr>
              <a:defRPr sz="1100" baseline="0"/>
            </a:pPr>
            <a:endParaRPr lang="en-US"/>
          </a:p>
        </c:txPr>
        <c:crossAx val="247536624"/>
        <c:crosses val="autoZero"/>
        <c:crossBetween val="midCat"/>
        <c:majorUnit val="1"/>
      </c:valAx>
      <c:valAx>
        <c:axId val="247536624"/>
        <c:scaling>
          <c:orientation val="minMax"/>
          <c:max val="750"/>
          <c:min val="450"/>
        </c:scaling>
        <c:delete val="0"/>
        <c:axPos val="l"/>
        <c:title>
          <c:tx>
            <c:rich>
              <a:bodyPr rot="-5400000" vert="horz"/>
              <a:lstStyle/>
              <a:p>
                <a:pPr>
                  <a:defRPr sz="1400" baseline="0"/>
                </a:pPr>
                <a:r>
                  <a:rPr lang="en-US" sz="1400" b="1" baseline="0"/>
                  <a:t>LOS E Cap. (vphpl)</a:t>
                </a:r>
              </a:p>
            </c:rich>
          </c:tx>
          <c:layout>
            <c:manualLayout>
              <c:xMode val="edge"/>
              <c:yMode val="edge"/>
              <c:x val="1.5724813291057956E-2"/>
              <c:y val="0.35653519809570167"/>
            </c:manualLayout>
          </c:layout>
          <c:overlay val="0"/>
        </c:title>
        <c:numFmt formatCode="_(* #,##0_);_(* \(#,##0\);_(* &quot;-&quot;??_);_(@_)" sourceLinked="1"/>
        <c:majorTickMark val="out"/>
        <c:minorTickMark val="none"/>
        <c:tickLblPos val="nextTo"/>
        <c:txPr>
          <a:bodyPr/>
          <a:lstStyle/>
          <a:p>
            <a:pPr>
              <a:defRPr sz="1100" baseline="0"/>
            </a:pPr>
            <a:endParaRPr lang="en-US"/>
          </a:p>
        </c:txPr>
        <c:crossAx val="247536232"/>
        <c:crosses val="autoZero"/>
        <c:crossBetween val="midCat"/>
      </c:valAx>
      <c:spPr>
        <a:ln>
          <a:noFill/>
        </a:ln>
      </c:spPr>
    </c:plotArea>
    <c:legend>
      <c:legendPos val="r"/>
      <c:layout>
        <c:manualLayout>
          <c:xMode val="edge"/>
          <c:yMode val="edge"/>
          <c:x val="0.72995328055955566"/>
          <c:y val="5.8490699337516397E-2"/>
          <c:w val="0.23367473969481703"/>
          <c:h val="0.23567291157570822"/>
        </c:manualLayout>
      </c:layout>
      <c:overlay val="0"/>
      <c:txPr>
        <a:bodyPr/>
        <a:lstStyle/>
        <a:p>
          <a:pPr>
            <a:defRPr sz="1200" baseline="0"/>
          </a:pPr>
          <a:endParaRPr lang="en-US"/>
        </a:p>
      </c:txPr>
    </c:legend>
    <c:plotVisOnly val="1"/>
    <c:dispBlanksAs val="gap"/>
    <c:showDLblsOverMax val="0"/>
  </c:chart>
  <c:spPr>
    <a:ln>
      <a:noFill/>
    </a:ln>
  </c:spPr>
  <c:printSettings>
    <c:headerFooter/>
    <c:pageMargins b="0.75000000000000078" l="0.70000000000000062" r="0.70000000000000062" t="0.75000000000000078" header="0.30000000000000032" footer="0.30000000000000032"/>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WFRC-MAG Volume-Delay Curves, </a:t>
            </a:r>
            <a:r>
              <a:rPr lang="en-US" sz="2000" b="1" i="0" u="none" strike="noStrike" baseline="0">
                <a:solidFill>
                  <a:srgbClr val="FF0000"/>
                </a:solidFill>
                <a:latin typeface="Arial"/>
                <a:cs typeface="Arial"/>
              </a:rPr>
              <a:t>Version 6.1</a:t>
            </a:r>
            <a:endParaRPr lang="en-US" sz="2000" b="1" i="0" u="none" strike="noStrike" baseline="0">
              <a:solidFill>
                <a:srgbClr val="000000"/>
              </a:solidFill>
              <a:latin typeface="Arial"/>
              <a:cs typeface="Arial"/>
            </a:endParaRPr>
          </a:p>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Congested Spd = Free flow spd / [1+X*(V/C)^Y]</a:t>
            </a:r>
          </a:p>
        </c:rich>
      </c:tx>
      <c:layout>
        <c:manualLayout>
          <c:xMode val="edge"/>
          <c:yMode val="edge"/>
          <c:x val="0.1349207713800043"/>
          <c:y val="3.1249979102930616E-2"/>
        </c:manualLayout>
      </c:layout>
      <c:overlay val="0"/>
      <c:spPr>
        <a:noFill/>
        <a:ln w="25400">
          <a:noFill/>
        </a:ln>
      </c:spPr>
    </c:title>
    <c:autoTitleDeleted val="0"/>
    <c:plotArea>
      <c:layout>
        <c:manualLayout>
          <c:layoutTarget val="inner"/>
          <c:xMode val="edge"/>
          <c:yMode val="edge"/>
          <c:x val="0.14121886990447174"/>
          <c:y val="0.20968791261297196"/>
          <c:w val="0.81482038210367802"/>
          <c:h val="0.50893003790440072"/>
        </c:manualLayout>
      </c:layout>
      <c:scatterChart>
        <c:scatterStyle val="smoothMarker"/>
        <c:varyColors val="0"/>
        <c:ser>
          <c:idx val="1"/>
          <c:order val="0"/>
          <c:tx>
            <c:strRef>
              <c:f>'VDF V7.0'!$B$10</c:f>
              <c:strCache>
                <c:ptCount val="1"/>
                <c:pt idx="0">
                  <c:v>Fwy6 (X=1.2, Y=7)</c:v>
                </c:pt>
              </c:strCache>
            </c:strRef>
          </c:tx>
          <c:spPr>
            <a:ln w="38100">
              <a:solidFill>
                <a:srgbClr val="FF00FF"/>
              </a:solidFill>
              <a:prstDash val="sysDash"/>
            </a:ln>
          </c:spPr>
          <c:marker>
            <c:symbol val="none"/>
          </c:marker>
          <c:xVal>
            <c:numRef>
              <c:f>'VDF V7.0'!$A$11:$A$24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V7.0'!$B$11:$B$24</c:f>
              <c:numCache>
                <c:formatCode>_(* #,##0.00_);_(* \(#,##0.00\);_(* "-"??_);_(@_)</c:formatCode>
                <c:ptCount val="14"/>
                <c:pt idx="0">
                  <c:v>66.999991960000969</c:v>
                </c:pt>
                <c:pt idx="1">
                  <c:v>66.377708978328172</c:v>
                </c:pt>
                <c:pt idx="2">
                  <c:v>64.822463077125036</c:v>
                </c:pt>
                <c:pt idx="3">
                  <c:v>60.974213586445373</c:v>
                </c:pt>
                <c:pt idx="4">
                  <c:v>53.528988871594862</c:v>
                </c:pt>
                <c:pt idx="5">
                  <c:v>42.567891402930215</c:v>
                </c:pt>
                <c:pt idx="6">
                  <c:v>30.454545454545464</c:v>
                </c:pt>
                <c:pt idx="7">
                  <c:v>20.069130546435233</c:v>
                </c:pt>
                <c:pt idx="8">
                  <c:v>12.641946034302288</c:v>
                </c:pt>
                <c:pt idx="9">
                  <c:v>7.8547945884226182</c:v>
                </c:pt>
                <c:pt idx="10">
                  <c:v>4.9085613844114713</c:v>
                </c:pt>
                <c:pt idx="11">
                  <c:v>3.1158261880540583</c:v>
                </c:pt>
                <c:pt idx="12">
                  <c:v>2.0173276570606746</c:v>
                </c:pt>
                <c:pt idx="13">
                  <c:v>1.3335817176389029</c:v>
                </c:pt>
              </c:numCache>
            </c:numRef>
          </c:yVal>
          <c:smooth val="1"/>
          <c:extLst>
            <c:ext xmlns:c16="http://schemas.microsoft.com/office/drawing/2014/chart" uri="{C3380CC4-5D6E-409C-BE32-E72D297353CC}">
              <c16:uniqueId val="{00000000-EF0F-4CC4-9886-67E9E9FF1C50}"/>
            </c:ext>
          </c:extLst>
        </c:ser>
        <c:ser>
          <c:idx val="2"/>
          <c:order val="1"/>
          <c:tx>
            <c:strRef>
              <c:f>'VDF V7.0'!$C$10</c:f>
              <c:strCache>
                <c:ptCount val="1"/>
                <c:pt idx="0">
                  <c:v>Bng6 (X=2, Y=5.5)</c:v>
                </c:pt>
              </c:strCache>
            </c:strRef>
          </c:tx>
          <c:spPr>
            <a:ln w="38100">
              <a:solidFill>
                <a:srgbClr val="FF9900"/>
              </a:solidFill>
              <a:prstDash val="sysDash"/>
            </a:ln>
          </c:spPr>
          <c:marker>
            <c:symbol val="none"/>
          </c:marker>
          <c:xVal>
            <c:numRef>
              <c:f>'VDF V7.0'!$A$11:$A$24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V7.0'!$C$11:$C$24</c:f>
              <c:numCache>
                <c:formatCode>_(* #,##0.00_);_(* \(#,##0.00\);_(* "-"??_);_(@_)</c:formatCode>
                <c:ptCount val="14"/>
                <c:pt idx="0">
                  <c:v>49.999683774233972</c:v>
                </c:pt>
                <c:pt idx="1">
                  <c:v>47.883814383760324</c:v>
                </c:pt>
                <c:pt idx="2">
                  <c:v>44.624319164737067</c:v>
                </c:pt>
                <c:pt idx="3">
                  <c:v>39.024850125858897</c:v>
                </c:pt>
                <c:pt idx="4">
                  <c:v>31.522436521227359</c:v>
                </c:pt>
                <c:pt idx="5">
                  <c:v>23.58072340405554</c:v>
                </c:pt>
                <c:pt idx="6">
                  <c:v>16.666666666666675</c:v>
                </c:pt>
                <c:pt idx="7">
                  <c:v>11.420128948458514</c:v>
                </c:pt>
                <c:pt idx="8">
                  <c:v>7.7499722825296526</c:v>
                </c:pt>
                <c:pt idx="9">
                  <c:v>5.2816251904907379</c:v>
                </c:pt>
                <c:pt idx="10">
                  <c:v>3.6423931153667164</c:v>
                </c:pt>
                <c:pt idx="11">
                  <c:v>2.5509146318512723</c:v>
                </c:pt>
                <c:pt idx="12">
                  <c:v>1.8163913399226439</c:v>
                </c:pt>
                <c:pt idx="13">
                  <c:v>1.3149126111373286</c:v>
                </c:pt>
              </c:numCache>
            </c:numRef>
          </c:yVal>
          <c:smooth val="1"/>
          <c:extLst>
            <c:ext xmlns:c16="http://schemas.microsoft.com/office/drawing/2014/chart" uri="{C3380CC4-5D6E-409C-BE32-E72D297353CC}">
              <c16:uniqueId val="{00000001-EF0F-4CC4-9886-67E9E9FF1C50}"/>
            </c:ext>
          </c:extLst>
        </c:ser>
        <c:ser>
          <c:idx val="3"/>
          <c:order val="2"/>
          <c:tx>
            <c:strRef>
              <c:f>'VDF V7.0'!$D$10</c:f>
              <c:strCache>
                <c:ptCount val="1"/>
                <c:pt idx="0">
                  <c:v>Art6 (X=0.3, Y=6)</c:v>
                </c:pt>
              </c:strCache>
            </c:strRef>
          </c:tx>
          <c:spPr>
            <a:ln w="38100">
              <a:solidFill>
                <a:srgbClr val="00B0F0"/>
              </a:solidFill>
              <a:prstDash val="sysDash"/>
            </a:ln>
          </c:spPr>
          <c:marker>
            <c:symbol val="none"/>
          </c:marker>
          <c:xVal>
            <c:numRef>
              <c:f>'VDF V7.0'!$A$11:$A$24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V7.0'!$D$11:$D$24</c:f>
              <c:numCache>
                <c:formatCode>_(* #,##0.00_);_(* \(#,##0.00\);_(* "-"??_);_(@_)</c:formatCode>
                <c:ptCount val="14"/>
                <c:pt idx="0">
                  <c:v>34.999989500003153</c:v>
                </c:pt>
                <c:pt idx="1">
                  <c:v>34.836702954898911</c:v>
                </c:pt>
                <c:pt idx="2">
                  <c:v>34.516874214987666</c:v>
                </c:pt>
                <c:pt idx="3">
                  <c:v>33.806799165493658</c:v>
                </c:pt>
                <c:pt idx="4">
                  <c:v>32.44817192561915</c:v>
                </c:pt>
                <c:pt idx="5">
                  <c:v>30.187187298473571</c:v>
                </c:pt>
                <c:pt idx="6">
                  <c:v>26.923076923076927</c:v>
                </c:pt>
                <c:pt idx="7">
                  <c:v>22.853884732710437</c:v>
                </c:pt>
                <c:pt idx="8">
                  <c:v>18.461909809667208</c:v>
                </c:pt>
                <c:pt idx="9">
                  <c:v>14.297136238677535</c:v>
                </c:pt>
                <c:pt idx="10">
                  <c:v>10.739949371264949</c:v>
                </c:pt>
                <c:pt idx="11">
                  <c:v>7.9235939158118072</c:v>
                </c:pt>
                <c:pt idx="12">
                  <c:v>5.8012670232379477</c:v>
                </c:pt>
                <c:pt idx="13">
                  <c:v>4.2469178933777716</c:v>
                </c:pt>
              </c:numCache>
            </c:numRef>
          </c:yVal>
          <c:smooth val="1"/>
          <c:extLst>
            <c:ext xmlns:c16="http://schemas.microsoft.com/office/drawing/2014/chart" uri="{C3380CC4-5D6E-409C-BE32-E72D297353CC}">
              <c16:uniqueId val="{00000002-EF0F-4CC4-9886-67E9E9FF1C50}"/>
            </c:ext>
          </c:extLst>
        </c:ser>
        <c:ser>
          <c:idx val="4"/>
          <c:order val="3"/>
          <c:tx>
            <c:strRef>
              <c:f>'VDF V7.0'!$E$10</c:f>
              <c:strCache>
                <c:ptCount val="1"/>
                <c:pt idx="0">
                  <c:v>Coll6 (X=0.3, Y=4)</c:v>
                </c:pt>
              </c:strCache>
            </c:strRef>
          </c:tx>
          <c:spPr>
            <a:ln w="38100">
              <a:solidFill>
                <a:srgbClr val="00B050"/>
              </a:solidFill>
              <a:prstDash val="sysDash"/>
            </a:ln>
          </c:spPr>
          <c:marker>
            <c:symbol val="none"/>
          </c:marker>
          <c:xVal>
            <c:numRef>
              <c:f>'VDF V7.0'!$A$11:$A$24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V7.0'!$E$11:$E$24</c:f>
              <c:numCache>
                <c:formatCode>_(* #,##0.00_);_(* \(#,##0.00\);_(* "-"??_);_(@_)</c:formatCode>
                <c:ptCount val="14"/>
                <c:pt idx="0">
                  <c:v>24.999250022499325</c:v>
                </c:pt>
                <c:pt idx="1">
                  <c:v>24.539877300613497</c:v>
                </c:pt>
                <c:pt idx="2">
                  <c:v>24.064377021407669</c:v>
                </c:pt>
                <c:pt idx="3">
                  <c:v>23.320242903650083</c:v>
                </c:pt>
                <c:pt idx="4">
                  <c:v>22.264177828441152</c:v>
                </c:pt>
                <c:pt idx="5">
                  <c:v>20.888513824018453</c:v>
                </c:pt>
                <c:pt idx="6">
                  <c:v>19.230769230769234</c:v>
                </c:pt>
                <c:pt idx="7">
                  <c:v>17.370399449705747</c:v>
                </c:pt>
                <c:pt idx="8">
                  <c:v>15.412310120339317</c:v>
                </c:pt>
                <c:pt idx="9">
                  <c:v>13.463806595111024</c:v>
                </c:pt>
                <c:pt idx="10">
                  <c:v>11.614509774771424</c:v>
                </c:pt>
                <c:pt idx="11">
                  <c:v>9.9255583126550846</c:v>
                </c:pt>
                <c:pt idx="12">
                  <c:v>8.428633078001937</c:v>
                </c:pt>
                <c:pt idx="13">
                  <c:v>7.1313857994140797</c:v>
                </c:pt>
              </c:numCache>
            </c:numRef>
          </c:yVal>
          <c:smooth val="1"/>
          <c:extLst>
            <c:ext xmlns:c16="http://schemas.microsoft.com/office/drawing/2014/chart" uri="{C3380CC4-5D6E-409C-BE32-E72D297353CC}">
              <c16:uniqueId val="{00000003-EF0F-4CC4-9886-67E9E9FF1C50}"/>
            </c:ext>
          </c:extLst>
        </c:ser>
        <c:ser>
          <c:idx val="0"/>
          <c:order val="4"/>
          <c:tx>
            <c:strRef>
              <c:f>'VDF V7.0'!$F$10</c:f>
              <c:strCache>
                <c:ptCount val="1"/>
                <c:pt idx="0">
                  <c:v>Ramp6 (X=2, Y=2)</c:v>
                </c:pt>
              </c:strCache>
            </c:strRef>
          </c:tx>
          <c:spPr>
            <a:ln w="38100">
              <a:solidFill>
                <a:srgbClr val="000080"/>
              </a:solidFill>
              <a:prstDash val="sysDash"/>
            </a:ln>
          </c:spPr>
          <c:marker>
            <c:symbol val="none"/>
          </c:marker>
          <c:xVal>
            <c:numRef>
              <c:f>'VDF V7.0'!$A$11:$A$24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V7.0'!$F$11:$F$24</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4-EF0F-4CC4-9886-67E9E9FF1C50}"/>
            </c:ext>
          </c:extLst>
        </c:ser>
        <c:dLbls>
          <c:showLegendKey val="0"/>
          <c:showVal val="0"/>
          <c:showCatName val="0"/>
          <c:showSerName val="0"/>
          <c:showPercent val="0"/>
          <c:showBubbleSize val="0"/>
        </c:dLbls>
        <c:axId val="247537408"/>
        <c:axId val="247537800"/>
      </c:scatterChart>
      <c:valAx>
        <c:axId val="247537408"/>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537800"/>
        <c:crosses val="autoZero"/>
        <c:crossBetween val="midCat"/>
      </c:valAx>
      <c:valAx>
        <c:axId val="247537800"/>
        <c:scaling>
          <c:orientation val="minMax"/>
          <c:max val="70"/>
          <c:min val="0"/>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537408"/>
        <c:crosses val="autoZero"/>
        <c:crossBetween val="midCat"/>
      </c:valAx>
      <c:spPr>
        <a:noFill/>
        <a:ln w="3175">
          <a:solidFill>
            <a:srgbClr val="000000"/>
          </a:solidFill>
          <a:prstDash val="solid"/>
        </a:ln>
      </c:spPr>
    </c:plotArea>
    <c:legend>
      <c:legendPos val="r"/>
      <c:layout>
        <c:manualLayout>
          <c:xMode val="edge"/>
          <c:yMode val="edge"/>
          <c:x val="2.4994431527324591E-2"/>
          <c:y val="0.84967283548155392"/>
          <c:w val="0.96478732342080165"/>
          <c:h val="0.13542348607697974"/>
        </c:manualLayout>
      </c:layout>
      <c:overlay val="0"/>
      <c:spPr>
        <a:solidFill>
          <a:srgbClr val="FFFFFF"/>
        </a:solidFill>
        <a:ln w="3175">
          <a:solidFill>
            <a:srgbClr val="000000"/>
          </a:solidFill>
          <a:prstDash val="solid"/>
        </a:ln>
      </c:spPr>
      <c:txPr>
        <a:bodyPr/>
        <a:lstStyle/>
        <a:p>
          <a:pPr>
            <a:defRPr sz="14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000000000000167" r="0.75000000000000167" t="1" header="0.5" footer="0.5"/>
    <c:pageSetup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WFRC-MAG Volume-Delay Curves, </a:t>
            </a:r>
            <a:r>
              <a:rPr lang="en-US" sz="2000" b="1" i="0" u="none" strike="noStrike" baseline="0">
                <a:solidFill>
                  <a:srgbClr val="FF0000"/>
                </a:solidFill>
                <a:latin typeface="Arial"/>
                <a:cs typeface="Arial"/>
              </a:rPr>
              <a:t>Version 7.0</a:t>
            </a:r>
            <a:endParaRPr lang="en-US" sz="2000" b="1" i="0" u="none" strike="noStrike" baseline="0">
              <a:solidFill>
                <a:srgbClr val="000000"/>
              </a:solidFill>
              <a:latin typeface="Arial"/>
              <a:cs typeface="Arial"/>
            </a:endParaRPr>
          </a:p>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Congested Spd = Free flow spd / [1+X*(V/C)^Y]</a:t>
            </a:r>
          </a:p>
        </c:rich>
      </c:tx>
      <c:layout>
        <c:manualLayout>
          <c:xMode val="edge"/>
          <c:yMode val="edge"/>
          <c:x val="0.13789700605042288"/>
          <c:y val="2.6645751312335972E-2"/>
        </c:manualLayout>
      </c:layout>
      <c:overlay val="0"/>
      <c:spPr>
        <a:noFill/>
        <a:ln w="25400">
          <a:noFill/>
        </a:ln>
      </c:spPr>
    </c:title>
    <c:autoTitleDeleted val="0"/>
    <c:plotArea>
      <c:layout>
        <c:manualLayout>
          <c:layoutTarget val="inner"/>
          <c:xMode val="edge"/>
          <c:yMode val="edge"/>
          <c:x val="0.14121886990447174"/>
          <c:y val="0.21042118485210215"/>
          <c:w val="0.81482038210367802"/>
          <c:h val="0.50701485492934917"/>
        </c:manualLayout>
      </c:layout>
      <c:scatterChart>
        <c:scatterStyle val="smoothMarker"/>
        <c:varyColors val="0"/>
        <c:ser>
          <c:idx val="1"/>
          <c:order val="0"/>
          <c:tx>
            <c:strRef>
              <c:f>'VDF V7.0'!$B$41</c:f>
              <c:strCache>
                <c:ptCount val="1"/>
                <c:pt idx="0">
                  <c:v>Fwy7 (X=0.5, Y=9)</c:v>
                </c:pt>
              </c:strCache>
            </c:strRef>
          </c:tx>
          <c:spPr>
            <a:ln w="38100">
              <a:solidFill>
                <a:srgbClr val="FF00FF"/>
              </a:solidFill>
              <a:prstDash val="solid"/>
            </a:ln>
          </c:spPr>
          <c:marker>
            <c:symbol val="none"/>
          </c:marker>
          <c:xVal>
            <c:numRef>
              <c:f>'VDF V7.0'!$A$42:$A$55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V7.0'!$B$42:$B$55</c:f>
              <c:numCache>
                <c:formatCode>_(* #,##0.00_);_(* \(#,##0.00\);_(* "-"??_);_(@_)</c:formatCode>
                <c:ptCount val="14"/>
                <c:pt idx="0">
                  <c:v>66.999999966499999</c:v>
                </c:pt>
                <c:pt idx="1">
                  <c:v>66.934634146341466</c:v>
                </c:pt>
                <c:pt idx="2">
                  <c:v>66.664089784517458</c:v>
                </c:pt>
                <c:pt idx="3">
                  <c:v>65.674890636738539</c:v>
                </c:pt>
                <c:pt idx="4">
                  <c:v>62.786471240482548</c:v>
                </c:pt>
                <c:pt idx="5">
                  <c:v>56.127523667239508</c:v>
                </c:pt>
                <c:pt idx="6">
                  <c:v>44.666666666666679</c:v>
                </c:pt>
                <c:pt idx="7">
                  <c:v>30.748418636766988</c:v>
                </c:pt>
                <c:pt idx="8">
                  <c:v>18.715657940898801</c:v>
                </c:pt>
                <c:pt idx="9">
                  <c:v>10.631124333826405</c:v>
                </c:pt>
                <c:pt idx="10">
                  <c:v>5.9132308086761283</c:v>
                </c:pt>
                <c:pt idx="11">
                  <c:v>3.3132757038682525</c:v>
                </c:pt>
                <c:pt idx="12">
                  <c:v>1.8948103999726937</c:v>
                </c:pt>
                <c:pt idx="13">
                  <c:v>1.1112228185171944</c:v>
                </c:pt>
              </c:numCache>
            </c:numRef>
          </c:yVal>
          <c:smooth val="1"/>
          <c:extLst>
            <c:ext xmlns:c16="http://schemas.microsoft.com/office/drawing/2014/chart" uri="{C3380CC4-5D6E-409C-BE32-E72D297353CC}">
              <c16:uniqueId val="{00000000-C0A7-4B8A-940F-A2D591B97CF3}"/>
            </c:ext>
          </c:extLst>
        </c:ser>
        <c:ser>
          <c:idx val="2"/>
          <c:order val="1"/>
          <c:tx>
            <c:strRef>
              <c:f>'VDF V7.0'!$C$41</c:f>
              <c:strCache>
                <c:ptCount val="1"/>
                <c:pt idx="0">
                  <c:v>Bng7 (X=0.7, Y=6)</c:v>
                </c:pt>
              </c:strCache>
            </c:strRef>
          </c:tx>
          <c:spPr>
            <a:ln w="38100">
              <a:solidFill>
                <a:srgbClr val="FF9900"/>
              </a:solidFill>
              <a:prstDash val="solid"/>
            </a:ln>
          </c:spPr>
          <c:marker>
            <c:symbol val="none"/>
          </c:marker>
          <c:xVal>
            <c:numRef>
              <c:f>'VDF V7.0'!$A$42:$A$55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V7.0'!$C$42:$C$55</c:f>
              <c:numCache>
                <c:formatCode>_(* #,##0.00_);_(* \(#,##0.00\);_(* "-"??_);_(@_)</c:formatCode>
                <c:ptCount val="14"/>
                <c:pt idx="0">
                  <c:v>49.999965000024503</c:v>
                </c:pt>
                <c:pt idx="1">
                  <c:v>49.459041731066456</c:v>
                </c:pt>
                <c:pt idx="2">
                  <c:v>48.418684499203614</c:v>
                </c:pt>
                <c:pt idx="3">
                  <c:v>46.195594178357311</c:v>
                </c:pt>
                <c:pt idx="4">
                  <c:v>42.247542206984569</c:v>
                </c:pt>
                <c:pt idx="5">
                  <c:v>36.442917599574997</c:v>
                </c:pt>
                <c:pt idx="6">
                  <c:v>29.411764705882362</c:v>
                </c:pt>
                <c:pt idx="7">
                  <c:v>22.320504861249724</c:v>
                </c:pt>
                <c:pt idx="8">
                  <c:v>16.18024115549186</c:v>
                </c:pt>
                <c:pt idx="9">
                  <c:v>11.418741392980939</c:v>
                </c:pt>
                <c:pt idx="10">
                  <c:v>7.9736229999601917</c:v>
                </c:pt>
                <c:pt idx="11">
                  <c:v>5.5720006965000817</c:v>
                </c:pt>
                <c:pt idx="12">
                  <c:v>3.9233991778061874</c:v>
                </c:pt>
                <c:pt idx="13">
                  <c:v>2.7938738593779435</c:v>
                </c:pt>
              </c:numCache>
            </c:numRef>
          </c:yVal>
          <c:smooth val="1"/>
          <c:extLst>
            <c:ext xmlns:c16="http://schemas.microsoft.com/office/drawing/2014/chart" uri="{C3380CC4-5D6E-409C-BE32-E72D297353CC}">
              <c16:uniqueId val="{00000001-C0A7-4B8A-940F-A2D591B97CF3}"/>
            </c:ext>
          </c:extLst>
        </c:ser>
        <c:ser>
          <c:idx val="3"/>
          <c:order val="2"/>
          <c:tx>
            <c:strRef>
              <c:f>'VDF V7.0'!$D$41</c:f>
              <c:strCache>
                <c:ptCount val="1"/>
                <c:pt idx="0">
                  <c:v>Art7 (X=0.6, Y=4)</c:v>
                </c:pt>
              </c:strCache>
            </c:strRef>
          </c:tx>
          <c:spPr>
            <a:ln w="38100">
              <a:solidFill>
                <a:srgbClr val="00B0F0"/>
              </a:solidFill>
              <a:prstDash val="solid"/>
            </a:ln>
          </c:spPr>
          <c:marker>
            <c:symbol val="none"/>
          </c:marker>
          <c:xVal>
            <c:numRef>
              <c:f>'VDF V7.0'!$A$42:$A$55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V7.0'!$D$42:$D$55</c:f>
              <c:numCache>
                <c:formatCode>_(* #,##0.00_);_(* \(#,##0.00\);_(* "-"??_);_(@_)</c:formatCode>
                <c:ptCount val="14"/>
                <c:pt idx="0">
                  <c:v>34.997900125992444</c:v>
                </c:pt>
                <c:pt idx="1">
                  <c:v>33.734939759036145</c:v>
                </c:pt>
                <c:pt idx="2">
                  <c:v>32.474762470308789</c:v>
                </c:pt>
                <c:pt idx="3">
                  <c:v>30.592801076866603</c:v>
                </c:pt>
                <c:pt idx="4">
                  <c:v>28.095299255073208</c:v>
                </c:pt>
                <c:pt idx="5">
                  <c:v>25.113729317050076</c:v>
                </c:pt>
                <c:pt idx="6">
                  <c:v>21.875000000000004</c:v>
                </c:pt>
                <c:pt idx="7">
                  <c:v>18.632283892124406</c:v>
                </c:pt>
                <c:pt idx="8">
                  <c:v>15.596035933266791</c:v>
                </c:pt>
                <c:pt idx="9">
                  <c:v>12.897710103697589</c:v>
                </c:pt>
                <c:pt idx="10">
                  <c:v>10.59014329976762</c:v>
                </c:pt>
                <c:pt idx="11">
                  <c:v>8.6687306501547958</c:v>
                </c:pt>
                <c:pt idx="12">
                  <c:v>7.096282359047553</c:v>
                </c:pt>
                <c:pt idx="13">
                  <c:v>5.8224066169155835</c:v>
                </c:pt>
              </c:numCache>
            </c:numRef>
          </c:yVal>
          <c:smooth val="1"/>
          <c:extLst>
            <c:ext xmlns:c16="http://schemas.microsoft.com/office/drawing/2014/chart" uri="{C3380CC4-5D6E-409C-BE32-E72D297353CC}">
              <c16:uniqueId val="{00000002-C0A7-4B8A-940F-A2D591B97CF3}"/>
            </c:ext>
          </c:extLst>
        </c:ser>
        <c:ser>
          <c:idx val="4"/>
          <c:order val="3"/>
          <c:tx>
            <c:strRef>
              <c:f>'VDF V7.0'!$E$41</c:f>
              <c:strCache>
                <c:ptCount val="1"/>
                <c:pt idx="0">
                  <c:v>Coll7 (X=0.2, Y=5)</c:v>
                </c:pt>
              </c:strCache>
            </c:strRef>
          </c:tx>
          <c:spPr>
            <a:ln w="38100">
              <a:solidFill>
                <a:srgbClr val="00B050"/>
              </a:solidFill>
              <a:prstDash val="solid"/>
            </a:ln>
          </c:spPr>
          <c:marker>
            <c:symbol val="none"/>
          </c:marker>
          <c:xVal>
            <c:numRef>
              <c:f>'VDF V7.0'!$A$42:$A$55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V7.0'!$E$42:$E$55</c:f>
              <c:numCache>
                <c:formatCode>_(* #,##0.00_);_(* \(#,##0.00\);_(* "-"??_);_(@_)</c:formatCode>
                <c:ptCount val="14"/>
                <c:pt idx="0">
                  <c:v>24.9999500001</c:v>
                </c:pt>
                <c:pt idx="1">
                  <c:v>24.844720496894407</c:v>
                </c:pt>
                <c:pt idx="2">
                  <c:v>24.617154020670533</c:v>
                </c:pt>
                <c:pt idx="3">
                  <c:v>24.186978891539781</c:v>
                </c:pt>
                <c:pt idx="4">
                  <c:v>23.462370112319057</c:v>
                </c:pt>
                <c:pt idx="5">
                  <c:v>22.359399623288837</c:v>
                </c:pt>
                <c:pt idx="6">
                  <c:v>20.833333333333336</c:v>
                </c:pt>
                <c:pt idx="7">
                  <c:v>18.909282339789215</c:v>
                </c:pt>
                <c:pt idx="8">
                  <c:v>16.692662706721936</c:v>
                </c:pt>
                <c:pt idx="9">
                  <c:v>14.346494233283176</c:v>
                </c:pt>
                <c:pt idx="10">
                  <c:v>12.044431425752339</c:v>
                </c:pt>
                <c:pt idx="11">
                  <c:v>9.925558312655081</c:v>
                </c:pt>
                <c:pt idx="12">
                  <c:v>8.0719318909759625</c:v>
                </c:pt>
                <c:pt idx="13">
                  <c:v>6.5109015931915701</c:v>
                </c:pt>
              </c:numCache>
            </c:numRef>
          </c:yVal>
          <c:smooth val="1"/>
          <c:extLst>
            <c:ext xmlns:c16="http://schemas.microsoft.com/office/drawing/2014/chart" uri="{C3380CC4-5D6E-409C-BE32-E72D297353CC}">
              <c16:uniqueId val="{00000003-C0A7-4B8A-940F-A2D591B97CF3}"/>
            </c:ext>
          </c:extLst>
        </c:ser>
        <c:ser>
          <c:idx val="0"/>
          <c:order val="4"/>
          <c:tx>
            <c:strRef>
              <c:f>'VDF V7.0'!$F$41</c:f>
              <c:strCache>
                <c:ptCount val="1"/>
                <c:pt idx="0">
                  <c:v>Ramp7 (X=2, Y=2)</c:v>
                </c:pt>
              </c:strCache>
            </c:strRef>
          </c:tx>
          <c:spPr>
            <a:ln w="38100">
              <a:solidFill>
                <a:srgbClr val="002060"/>
              </a:solidFill>
              <a:prstDash val="solid"/>
            </a:ln>
          </c:spPr>
          <c:marker>
            <c:symbol val="none"/>
          </c:marker>
          <c:xVal>
            <c:numRef>
              <c:f>'VDF V7.0'!$A$42:$A$55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V7.0'!$F$42:$F$55</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4-C0A7-4B8A-940F-A2D591B97CF3}"/>
            </c:ext>
          </c:extLst>
        </c:ser>
        <c:dLbls>
          <c:showLegendKey val="0"/>
          <c:showVal val="0"/>
          <c:showCatName val="0"/>
          <c:showSerName val="0"/>
          <c:showPercent val="0"/>
          <c:showBubbleSize val="0"/>
        </c:dLbls>
        <c:axId val="247538584"/>
        <c:axId val="247538976"/>
      </c:scatterChart>
      <c:valAx>
        <c:axId val="247538584"/>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538976"/>
        <c:crosses val="autoZero"/>
        <c:crossBetween val="midCat"/>
      </c:valAx>
      <c:valAx>
        <c:axId val="247538976"/>
        <c:scaling>
          <c:orientation val="minMax"/>
          <c:max val="70"/>
          <c:min val="0"/>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538584"/>
        <c:crosses val="autoZero"/>
        <c:crossBetween val="midCat"/>
      </c:valAx>
      <c:spPr>
        <a:noFill/>
        <a:ln w="3175">
          <a:solidFill>
            <a:srgbClr val="000000"/>
          </a:solidFill>
          <a:prstDash val="solid"/>
        </a:ln>
      </c:spPr>
    </c:plotArea>
    <c:legend>
      <c:legendPos val="r"/>
      <c:layout>
        <c:manualLayout>
          <c:xMode val="edge"/>
          <c:yMode val="edge"/>
          <c:x val="2.4994431527324591E-2"/>
          <c:y val="0.84769685039370379"/>
          <c:w val="0.96478732342080165"/>
          <c:h val="0.13827673884514441"/>
        </c:manualLayout>
      </c:layout>
      <c:overlay val="0"/>
      <c:spPr>
        <a:solidFill>
          <a:srgbClr val="FFFFFF"/>
        </a:solidFill>
        <a:ln w="3175">
          <a:solidFill>
            <a:srgbClr val="000000"/>
          </a:solidFill>
          <a:prstDash val="solid"/>
        </a:ln>
      </c:spPr>
      <c:txPr>
        <a:bodyPr/>
        <a:lstStyle/>
        <a:p>
          <a:pPr>
            <a:defRPr sz="14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000000000000167" r="0.75000000000000167"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000000"/>
                </a:solidFill>
                <a:latin typeface="Arial"/>
                <a:ea typeface="Arial"/>
                <a:cs typeface="Arial"/>
              </a:defRPr>
            </a:pPr>
            <a:r>
              <a:rPr lang="en-US" sz="2000" b="1" i="0" u="none" strike="noStrike" baseline="0">
                <a:solidFill>
                  <a:srgbClr val="FF0000"/>
                </a:solidFill>
                <a:latin typeface="Arial"/>
                <a:cs typeface="Arial"/>
              </a:rPr>
              <a:t>Version 6.1 compared to 7.0</a:t>
            </a:r>
            <a:endParaRPr lang="en-US" sz="2000" b="1" i="0" u="none" strike="noStrike" baseline="0">
              <a:solidFill>
                <a:srgbClr val="000000"/>
              </a:solidFill>
              <a:latin typeface="Arial"/>
              <a:cs typeface="Arial"/>
            </a:endParaRPr>
          </a:p>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Congested Spd = Free flow spd / [1+X*(V/C)^Y]</a:t>
            </a:r>
          </a:p>
        </c:rich>
      </c:tx>
      <c:layout>
        <c:manualLayout>
          <c:xMode val="edge"/>
          <c:yMode val="edge"/>
          <c:x val="0.13432830784903441"/>
          <c:y val="2.987410903200919E-2"/>
        </c:manualLayout>
      </c:layout>
      <c:overlay val="0"/>
      <c:spPr>
        <a:noFill/>
        <a:ln w="25400">
          <a:noFill/>
        </a:ln>
      </c:spPr>
    </c:title>
    <c:autoTitleDeleted val="0"/>
    <c:plotArea>
      <c:layout>
        <c:manualLayout>
          <c:layoutTarget val="inner"/>
          <c:xMode val="edge"/>
          <c:yMode val="edge"/>
          <c:x val="0.1405987097730575"/>
          <c:y val="0.19955024868673671"/>
          <c:w val="0.81373058576619106"/>
          <c:h val="0.52049356532457169"/>
        </c:manualLayout>
      </c:layout>
      <c:scatterChart>
        <c:scatterStyle val="smoothMarker"/>
        <c:varyColors val="0"/>
        <c:ser>
          <c:idx val="1"/>
          <c:order val="0"/>
          <c:tx>
            <c:strRef>
              <c:f>'VDF V7.0'!$W$10</c:f>
              <c:strCache>
                <c:ptCount val="1"/>
                <c:pt idx="0">
                  <c:v>Fwy6 (X=1.2, Y=7)</c:v>
                </c:pt>
              </c:strCache>
            </c:strRef>
          </c:tx>
          <c:spPr>
            <a:ln w="25400">
              <a:solidFill>
                <a:srgbClr val="FF00FF"/>
              </a:solidFill>
              <a:prstDash val="sysDash"/>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V7.0'!$W$11:$W$24</c:f>
              <c:numCache>
                <c:formatCode>_(* #,##0.00_);_(* \(#,##0.00\);_(* "-"??_);_(@_)</c:formatCode>
                <c:ptCount val="14"/>
                <c:pt idx="0">
                  <c:v>66.999991960000969</c:v>
                </c:pt>
                <c:pt idx="1">
                  <c:v>66.377708978328172</c:v>
                </c:pt>
                <c:pt idx="2">
                  <c:v>64.822463077125036</c:v>
                </c:pt>
                <c:pt idx="3">
                  <c:v>60.974213586445373</c:v>
                </c:pt>
                <c:pt idx="4">
                  <c:v>53.528988871594862</c:v>
                </c:pt>
                <c:pt idx="5">
                  <c:v>42.567891402930215</c:v>
                </c:pt>
                <c:pt idx="6">
                  <c:v>30.454545454545464</c:v>
                </c:pt>
                <c:pt idx="7">
                  <c:v>20.069130546435233</c:v>
                </c:pt>
                <c:pt idx="8">
                  <c:v>12.641946034302288</c:v>
                </c:pt>
                <c:pt idx="9">
                  <c:v>7.8547945884226182</c:v>
                </c:pt>
                <c:pt idx="10">
                  <c:v>4.9085613844114713</c:v>
                </c:pt>
                <c:pt idx="11">
                  <c:v>3.1158261880540583</c:v>
                </c:pt>
                <c:pt idx="12">
                  <c:v>2.0173276570606746</c:v>
                </c:pt>
                <c:pt idx="13">
                  <c:v>1.3335817176389029</c:v>
                </c:pt>
              </c:numCache>
            </c:numRef>
          </c:yVal>
          <c:smooth val="1"/>
          <c:extLst>
            <c:ext xmlns:c16="http://schemas.microsoft.com/office/drawing/2014/chart" uri="{C3380CC4-5D6E-409C-BE32-E72D297353CC}">
              <c16:uniqueId val="{00000000-74AB-4A81-9992-138AADDC98D4}"/>
            </c:ext>
          </c:extLst>
        </c:ser>
        <c:ser>
          <c:idx val="2"/>
          <c:order val="1"/>
          <c:tx>
            <c:strRef>
              <c:f>'VDF V7.0'!$X$10</c:f>
              <c:strCache>
                <c:ptCount val="1"/>
                <c:pt idx="0">
                  <c:v>Fwy7 (X=0.5, Y=9)</c:v>
                </c:pt>
              </c:strCache>
            </c:strRef>
          </c:tx>
          <c:spPr>
            <a:ln w="25400">
              <a:solidFill>
                <a:srgbClr val="FF00FF"/>
              </a:solidFill>
              <a:prstDash val="solid"/>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V7.0'!$X$11:$X$24</c:f>
              <c:numCache>
                <c:formatCode>_(* #,##0.00_);_(* \(#,##0.00\);_(* "-"??_);_(@_)</c:formatCode>
                <c:ptCount val="14"/>
                <c:pt idx="0">
                  <c:v>66.999999966499999</c:v>
                </c:pt>
                <c:pt idx="1">
                  <c:v>66.934634146341466</c:v>
                </c:pt>
                <c:pt idx="2">
                  <c:v>66.664089784517458</c:v>
                </c:pt>
                <c:pt idx="3">
                  <c:v>65.674890636738539</c:v>
                </c:pt>
                <c:pt idx="4">
                  <c:v>62.786471240482548</c:v>
                </c:pt>
                <c:pt idx="5">
                  <c:v>56.127523667239508</c:v>
                </c:pt>
                <c:pt idx="6">
                  <c:v>44.666666666666679</c:v>
                </c:pt>
                <c:pt idx="7">
                  <c:v>30.748418636766988</c:v>
                </c:pt>
                <c:pt idx="8">
                  <c:v>18.715657940898801</c:v>
                </c:pt>
                <c:pt idx="9">
                  <c:v>10.631124333826405</c:v>
                </c:pt>
                <c:pt idx="10">
                  <c:v>5.9132308086761283</c:v>
                </c:pt>
                <c:pt idx="11">
                  <c:v>3.3132757038682525</c:v>
                </c:pt>
                <c:pt idx="12">
                  <c:v>1.8948103999726937</c:v>
                </c:pt>
                <c:pt idx="13">
                  <c:v>1.1112228185171944</c:v>
                </c:pt>
              </c:numCache>
            </c:numRef>
          </c:yVal>
          <c:smooth val="1"/>
          <c:extLst>
            <c:ext xmlns:c16="http://schemas.microsoft.com/office/drawing/2014/chart" uri="{C3380CC4-5D6E-409C-BE32-E72D297353CC}">
              <c16:uniqueId val="{00000001-74AB-4A81-9992-138AADDC98D4}"/>
            </c:ext>
          </c:extLst>
        </c:ser>
        <c:ser>
          <c:idx val="3"/>
          <c:order val="2"/>
          <c:tx>
            <c:strRef>
              <c:f>'VDF V7.0'!$Z$10</c:f>
              <c:strCache>
                <c:ptCount val="1"/>
                <c:pt idx="0">
                  <c:v>Bng6 (X=2, Y=5.5)</c:v>
                </c:pt>
              </c:strCache>
            </c:strRef>
          </c:tx>
          <c:spPr>
            <a:ln w="38100">
              <a:solidFill>
                <a:srgbClr val="FF9900"/>
              </a:solidFill>
              <a:prstDash val="sysDash"/>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V7.0'!$Z$11:$Z$24</c:f>
              <c:numCache>
                <c:formatCode>_(* #,##0.00_);_(* \(#,##0.00\);_(* "-"??_);_(@_)</c:formatCode>
                <c:ptCount val="14"/>
                <c:pt idx="0">
                  <c:v>49.999683774233972</c:v>
                </c:pt>
                <c:pt idx="1">
                  <c:v>47.883814383760324</c:v>
                </c:pt>
                <c:pt idx="2">
                  <c:v>44.624319164737067</c:v>
                </c:pt>
                <c:pt idx="3">
                  <c:v>39.024850125858897</c:v>
                </c:pt>
                <c:pt idx="4">
                  <c:v>31.522436521227359</c:v>
                </c:pt>
                <c:pt idx="5">
                  <c:v>23.58072340405554</c:v>
                </c:pt>
                <c:pt idx="6">
                  <c:v>16.666666666666675</c:v>
                </c:pt>
                <c:pt idx="7">
                  <c:v>11.420128948458514</c:v>
                </c:pt>
                <c:pt idx="8">
                  <c:v>7.7499722825296526</c:v>
                </c:pt>
                <c:pt idx="9">
                  <c:v>5.2816251904907379</c:v>
                </c:pt>
                <c:pt idx="10">
                  <c:v>3.6423931153667164</c:v>
                </c:pt>
                <c:pt idx="11">
                  <c:v>2.5509146318512723</c:v>
                </c:pt>
                <c:pt idx="12">
                  <c:v>1.8163913399226439</c:v>
                </c:pt>
                <c:pt idx="13">
                  <c:v>1.3149126111373286</c:v>
                </c:pt>
              </c:numCache>
            </c:numRef>
          </c:yVal>
          <c:smooth val="1"/>
          <c:extLst>
            <c:ext xmlns:c16="http://schemas.microsoft.com/office/drawing/2014/chart" uri="{C3380CC4-5D6E-409C-BE32-E72D297353CC}">
              <c16:uniqueId val="{00000002-74AB-4A81-9992-138AADDC98D4}"/>
            </c:ext>
          </c:extLst>
        </c:ser>
        <c:ser>
          <c:idx val="4"/>
          <c:order val="3"/>
          <c:tx>
            <c:strRef>
              <c:f>'VDF V7.0'!$AA$10</c:f>
              <c:strCache>
                <c:ptCount val="1"/>
                <c:pt idx="0">
                  <c:v>Bng7 (X=0.7, Y=6)</c:v>
                </c:pt>
              </c:strCache>
            </c:strRef>
          </c:tx>
          <c:spPr>
            <a:ln w="38100">
              <a:solidFill>
                <a:srgbClr val="FF9900"/>
              </a:solidFill>
              <a:prstDash val="solid"/>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V7.0'!$AA$11:$AA$24</c:f>
              <c:numCache>
                <c:formatCode>_(* #,##0.00_);_(* \(#,##0.00\);_(* "-"??_);_(@_)</c:formatCode>
                <c:ptCount val="14"/>
                <c:pt idx="0">
                  <c:v>49.999965000024503</c:v>
                </c:pt>
                <c:pt idx="1">
                  <c:v>49.459041731066456</c:v>
                </c:pt>
                <c:pt idx="2">
                  <c:v>48.418684499203614</c:v>
                </c:pt>
                <c:pt idx="3">
                  <c:v>46.195594178357311</c:v>
                </c:pt>
                <c:pt idx="4">
                  <c:v>42.247542206984569</c:v>
                </c:pt>
                <c:pt idx="5">
                  <c:v>36.442917599574997</c:v>
                </c:pt>
                <c:pt idx="6">
                  <c:v>29.411764705882362</c:v>
                </c:pt>
                <c:pt idx="7">
                  <c:v>22.320504861249724</c:v>
                </c:pt>
                <c:pt idx="8">
                  <c:v>16.18024115549186</c:v>
                </c:pt>
                <c:pt idx="9">
                  <c:v>11.418741392980939</c:v>
                </c:pt>
                <c:pt idx="10">
                  <c:v>7.9736229999601917</c:v>
                </c:pt>
                <c:pt idx="11">
                  <c:v>5.5720006965000817</c:v>
                </c:pt>
                <c:pt idx="12">
                  <c:v>3.9233991778061874</c:v>
                </c:pt>
                <c:pt idx="13">
                  <c:v>2.7938738593779435</c:v>
                </c:pt>
              </c:numCache>
            </c:numRef>
          </c:yVal>
          <c:smooth val="1"/>
          <c:extLst>
            <c:ext xmlns:c16="http://schemas.microsoft.com/office/drawing/2014/chart" uri="{C3380CC4-5D6E-409C-BE32-E72D297353CC}">
              <c16:uniqueId val="{00000003-74AB-4A81-9992-138AADDC98D4}"/>
            </c:ext>
          </c:extLst>
        </c:ser>
        <c:ser>
          <c:idx val="0"/>
          <c:order val="4"/>
          <c:tx>
            <c:strRef>
              <c:f>'VDF V7.0'!$AC$10</c:f>
              <c:strCache>
                <c:ptCount val="1"/>
                <c:pt idx="0">
                  <c:v>Art6 (X=0.3, Y=6)</c:v>
                </c:pt>
              </c:strCache>
            </c:strRef>
          </c:tx>
          <c:spPr>
            <a:ln w="38100">
              <a:solidFill>
                <a:srgbClr val="00B0F0"/>
              </a:solidFill>
              <a:prstDash val="sysDash"/>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V7.0'!$AC$11:$AC$24</c:f>
              <c:numCache>
                <c:formatCode>_(* #,##0.00_);_(* \(#,##0.00\);_(* "-"??_);_(@_)</c:formatCode>
                <c:ptCount val="14"/>
                <c:pt idx="0">
                  <c:v>34.999989500003153</c:v>
                </c:pt>
                <c:pt idx="1">
                  <c:v>34.836702954898911</c:v>
                </c:pt>
                <c:pt idx="2">
                  <c:v>34.516874214987666</c:v>
                </c:pt>
                <c:pt idx="3">
                  <c:v>33.806799165493658</c:v>
                </c:pt>
                <c:pt idx="4">
                  <c:v>32.44817192561915</c:v>
                </c:pt>
                <c:pt idx="5">
                  <c:v>30.187187298473571</c:v>
                </c:pt>
                <c:pt idx="6">
                  <c:v>26.923076923076927</c:v>
                </c:pt>
                <c:pt idx="7">
                  <c:v>22.853884732710437</c:v>
                </c:pt>
                <c:pt idx="8">
                  <c:v>18.461909809667208</c:v>
                </c:pt>
                <c:pt idx="9">
                  <c:v>14.297136238677535</c:v>
                </c:pt>
                <c:pt idx="10">
                  <c:v>10.739949371264949</c:v>
                </c:pt>
                <c:pt idx="11">
                  <c:v>7.9235939158118072</c:v>
                </c:pt>
                <c:pt idx="12">
                  <c:v>5.8012670232379477</c:v>
                </c:pt>
                <c:pt idx="13">
                  <c:v>4.2469178933777716</c:v>
                </c:pt>
              </c:numCache>
            </c:numRef>
          </c:yVal>
          <c:smooth val="1"/>
          <c:extLst>
            <c:ext xmlns:c16="http://schemas.microsoft.com/office/drawing/2014/chart" uri="{C3380CC4-5D6E-409C-BE32-E72D297353CC}">
              <c16:uniqueId val="{00000004-74AB-4A81-9992-138AADDC98D4}"/>
            </c:ext>
          </c:extLst>
        </c:ser>
        <c:ser>
          <c:idx val="5"/>
          <c:order val="5"/>
          <c:tx>
            <c:strRef>
              <c:f>'VDF V7.0'!$AD$10</c:f>
              <c:strCache>
                <c:ptCount val="1"/>
                <c:pt idx="0">
                  <c:v>Art7 (X=0.6, Y=4)</c:v>
                </c:pt>
              </c:strCache>
            </c:strRef>
          </c:tx>
          <c:spPr>
            <a:ln w="38100">
              <a:solidFill>
                <a:srgbClr val="00B0F0"/>
              </a:solidFill>
              <a:prstDash val="solid"/>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V7.0'!$AD$11:$AD$24</c:f>
              <c:numCache>
                <c:formatCode>_(* #,##0.00_);_(* \(#,##0.00\);_(* "-"??_);_(@_)</c:formatCode>
                <c:ptCount val="14"/>
                <c:pt idx="0">
                  <c:v>34.997900125992444</c:v>
                </c:pt>
                <c:pt idx="1">
                  <c:v>33.734939759036145</c:v>
                </c:pt>
                <c:pt idx="2">
                  <c:v>32.474762470308789</c:v>
                </c:pt>
                <c:pt idx="3">
                  <c:v>30.592801076866603</c:v>
                </c:pt>
                <c:pt idx="4">
                  <c:v>28.095299255073208</c:v>
                </c:pt>
                <c:pt idx="5">
                  <c:v>25.113729317050076</c:v>
                </c:pt>
                <c:pt idx="6">
                  <c:v>21.875000000000004</c:v>
                </c:pt>
                <c:pt idx="7">
                  <c:v>18.632283892124406</c:v>
                </c:pt>
                <c:pt idx="8">
                  <c:v>15.596035933266791</c:v>
                </c:pt>
                <c:pt idx="9">
                  <c:v>12.897710103697589</c:v>
                </c:pt>
                <c:pt idx="10">
                  <c:v>10.59014329976762</c:v>
                </c:pt>
                <c:pt idx="11">
                  <c:v>8.6687306501547958</c:v>
                </c:pt>
                <c:pt idx="12">
                  <c:v>7.096282359047553</c:v>
                </c:pt>
                <c:pt idx="13">
                  <c:v>5.8224066169155835</c:v>
                </c:pt>
              </c:numCache>
            </c:numRef>
          </c:yVal>
          <c:smooth val="1"/>
          <c:extLst>
            <c:ext xmlns:c16="http://schemas.microsoft.com/office/drawing/2014/chart" uri="{C3380CC4-5D6E-409C-BE32-E72D297353CC}">
              <c16:uniqueId val="{00000005-74AB-4A81-9992-138AADDC98D4}"/>
            </c:ext>
          </c:extLst>
        </c:ser>
        <c:ser>
          <c:idx val="6"/>
          <c:order val="6"/>
          <c:tx>
            <c:strRef>
              <c:f>'VDF V7.0'!$AF$10</c:f>
              <c:strCache>
                <c:ptCount val="1"/>
                <c:pt idx="0">
                  <c:v>Coll6 (X=0.3, Y=4)</c:v>
                </c:pt>
              </c:strCache>
            </c:strRef>
          </c:tx>
          <c:spPr>
            <a:ln w="38100">
              <a:solidFill>
                <a:srgbClr val="00B050"/>
              </a:solidFill>
              <a:prstDash val="sysDash"/>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V7.0'!$AF$11:$AF$24</c:f>
              <c:numCache>
                <c:formatCode>_(* #,##0.00_);_(* \(#,##0.00\);_(* "-"??_);_(@_)</c:formatCode>
                <c:ptCount val="14"/>
                <c:pt idx="0">
                  <c:v>24.999250022499325</c:v>
                </c:pt>
                <c:pt idx="1">
                  <c:v>24.539877300613497</c:v>
                </c:pt>
                <c:pt idx="2">
                  <c:v>24.064377021407669</c:v>
                </c:pt>
                <c:pt idx="3">
                  <c:v>23.320242903650083</c:v>
                </c:pt>
                <c:pt idx="4">
                  <c:v>22.264177828441152</c:v>
                </c:pt>
                <c:pt idx="5">
                  <c:v>20.888513824018453</c:v>
                </c:pt>
                <c:pt idx="6">
                  <c:v>19.230769230769234</c:v>
                </c:pt>
                <c:pt idx="7">
                  <c:v>17.370399449705747</c:v>
                </c:pt>
                <c:pt idx="8">
                  <c:v>15.412310120339317</c:v>
                </c:pt>
                <c:pt idx="9">
                  <c:v>13.463806595111024</c:v>
                </c:pt>
                <c:pt idx="10">
                  <c:v>11.614509774771424</c:v>
                </c:pt>
                <c:pt idx="11">
                  <c:v>9.9255583126550846</c:v>
                </c:pt>
                <c:pt idx="12">
                  <c:v>8.428633078001937</c:v>
                </c:pt>
                <c:pt idx="13">
                  <c:v>7.1313857994140797</c:v>
                </c:pt>
              </c:numCache>
            </c:numRef>
          </c:yVal>
          <c:smooth val="1"/>
          <c:extLst>
            <c:ext xmlns:c16="http://schemas.microsoft.com/office/drawing/2014/chart" uri="{C3380CC4-5D6E-409C-BE32-E72D297353CC}">
              <c16:uniqueId val="{00000006-74AB-4A81-9992-138AADDC98D4}"/>
            </c:ext>
          </c:extLst>
        </c:ser>
        <c:ser>
          <c:idx val="7"/>
          <c:order val="7"/>
          <c:tx>
            <c:strRef>
              <c:f>'VDF V7.0'!$AG$10</c:f>
              <c:strCache>
                <c:ptCount val="1"/>
                <c:pt idx="0">
                  <c:v>Coll7 (X=0.2, Y=5)</c:v>
                </c:pt>
              </c:strCache>
            </c:strRef>
          </c:tx>
          <c:spPr>
            <a:ln w="38100">
              <a:solidFill>
                <a:srgbClr val="00B050"/>
              </a:solidFill>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V7.0'!$AG$11:$AG$24</c:f>
              <c:numCache>
                <c:formatCode>_(* #,##0.00_);_(* \(#,##0.00\);_(* "-"??_);_(@_)</c:formatCode>
                <c:ptCount val="14"/>
                <c:pt idx="0">
                  <c:v>24.9999500001</c:v>
                </c:pt>
                <c:pt idx="1">
                  <c:v>24.844720496894407</c:v>
                </c:pt>
                <c:pt idx="2">
                  <c:v>24.617154020670533</c:v>
                </c:pt>
                <c:pt idx="3">
                  <c:v>24.186978891539781</c:v>
                </c:pt>
                <c:pt idx="4">
                  <c:v>23.462370112319057</c:v>
                </c:pt>
                <c:pt idx="5">
                  <c:v>22.359399623288837</c:v>
                </c:pt>
                <c:pt idx="6">
                  <c:v>20.833333333333336</c:v>
                </c:pt>
                <c:pt idx="7">
                  <c:v>18.909282339789215</c:v>
                </c:pt>
                <c:pt idx="8">
                  <c:v>16.692662706721936</c:v>
                </c:pt>
                <c:pt idx="9">
                  <c:v>14.346494233283176</c:v>
                </c:pt>
                <c:pt idx="10">
                  <c:v>12.044431425752339</c:v>
                </c:pt>
                <c:pt idx="11">
                  <c:v>9.925558312655081</c:v>
                </c:pt>
                <c:pt idx="12">
                  <c:v>8.0719318909759625</c:v>
                </c:pt>
                <c:pt idx="13">
                  <c:v>6.5109015931915701</c:v>
                </c:pt>
              </c:numCache>
            </c:numRef>
          </c:yVal>
          <c:smooth val="1"/>
          <c:extLst>
            <c:ext xmlns:c16="http://schemas.microsoft.com/office/drawing/2014/chart" uri="{C3380CC4-5D6E-409C-BE32-E72D297353CC}">
              <c16:uniqueId val="{00000007-74AB-4A81-9992-138AADDC98D4}"/>
            </c:ext>
          </c:extLst>
        </c:ser>
        <c:ser>
          <c:idx val="8"/>
          <c:order val="8"/>
          <c:tx>
            <c:strRef>
              <c:f>'VDF V7.0'!$AI$10</c:f>
              <c:strCache>
                <c:ptCount val="1"/>
                <c:pt idx="0">
                  <c:v>Ramp6 (X=2, Y=2)</c:v>
                </c:pt>
              </c:strCache>
            </c:strRef>
          </c:tx>
          <c:spPr>
            <a:ln w="38100">
              <a:solidFill>
                <a:srgbClr val="002060"/>
              </a:solidFill>
              <a:prstDash val="sysDash"/>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V7.0'!$AI$11:$AI$24</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8-74AB-4A81-9992-138AADDC98D4}"/>
            </c:ext>
          </c:extLst>
        </c:ser>
        <c:ser>
          <c:idx val="9"/>
          <c:order val="9"/>
          <c:tx>
            <c:strRef>
              <c:f>'VDF V7.0'!$AJ$10</c:f>
              <c:strCache>
                <c:ptCount val="1"/>
                <c:pt idx="0">
                  <c:v>Ramp7 (X=2, Y=2)</c:v>
                </c:pt>
              </c:strCache>
            </c:strRef>
          </c:tx>
          <c:spPr>
            <a:ln w="38100">
              <a:solidFill>
                <a:srgbClr val="002060"/>
              </a:solidFill>
            </a:ln>
          </c:spPr>
          <c:marker>
            <c:symbol val="none"/>
          </c:marker>
          <c:xVal>
            <c:numRef>
              <c:f>'VDF V7.0'!$V$11:$V$24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V7.0'!$AJ$11:$AJ$24</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9-74AB-4A81-9992-138AADDC98D4}"/>
            </c:ext>
          </c:extLst>
        </c:ser>
        <c:dLbls>
          <c:showLegendKey val="0"/>
          <c:showVal val="0"/>
          <c:showCatName val="0"/>
          <c:showSerName val="0"/>
          <c:showPercent val="0"/>
          <c:showBubbleSize val="0"/>
        </c:dLbls>
        <c:axId val="247957744"/>
        <c:axId val="247958136"/>
      </c:scatterChart>
      <c:valAx>
        <c:axId val="247957744"/>
        <c:scaling>
          <c:orientation val="minMax"/>
        </c:scaling>
        <c:delete val="0"/>
        <c:axPos val="b"/>
        <c:majorGridlines>
          <c:spPr>
            <a:ln w="3175">
              <a:solidFill>
                <a:srgbClr val="000000"/>
              </a:solidFill>
              <a:prstDash val="solid"/>
            </a:ln>
          </c:spPr>
        </c:majorGridlines>
        <c:minorGridlines>
          <c:spPr>
            <a:ln w="3175">
              <a:solidFill>
                <a:srgbClr val="C0C0C0"/>
              </a:solidFill>
              <a:prstDash val="solid"/>
            </a:ln>
          </c:spPr>
        </c:minorGridlines>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58136"/>
        <c:crosses val="autoZero"/>
        <c:crossBetween val="midCat"/>
      </c:valAx>
      <c:valAx>
        <c:axId val="247958136"/>
        <c:scaling>
          <c:orientation val="minMax"/>
          <c:max val="70"/>
          <c:min val="0"/>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57744"/>
        <c:crosses val="autoZero"/>
        <c:crossBetween val="midCat"/>
      </c:valAx>
      <c:spPr>
        <a:noFill/>
        <a:ln w="3175">
          <a:solidFill>
            <a:srgbClr val="000000"/>
          </a:solidFill>
          <a:prstDash val="solid"/>
        </a:ln>
      </c:spPr>
    </c:plotArea>
    <c:legend>
      <c:legendPos val="r"/>
      <c:layout>
        <c:manualLayout>
          <c:xMode val="edge"/>
          <c:yMode val="edge"/>
          <c:x val="2.4884744783910728E-2"/>
          <c:y val="0.81316728785315406"/>
          <c:w val="0.80004399326474795"/>
          <c:h val="0.18125806164374847"/>
        </c:manualLayout>
      </c:layout>
      <c:overlay val="0"/>
      <c:spPr>
        <a:solidFill>
          <a:srgbClr val="FFFFFF"/>
        </a:solidFill>
        <a:ln w="3175">
          <a:solidFill>
            <a:srgbClr val="000000"/>
          </a:solidFill>
          <a:prstDash val="solid"/>
        </a:ln>
      </c:spPr>
      <c:txPr>
        <a:bodyPr/>
        <a:lstStyle/>
        <a:p>
          <a:pPr>
            <a:defRPr sz="14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000000000000167" r="0.75000000000000167"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WFRC-MAG Volume-Delay Curves, </a:t>
            </a:r>
            <a:r>
              <a:rPr lang="en-US" sz="2000" b="1" i="0" u="none" strike="noStrike" baseline="0">
                <a:solidFill>
                  <a:srgbClr val="FF0000"/>
                </a:solidFill>
                <a:latin typeface="Arial"/>
                <a:cs typeface="Arial"/>
              </a:rPr>
              <a:t>Version 4.2</a:t>
            </a:r>
            <a:endParaRPr lang="en-US" sz="2000" b="1" i="0" u="none" strike="noStrike" baseline="0">
              <a:solidFill>
                <a:srgbClr val="000000"/>
              </a:solidFill>
              <a:latin typeface="Arial"/>
              <a:cs typeface="Arial"/>
            </a:endParaRPr>
          </a:p>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Congested Spd = Free flow spd / [1+X*(V/C)^Y]</a:t>
            </a:r>
          </a:p>
        </c:rich>
      </c:tx>
      <c:layout>
        <c:manualLayout>
          <c:xMode val="edge"/>
          <c:yMode val="edge"/>
          <c:x val="0.1349207713800043"/>
          <c:y val="3.1249960151742202E-2"/>
        </c:manualLayout>
      </c:layout>
      <c:overlay val="0"/>
      <c:spPr>
        <a:noFill/>
        <a:ln w="25400">
          <a:noFill/>
        </a:ln>
      </c:spPr>
    </c:title>
    <c:autoTitleDeleted val="0"/>
    <c:plotArea>
      <c:layout>
        <c:manualLayout>
          <c:layoutTarget val="inner"/>
          <c:xMode val="edge"/>
          <c:yMode val="edge"/>
          <c:x val="0.14121886990447174"/>
          <c:y val="0.21033992317798583"/>
          <c:w val="0.81482038210367802"/>
          <c:h val="0.50814793322206386"/>
        </c:manualLayout>
      </c:layout>
      <c:scatterChart>
        <c:scatterStyle val="smoothMarker"/>
        <c:varyColors val="0"/>
        <c:ser>
          <c:idx val="1"/>
          <c:order val="0"/>
          <c:tx>
            <c:strRef>
              <c:f>'VDF V6.x'!$B$10</c:f>
              <c:strCache>
                <c:ptCount val="1"/>
                <c:pt idx="0">
                  <c:v>Fwy (X=1.2, Y=7)</c:v>
                </c:pt>
              </c:strCache>
            </c:strRef>
          </c:tx>
          <c:spPr>
            <a:ln w="38100">
              <a:solidFill>
                <a:srgbClr val="FF00FF"/>
              </a:solidFill>
              <a:prstDash val="solid"/>
            </a:ln>
          </c:spPr>
          <c:marker>
            <c:symbol val="none"/>
          </c:marker>
          <c:xVal>
            <c:numRef>
              <c:f>'VDF V6.x'!$A$11:$A$24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V6.x'!$B$11:$B$24</c:f>
              <c:numCache>
                <c:formatCode>_(* #,##0.00_);_(* \(#,##0.00\);_(* "-"??_);_(@_)</c:formatCode>
                <c:ptCount val="14"/>
                <c:pt idx="0">
                  <c:v>66.999991960000969</c:v>
                </c:pt>
                <c:pt idx="1">
                  <c:v>66.377708978328172</c:v>
                </c:pt>
                <c:pt idx="2">
                  <c:v>64.822463077125036</c:v>
                </c:pt>
                <c:pt idx="3">
                  <c:v>60.974213586445373</c:v>
                </c:pt>
                <c:pt idx="4">
                  <c:v>53.528988871594862</c:v>
                </c:pt>
                <c:pt idx="5">
                  <c:v>42.567891402930215</c:v>
                </c:pt>
                <c:pt idx="6">
                  <c:v>30.454545454545464</c:v>
                </c:pt>
                <c:pt idx="7">
                  <c:v>20.069130546435233</c:v>
                </c:pt>
                <c:pt idx="8">
                  <c:v>12.641946034302288</c:v>
                </c:pt>
                <c:pt idx="9">
                  <c:v>7.8547945884226182</c:v>
                </c:pt>
                <c:pt idx="10">
                  <c:v>4.9085613844114713</c:v>
                </c:pt>
                <c:pt idx="11">
                  <c:v>3.1158261880540583</c:v>
                </c:pt>
                <c:pt idx="12">
                  <c:v>2.0173276570606746</c:v>
                </c:pt>
                <c:pt idx="13">
                  <c:v>1.3335817176389029</c:v>
                </c:pt>
              </c:numCache>
            </c:numRef>
          </c:yVal>
          <c:smooth val="1"/>
          <c:extLst>
            <c:ext xmlns:c16="http://schemas.microsoft.com/office/drawing/2014/chart" uri="{C3380CC4-5D6E-409C-BE32-E72D297353CC}">
              <c16:uniqueId val="{00000000-1878-45FA-A058-2535FCDDB0C9}"/>
            </c:ext>
          </c:extLst>
        </c:ser>
        <c:ser>
          <c:idx val="2"/>
          <c:order val="1"/>
          <c:tx>
            <c:strRef>
              <c:f>'VDF V6.x'!$C$10</c:f>
              <c:strCache>
                <c:ptCount val="1"/>
                <c:pt idx="0">
                  <c:v>Bng (X=2, Y=5.5)</c:v>
                </c:pt>
              </c:strCache>
            </c:strRef>
          </c:tx>
          <c:spPr>
            <a:ln w="38100">
              <a:solidFill>
                <a:srgbClr val="FF9900"/>
              </a:solidFill>
              <a:prstDash val="solid"/>
            </a:ln>
          </c:spPr>
          <c:marker>
            <c:symbol val="none"/>
          </c:marker>
          <c:xVal>
            <c:numRef>
              <c:f>'VDF V6.x'!$A$11:$A$24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V6.x'!$C$11:$C$24</c:f>
              <c:numCache>
                <c:formatCode>_(* #,##0.00_);_(* \(#,##0.00\);_(* "-"??_);_(@_)</c:formatCode>
                <c:ptCount val="14"/>
                <c:pt idx="0">
                  <c:v>49.999683774233972</c:v>
                </c:pt>
                <c:pt idx="1">
                  <c:v>47.883814383760324</c:v>
                </c:pt>
                <c:pt idx="2">
                  <c:v>44.624319164737067</c:v>
                </c:pt>
                <c:pt idx="3">
                  <c:v>39.024850125858897</c:v>
                </c:pt>
                <c:pt idx="4">
                  <c:v>31.522436521227359</c:v>
                </c:pt>
                <c:pt idx="5">
                  <c:v>23.58072340405554</c:v>
                </c:pt>
                <c:pt idx="6">
                  <c:v>16.666666666666675</c:v>
                </c:pt>
                <c:pt idx="7">
                  <c:v>11.420128948458514</c:v>
                </c:pt>
                <c:pt idx="8">
                  <c:v>7.7499722825296526</c:v>
                </c:pt>
                <c:pt idx="9">
                  <c:v>5.2816251904907379</c:v>
                </c:pt>
                <c:pt idx="10">
                  <c:v>3.6423931153667164</c:v>
                </c:pt>
                <c:pt idx="11">
                  <c:v>2.5509146318512723</c:v>
                </c:pt>
                <c:pt idx="12">
                  <c:v>1.8163913399226439</c:v>
                </c:pt>
                <c:pt idx="13">
                  <c:v>1.3149126111373286</c:v>
                </c:pt>
              </c:numCache>
            </c:numRef>
          </c:yVal>
          <c:smooth val="1"/>
          <c:extLst>
            <c:ext xmlns:c16="http://schemas.microsoft.com/office/drawing/2014/chart" uri="{C3380CC4-5D6E-409C-BE32-E72D297353CC}">
              <c16:uniqueId val="{00000001-1878-45FA-A058-2535FCDDB0C9}"/>
            </c:ext>
          </c:extLst>
        </c:ser>
        <c:ser>
          <c:idx val="3"/>
          <c:order val="2"/>
          <c:tx>
            <c:strRef>
              <c:f>'VDF V6.x'!$D$10</c:f>
              <c:strCache>
                <c:ptCount val="1"/>
                <c:pt idx="0">
                  <c:v>Art (X=0.3, Y=6)</c:v>
                </c:pt>
              </c:strCache>
            </c:strRef>
          </c:tx>
          <c:spPr>
            <a:ln w="38100">
              <a:solidFill>
                <a:srgbClr val="00FFFF"/>
              </a:solidFill>
              <a:prstDash val="solid"/>
            </a:ln>
          </c:spPr>
          <c:marker>
            <c:symbol val="none"/>
          </c:marker>
          <c:xVal>
            <c:numRef>
              <c:f>'VDF V6.x'!$A$11:$A$24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V6.x'!$D$11:$D$24</c:f>
              <c:numCache>
                <c:formatCode>_(* #,##0.00_);_(* \(#,##0.00\);_(* "-"??_);_(@_)</c:formatCode>
                <c:ptCount val="14"/>
                <c:pt idx="0">
                  <c:v>34.999989500003153</c:v>
                </c:pt>
                <c:pt idx="1">
                  <c:v>34.836702954898911</c:v>
                </c:pt>
                <c:pt idx="2">
                  <c:v>34.516874214987666</c:v>
                </c:pt>
                <c:pt idx="3">
                  <c:v>33.806799165493658</c:v>
                </c:pt>
                <c:pt idx="4">
                  <c:v>32.44817192561915</c:v>
                </c:pt>
                <c:pt idx="5">
                  <c:v>30.187187298473571</c:v>
                </c:pt>
                <c:pt idx="6">
                  <c:v>26.923076923076927</c:v>
                </c:pt>
                <c:pt idx="7">
                  <c:v>22.853884732710437</c:v>
                </c:pt>
                <c:pt idx="8">
                  <c:v>18.461909809667208</c:v>
                </c:pt>
                <c:pt idx="9">
                  <c:v>14.297136238677535</c:v>
                </c:pt>
                <c:pt idx="10">
                  <c:v>10.739949371264949</c:v>
                </c:pt>
                <c:pt idx="11">
                  <c:v>7.9235939158118072</c:v>
                </c:pt>
                <c:pt idx="12">
                  <c:v>5.8012670232379477</c:v>
                </c:pt>
                <c:pt idx="13">
                  <c:v>4.2469178933777716</c:v>
                </c:pt>
              </c:numCache>
            </c:numRef>
          </c:yVal>
          <c:smooth val="1"/>
          <c:extLst>
            <c:ext xmlns:c16="http://schemas.microsoft.com/office/drawing/2014/chart" uri="{C3380CC4-5D6E-409C-BE32-E72D297353CC}">
              <c16:uniqueId val="{00000002-1878-45FA-A058-2535FCDDB0C9}"/>
            </c:ext>
          </c:extLst>
        </c:ser>
        <c:ser>
          <c:idx val="4"/>
          <c:order val="3"/>
          <c:tx>
            <c:strRef>
              <c:f>'VDF V6.x'!$E$10</c:f>
              <c:strCache>
                <c:ptCount val="1"/>
                <c:pt idx="0">
                  <c:v>Coll (X=0.3, Y=4)</c:v>
                </c:pt>
              </c:strCache>
            </c:strRef>
          </c:tx>
          <c:spPr>
            <a:ln w="38100">
              <a:solidFill>
                <a:srgbClr val="800080"/>
              </a:solidFill>
              <a:prstDash val="solid"/>
            </a:ln>
          </c:spPr>
          <c:marker>
            <c:symbol val="none"/>
          </c:marker>
          <c:xVal>
            <c:numRef>
              <c:f>'VDF V6.x'!$A$11:$A$24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V6.x'!$E$11:$E$24</c:f>
              <c:numCache>
                <c:formatCode>_(* #,##0.00_);_(* \(#,##0.00\);_(* "-"??_);_(@_)</c:formatCode>
                <c:ptCount val="14"/>
                <c:pt idx="0">
                  <c:v>19.999400017999459</c:v>
                </c:pt>
                <c:pt idx="1">
                  <c:v>19.631901840490798</c:v>
                </c:pt>
                <c:pt idx="2">
                  <c:v>19.251501617126134</c:v>
                </c:pt>
                <c:pt idx="3">
                  <c:v>18.656194322920069</c:v>
                </c:pt>
                <c:pt idx="4">
                  <c:v>17.811342262752923</c:v>
                </c:pt>
                <c:pt idx="5">
                  <c:v>16.710811059214763</c:v>
                </c:pt>
                <c:pt idx="6">
                  <c:v>15.384615384615387</c:v>
                </c:pt>
                <c:pt idx="7">
                  <c:v>13.896319559764599</c:v>
                </c:pt>
                <c:pt idx="8">
                  <c:v>12.329848096271455</c:v>
                </c:pt>
                <c:pt idx="9">
                  <c:v>10.771045276088818</c:v>
                </c:pt>
                <c:pt idx="10">
                  <c:v>9.2916078198171377</c:v>
                </c:pt>
                <c:pt idx="11">
                  <c:v>7.9404466501240671</c:v>
                </c:pt>
                <c:pt idx="12">
                  <c:v>6.7429064624015496</c:v>
                </c:pt>
                <c:pt idx="13">
                  <c:v>5.7051086395312636</c:v>
                </c:pt>
              </c:numCache>
            </c:numRef>
          </c:yVal>
          <c:smooth val="1"/>
          <c:extLst>
            <c:ext xmlns:c16="http://schemas.microsoft.com/office/drawing/2014/chart" uri="{C3380CC4-5D6E-409C-BE32-E72D297353CC}">
              <c16:uniqueId val="{00000003-1878-45FA-A058-2535FCDDB0C9}"/>
            </c:ext>
          </c:extLst>
        </c:ser>
        <c:ser>
          <c:idx val="0"/>
          <c:order val="4"/>
          <c:tx>
            <c:strRef>
              <c:f>'VDF V6.x'!$F$10</c:f>
              <c:strCache>
                <c:ptCount val="1"/>
                <c:pt idx="0">
                  <c:v>Ramp (X=2, Y=2)</c:v>
                </c:pt>
              </c:strCache>
            </c:strRef>
          </c:tx>
          <c:spPr>
            <a:ln w="38100">
              <a:solidFill>
                <a:srgbClr val="000080"/>
              </a:solidFill>
              <a:prstDash val="solid"/>
            </a:ln>
          </c:spPr>
          <c:marker>
            <c:symbol val="none"/>
          </c:marker>
          <c:xVal>
            <c:numRef>
              <c:f>'VDF V6.x'!$A$11:$A$24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V6.x'!$F$11:$F$24</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4-1878-45FA-A058-2535FCDDB0C9}"/>
            </c:ext>
          </c:extLst>
        </c:ser>
        <c:dLbls>
          <c:showLegendKey val="0"/>
          <c:showVal val="0"/>
          <c:showCatName val="0"/>
          <c:showSerName val="0"/>
          <c:showPercent val="0"/>
          <c:showBubbleSize val="0"/>
        </c:dLbls>
        <c:axId val="247958920"/>
        <c:axId val="247959312"/>
      </c:scatterChart>
      <c:valAx>
        <c:axId val="247958920"/>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59312"/>
        <c:crosses val="autoZero"/>
        <c:crossBetween val="midCat"/>
      </c:valAx>
      <c:valAx>
        <c:axId val="247959312"/>
        <c:scaling>
          <c:orientation val="minMax"/>
          <c:max val="70"/>
          <c:min val="0"/>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58920"/>
        <c:crosses val="autoZero"/>
        <c:crossBetween val="midCat"/>
      </c:valAx>
      <c:spPr>
        <a:noFill/>
        <a:ln w="3175">
          <a:solidFill>
            <a:srgbClr val="000000"/>
          </a:solidFill>
          <a:prstDash val="solid"/>
        </a:ln>
      </c:spPr>
    </c:plotArea>
    <c:legend>
      <c:legendPos val="r"/>
      <c:layout>
        <c:manualLayout>
          <c:xMode val="edge"/>
          <c:yMode val="edge"/>
          <c:x val="2.4994431527324591E-2"/>
          <c:y val="0.84969003368506357"/>
          <c:w val="0.96478732342080165"/>
          <c:h val="0.13744992402265521"/>
        </c:manualLayout>
      </c:layout>
      <c:overlay val="0"/>
      <c:spPr>
        <a:solidFill>
          <a:srgbClr val="FFFFFF"/>
        </a:solidFill>
        <a:ln w="3175">
          <a:solidFill>
            <a:srgbClr val="000000"/>
          </a:solidFill>
          <a:prstDash val="solid"/>
        </a:ln>
      </c:spPr>
      <c:txPr>
        <a:bodyPr/>
        <a:lstStyle/>
        <a:p>
          <a:pPr>
            <a:defRPr sz="14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000000000000144" r="0.75000000000000144" t="1" header="0.5" footer="0.5"/>
    <c:pageSetup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WFRC-MAG Volume-Delay Curves, </a:t>
            </a:r>
            <a:r>
              <a:rPr lang="en-US" sz="2000" b="1" i="0" u="none" strike="noStrike" baseline="0">
                <a:solidFill>
                  <a:srgbClr val="FF0000"/>
                </a:solidFill>
                <a:latin typeface="Arial"/>
                <a:cs typeface="Arial"/>
              </a:rPr>
              <a:t>V 4.3 beta</a:t>
            </a:r>
            <a:endParaRPr lang="en-US" sz="2000" b="1" i="0" u="none" strike="noStrike" baseline="0">
              <a:solidFill>
                <a:srgbClr val="000000"/>
              </a:solidFill>
              <a:latin typeface="Arial"/>
              <a:cs typeface="Arial"/>
            </a:endParaRPr>
          </a:p>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Congested Spd = Free flow spd / [1+X*(V/C)^Y]</a:t>
            </a:r>
          </a:p>
        </c:rich>
      </c:tx>
      <c:layout>
        <c:manualLayout>
          <c:xMode val="edge"/>
          <c:yMode val="edge"/>
          <c:x val="0.13789700605042288"/>
          <c:y val="2.6645875147959564E-2"/>
        </c:manualLayout>
      </c:layout>
      <c:overlay val="0"/>
      <c:spPr>
        <a:noFill/>
        <a:ln w="25400">
          <a:noFill/>
        </a:ln>
      </c:spPr>
    </c:title>
    <c:autoTitleDeleted val="0"/>
    <c:plotArea>
      <c:layout>
        <c:manualLayout>
          <c:layoutTarget val="inner"/>
          <c:xMode val="edge"/>
          <c:yMode val="edge"/>
          <c:x val="0.14121886990447174"/>
          <c:y val="0.20990182532752821"/>
          <c:w val="0.81482038210367802"/>
          <c:h val="0.50658998228086116"/>
        </c:manualLayout>
      </c:layout>
      <c:scatterChart>
        <c:scatterStyle val="smoothMarker"/>
        <c:varyColors val="0"/>
        <c:ser>
          <c:idx val="1"/>
          <c:order val="0"/>
          <c:tx>
            <c:strRef>
              <c:f>'VDF V6.x'!$B$41</c:f>
              <c:strCache>
                <c:ptCount val="1"/>
                <c:pt idx="0">
                  <c:v>Fwy (X=1.2, Y=7)</c:v>
                </c:pt>
              </c:strCache>
            </c:strRef>
          </c:tx>
          <c:spPr>
            <a:ln w="38100">
              <a:solidFill>
                <a:srgbClr val="FF00FF"/>
              </a:solidFill>
              <a:prstDash val="solid"/>
            </a:ln>
          </c:spPr>
          <c:marker>
            <c:symbol val="none"/>
          </c:marker>
          <c:xVal>
            <c:numRef>
              <c:f>'VDF V6.x'!$A$42:$A$55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V6.x'!$B$42:$B$55</c:f>
              <c:numCache>
                <c:formatCode>_(* #,##0.00_);_(* \(#,##0.00\);_(* "-"??_);_(@_)</c:formatCode>
                <c:ptCount val="14"/>
                <c:pt idx="0">
                  <c:v>66.999991960000969</c:v>
                </c:pt>
                <c:pt idx="1">
                  <c:v>66.377708978328172</c:v>
                </c:pt>
                <c:pt idx="2">
                  <c:v>64.822463077125036</c:v>
                </c:pt>
                <c:pt idx="3">
                  <c:v>60.974213586445373</c:v>
                </c:pt>
                <c:pt idx="4">
                  <c:v>53.528988871594862</c:v>
                </c:pt>
                <c:pt idx="5">
                  <c:v>42.567891402930215</c:v>
                </c:pt>
                <c:pt idx="6">
                  <c:v>30.454545454545464</c:v>
                </c:pt>
                <c:pt idx="7">
                  <c:v>20.069130546435233</c:v>
                </c:pt>
                <c:pt idx="8">
                  <c:v>12.641946034302288</c:v>
                </c:pt>
                <c:pt idx="9">
                  <c:v>7.8547945884226182</c:v>
                </c:pt>
                <c:pt idx="10">
                  <c:v>4.9085613844114713</c:v>
                </c:pt>
                <c:pt idx="11">
                  <c:v>3.1158261880540583</c:v>
                </c:pt>
                <c:pt idx="12">
                  <c:v>2.0173276570606746</c:v>
                </c:pt>
                <c:pt idx="13">
                  <c:v>1.3335817176389029</c:v>
                </c:pt>
              </c:numCache>
            </c:numRef>
          </c:yVal>
          <c:smooth val="1"/>
          <c:extLst>
            <c:ext xmlns:c16="http://schemas.microsoft.com/office/drawing/2014/chart" uri="{C3380CC4-5D6E-409C-BE32-E72D297353CC}">
              <c16:uniqueId val="{00000000-4FAF-470E-96D4-025F1C467EE1}"/>
            </c:ext>
          </c:extLst>
        </c:ser>
        <c:ser>
          <c:idx val="2"/>
          <c:order val="1"/>
          <c:tx>
            <c:strRef>
              <c:f>'VDF V6.x'!$C$41</c:f>
              <c:strCache>
                <c:ptCount val="1"/>
                <c:pt idx="0">
                  <c:v>Bng (X=2.5, Y=9)</c:v>
                </c:pt>
              </c:strCache>
            </c:strRef>
          </c:tx>
          <c:spPr>
            <a:ln w="38100">
              <a:solidFill>
                <a:srgbClr val="FF9900"/>
              </a:solidFill>
              <a:prstDash val="solid"/>
            </a:ln>
          </c:spPr>
          <c:marker>
            <c:symbol val="none"/>
          </c:marker>
          <c:xVal>
            <c:numRef>
              <c:f>'VDF V6.x'!$A$42:$A$55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V6.x'!$C$42:$C$55</c:f>
              <c:numCache>
                <c:formatCode>_(* #,##0.00_);_(* \(#,##0.00\);_(* "-"??_);_(@_)</c:formatCode>
                <c:ptCount val="14"/>
                <c:pt idx="0">
                  <c:v>66.999999832499995</c:v>
                </c:pt>
                <c:pt idx="1">
                  <c:v>66.674441205053455</c:v>
                </c:pt>
                <c:pt idx="2">
                  <c:v>65.353469016759206</c:v>
                </c:pt>
                <c:pt idx="3">
                  <c:v>60.860180486724168</c:v>
                </c:pt>
                <c:pt idx="4">
                  <c:v>50.166811386686156</c:v>
                </c:pt>
                <c:pt idx="5">
                  <c:v>34.035182439861572</c:v>
                </c:pt>
                <c:pt idx="6">
                  <c:v>19.142857142857157</c:v>
                </c:pt>
                <c:pt idx="7">
                  <c:v>9.7173706693047013</c:v>
                </c:pt>
                <c:pt idx="8">
                  <c:v>4.8203343123724904</c:v>
                </c:pt>
                <c:pt idx="9">
                  <c:v>2.4353674884797498</c:v>
                </c:pt>
                <c:pt idx="10">
                  <c:v>1.2724913569044365</c:v>
                </c:pt>
                <c:pt idx="11">
                  <c:v>0.68995062299500098</c:v>
                </c:pt>
                <c:pt idx="12">
                  <c:v>0.38773441677462117</c:v>
                </c:pt>
                <c:pt idx="13">
                  <c:v>0.22523303036402736</c:v>
                </c:pt>
              </c:numCache>
            </c:numRef>
          </c:yVal>
          <c:smooth val="1"/>
          <c:extLst>
            <c:ext xmlns:c16="http://schemas.microsoft.com/office/drawing/2014/chart" uri="{C3380CC4-5D6E-409C-BE32-E72D297353CC}">
              <c16:uniqueId val="{00000001-4FAF-470E-96D4-025F1C467EE1}"/>
            </c:ext>
          </c:extLst>
        </c:ser>
        <c:ser>
          <c:idx val="3"/>
          <c:order val="2"/>
          <c:tx>
            <c:strRef>
              <c:f>'VDF V6.x'!$D$41</c:f>
              <c:strCache>
                <c:ptCount val="1"/>
                <c:pt idx="0">
                  <c:v>Art (X=0.5, Y=4)</c:v>
                </c:pt>
              </c:strCache>
            </c:strRef>
          </c:tx>
          <c:spPr>
            <a:ln w="38100">
              <a:solidFill>
                <a:srgbClr val="00FFFF"/>
              </a:solidFill>
              <a:prstDash val="solid"/>
            </a:ln>
          </c:spPr>
          <c:marker>
            <c:symbol val="none"/>
          </c:marker>
          <c:xVal>
            <c:numRef>
              <c:f>'VDF V6.x'!$A$42:$A$55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V6.x'!$D$42:$D$55</c:f>
              <c:numCache>
                <c:formatCode>_(* #,##0.00_);_(* \(#,##0.00\);_(* "-"??_);_(@_)</c:formatCode>
                <c:ptCount val="14"/>
                <c:pt idx="0">
                  <c:v>34.99825008749562</c:v>
                </c:pt>
                <c:pt idx="1">
                  <c:v>33.939393939393938</c:v>
                </c:pt>
                <c:pt idx="2">
                  <c:v>32.87002253944403</c:v>
                </c:pt>
                <c:pt idx="3">
                  <c:v>31.248604972992279</c:v>
                </c:pt>
                <c:pt idx="4">
                  <c:v>29.050464807436921</c:v>
                </c:pt>
                <c:pt idx="5">
                  <c:v>26.35442942660292</c:v>
                </c:pt>
                <c:pt idx="6">
                  <c:v>23.333333333333336</c:v>
                </c:pt>
                <c:pt idx="7">
                  <c:v>20.2072688432782</c:v>
                </c:pt>
                <c:pt idx="8">
                  <c:v>17.18381775333857</c:v>
                </c:pt>
                <c:pt idx="9">
                  <c:v>14.41485966104487</c:v>
                </c:pt>
                <c:pt idx="10">
                  <c:v>11.983018351136671</c:v>
                </c:pt>
                <c:pt idx="11">
                  <c:v>9.9115044247787569</c:v>
                </c:pt>
                <c:pt idx="12">
                  <c:v>8.1836887392442907</c:v>
                </c:pt>
                <c:pt idx="13">
                  <c:v>6.7619130417982767</c:v>
                </c:pt>
              </c:numCache>
            </c:numRef>
          </c:yVal>
          <c:smooth val="1"/>
          <c:extLst>
            <c:ext xmlns:c16="http://schemas.microsoft.com/office/drawing/2014/chart" uri="{C3380CC4-5D6E-409C-BE32-E72D297353CC}">
              <c16:uniqueId val="{00000002-4FAF-470E-96D4-025F1C467EE1}"/>
            </c:ext>
          </c:extLst>
        </c:ser>
        <c:ser>
          <c:idx val="4"/>
          <c:order val="3"/>
          <c:tx>
            <c:strRef>
              <c:f>'VDF V6.x'!$E$41</c:f>
              <c:strCache>
                <c:ptCount val="1"/>
                <c:pt idx="0">
                  <c:v>Coll (X=2, Y=2)</c:v>
                </c:pt>
              </c:strCache>
            </c:strRef>
          </c:tx>
          <c:spPr>
            <a:ln w="38100">
              <a:solidFill>
                <a:srgbClr val="800080"/>
              </a:solidFill>
              <a:prstDash val="solid"/>
            </a:ln>
          </c:spPr>
          <c:marker>
            <c:symbol val="none"/>
          </c:marker>
          <c:xVal>
            <c:numRef>
              <c:f>'VDF V6.x'!$A$42:$A$55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V6.x'!$E$42:$E$55</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3-4FAF-470E-96D4-025F1C467EE1}"/>
            </c:ext>
          </c:extLst>
        </c:ser>
        <c:ser>
          <c:idx val="0"/>
          <c:order val="4"/>
          <c:tx>
            <c:strRef>
              <c:f>'VDF V6.x'!$F$41</c:f>
              <c:strCache>
                <c:ptCount val="1"/>
                <c:pt idx="0">
                  <c:v>Ramp (X=2, Y=8)</c:v>
                </c:pt>
              </c:strCache>
            </c:strRef>
          </c:tx>
          <c:spPr>
            <a:ln w="38100">
              <a:solidFill>
                <a:srgbClr val="000080"/>
              </a:solidFill>
              <a:prstDash val="solid"/>
            </a:ln>
          </c:spPr>
          <c:marker>
            <c:symbol val="none"/>
          </c:marker>
          <c:xVal>
            <c:numRef>
              <c:f>'VDF V6.x'!$A$42:$A$55</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V6.x'!$F$42:$F$55</c:f>
              <c:numCache>
                <c:formatCode>_(* #,##0.00_);_(* \(#,##0.00\);_(* "-"??_);_(@_)</c:formatCode>
                <c:ptCount val="14"/>
                <c:pt idx="0">
                  <c:v>22.999999540000008</c:v>
                </c:pt>
                <c:pt idx="1">
                  <c:v>22.821705426356591</c:v>
                </c:pt>
                <c:pt idx="2">
                  <c:v>22.252487324983221</c:v>
                </c:pt>
                <c:pt idx="3">
                  <c:v>20.622327693772277</c:v>
                </c:pt>
                <c:pt idx="4">
                  <c:v>17.221442714832559</c:v>
                </c:pt>
                <c:pt idx="5">
                  <c:v>12.359382336536077</c:v>
                </c:pt>
                <c:pt idx="6">
                  <c:v>7.6666666666666714</c:v>
                </c:pt>
                <c:pt idx="7">
                  <c:v>4.3501470260800543</c:v>
                </c:pt>
                <c:pt idx="8">
                  <c:v>2.3959246979284812</c:v>
                </c:pt>
                <c:pt idx="9">
                  <c:v>1.3283576198747367</c:v>
                </c:pt>
                <c:pt idx="10">
                  <c:v>0.75370838156018283</c:v>
                </c:pt>
                <c:pt idx="11">
                  <c:v>0.44012557930931318</c:v>
                </c:pt>
                <c:pt idx="12">
                  <c:v>0.26467402897570586</c:v>
                </c:pt>
                <c:pt idx="13">
                  <c:v>0.1636834191412555</c:v>
                </c:pt>
              </c:numCache>
            </c:numRef>
          </c:yVal>
          <c:smooth val="1"/>
          <c:extLst>
            <c:ext xmlns:c16="http://schemas.microsoft.com/office/drawing/2014/chart" uri="{C3380CC4-5D6E-409C-BE32-E72D297353CC}">
              <c16:uniqueId val="{00000004-4FAF-470E-96D4-025F1C467EE1}"/>
            </c:ext>
          </c:extLst>
        </c:ser>
        <c:dLbls>
          <c:showLegendKey val="0"/>
          <c:showVal val="0"/>
          <c:showCatName val="0"/>
          <c:showSerName val="0"/>
          <c:showPercent val="0"/>
          <c:showBubbleSize val="0"/>
        </c:dLbls>
        <c:axId val="247960096"/>
        <c:axId val="247960488"/>
      </c:scatterChart>
      <c:valAx>
        <c:axId val="247960096"/>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60488"/>
        <c:crosses val="autoZero"/>
        <c:crossBetween val="midCat"/>
      </c:valAx>
      <c:valAx>
        <c:axId val="247960488"/>
        <c:scaling>
          <c:orientation val="minMax"/>
          <c:max val="70"/>
          <c:min val="0"/>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60096"/>
        <c:crosses val="autoZero"/>
        <c:crossBetween val="midCat"/>
      </c:valAx>
      <c:spPr>
        <a:noFill/>
        <a:ln w="3175">
          <a:solidFill>
            <a:srgbClr val="000000"/>
          </a:solidFill>
          <a:prstDash val="solid"/>
        </a:ln>
      </c:spPr>
    </c:plotArea>
    <c:legend>
      <c:legendPos val="r"/>
      <c:layout>
        <c:manualLayout>
          <c:xMode val="edge"/>
          <c:yMode val="edge"/>
          <c:x val="2.4994431527324591E-2"/>
          <c:y val="0.84566208635685269"/>
          <c:w val="0.96478732342080165"/>
          <c:h val="0.1372435798466369"/>
        </c:manualLayout>
      </c:layout>
      <c:overlay val="0"/>
      <c:spPr>
        <a:solidFill>
          <a:srgbClr val="FFFFFF"/>
        </a:solidFill>
        <a:ln w="3175">
          <a:solidFill>
            <a:srgbClr val="000000"/>
          </a:solidFill>
          <a:prstDash val="solid"/>
        </a:ln>
      </c:spPr>
      <c:txPr>
        <a:bodyPr/>
        <a:lstStyle/>
        <a:p>
          <a:pPr>
            <a:defRPr sz="14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000000000000144" r="0.75000000000000144" t="1" header="0.5" footer="0.5"/>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000000"/>
                </a:solidFill>
                <a:latin typeface="Arial"/>
                <a:ea typeface="Arial"/>
                <a:cs typeface="Arial"/>
              </a:defRPr>
            </a:pPr>
            <a:r>
              <a:rPr lang="en-US" sz="2000" b="1" i="0" u="none" strike="noStrike" baseline="0">
                <a:solidFill>
                  <a:srgbClr val="FF0000"/>
                </a:solidFill>
                <a:latin typeface="Arial"/>
                <a:cs typeface="Arial"/>
              </a:rPr>
              <a:t>Version 4.3 beta compared to 4.2</a:t>
            </a:r>
            <a:endParaRPr lang="en-US" sz="2000" b="1" i="0" u="none" strike="noStrike" baseline="0">
              <a:solidFill>
                <a:srgbClr val="000000"/>
              </a:solidFill>
              <a:latin typeface="Arial"/>
              <a:cs typeface="Arial"/>
            </a:endParaRPr>
          </a:p>
          <a:p>
            <a:pPr>
              <a:defRPr sz="1725"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Congested Spd = Free flow spd / [1+X*(V/C)^Y]</a:t>
            </a:r>
          </a:p>
        </c:rich>
      </c:tx>
      <c:layout>
        <c:manualLayout>
          <c:xMode val="edge"/>
          <c:yMode val="edge"/>
          <c:x val="0.13432835820895517"/>
          <c:y val="2.9874139748279595E-2"/>
        </c:manualLayout>
      </c:layout>
      <c:overlay val="0"/>
      <c:spPr>
        <a:noFill/>
        <a:ln w="25400">
          <a:noFill/>
        </a:ln>
      </c:spPr>
    </c:title>
    <c:autoTitleDeleted val="0"/>
    <c:plotArea>
      <c:layout>
        <c:manualLayout>
          <c:layoutTarget val="inner"/>
          <c:xMode val="edge"/>
          <c:yMode val="edge"/>
          <c:x val="0.14142692752631841"/>
          <c:y val="0.21040153628525593"/>
          <c:w val="0.81476929043923163"/>
          <c:h val="0.50374983206758739"/>
        </c:manualLayout>
      </c:layout>
      <c:scatterChart>
        <c:scatterStyle val="smoothMarker"/>
        <c:varyColors val="0"/>
        <c:ser>
          <c:idx val="1"/>
          <c:order val="0"/>
          <c:tx>
            <c:strRef>
              <c:f>'VDF V6.x'!$W$10</c:f>
              <c:strCache>
                <c:ptCount val="1"/>
                <c:pt idx="0">
                  <c:v>Fwy (X=1.2, Y=7)</c:v>
                </c:pt>
              </c:strCache>
            </c:strRef>
          </c:tx>
          <c:spPr>
            <a:ln w="38100">
              <a:solidFill>
                <a:srgbClr val="FF00FF"/>
              </a:solidFill>
              <a:prstDash val="solid"/>
            </a:ln>
          </c:spPr>
          <c:marker>
            <c:symbol val="none"/>
          </c:marker>
          <c:xVal>
            <c:numRef>
              <c:f>'VDF V6.x'!$V$11:$V$24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V6.x'!$W$11:$W$24</c:f>
              <c:numCache>
                <c:formatCode>_(* #,##0.00_);_(* \(#,##0.00\);_(* "-"??_);_(@_)</c:formatCode>
                <c:ptCount val="14"/>
                <c:pt idx="0">
                  <c:v>66.999991960000969</c:v>
                </c:pt>
                <c:pt idx="1">
                  <c:v>66.377708978328172</c:v>
                </c:pt>
                <c:pt idx="2">
                  <c:v>64.822463077125036</c:v>
                </c:pt>
                <c:pt idx="3">
                  <c:v>60.974213586445373</c:v>
                </c:pt>
                <c:pt idx="4">
                  <c:v>53.528988871594862</c:v>
                </c:pt>
                <c:pt idx="5">
                  <c:v>42.567891402930215</c:v>
                </c:pt>
                <c:pt idx="6">
                  <c:v>30.454545454545464</c:v>
                </c:pt>
                <c:pt idx="7">
                  <c:v>20.069130546435233</c:v>
                </c:pt>
                <c:pt idx="8">
                  <c:v>12.641946034302288</c:v>
                </c:pt>
                <c:pt idx="9">
                  <c:v>7.8547945884226182</c:v>
                </c:pt>
                <c:pt idx="10">
                  <c:v>4.9085613844114713</c:v>
                </c:pt>
                <c:pt idx="11">
                  <c:v>3.1158261880540583</c:v>
                </c:pt>
                <c:pt idx="12">
                  <c:v>2.0173276570606746</c:v>
                </c:pt>
                <c:pt idx="13">
                  <c:v>1.3335817176389029</c:v>
                </c:pt>
              </c:numCache>
            </c:numRef>
          </c:yVal>
          <c:smooth val="1"/>
          <c:extLst>
            <c:ext xmlns:c16="http://schemas.microsoft.com/office/drawing/2014/chart" uri="{C3380CC4-5D6E-409C-BE32-E72D297353CC}">
              <c16:uniqueId val="{00000000-16F6-45CE-A94B-F4B4974847EB}"/>
            </c:ext>
          </c:extLst>
        </c:ser>
        <c:ser>
          <c:idx val="2"/>
          <c:order val="1"/>
          <c:tx>
            <c:strRef>
              <c:f>'VDF V6.x'!$X$10</c:f>
              <c:strCache>
                <c:ptCount val="1"/>
                <c:pt idx="0">
                  <c:v>Fwy (X=1.2, Y=7)</c:v>
                </c:pt>
              </c:strCache>
            </c:strRef>
          </c:tx>
          <c:spPr>
            <a:ln w="38100">
              <a:solidFill>
                <a:srgbClr val="FF00FF"/>
              </a:solidFill>
              <a:prstDash val="sysDash"/>
            </a:ln>
          </c:spPr>
          <c:marker>
            <c:symbol val="none"/>
          </c:marker>
          <c:xVal>
            <c:numRef>
              <c:f>'VDF V6.x'!$V$11:$V$24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V6.x'!$X$11:$X$24</c:f>
              <c:numCache>
                <c:formatCode>_(* #,##0.00_);_(* \(#,##0.00\);_(* "-"??_);_(@_)</c:formatCode>
                <c:ptCount val="14"/>
                <c:pt idx="0">
                  <c:v>66.999991960000969</c:v>
                </c:pt>
                <c:pt idx="1">
                  <c:v>66.377708978328172</c:v>
                </c:pt>
                <c:pt idx="2">
                  <c:v>64.822463077125036</c:v>
                </c:pt>
                <c:pt idx="3">
                  <c:v>60.974213586445373</c:v>
                </c:pt>
                <c:pt idx="4">
                  <c:v>53.528988871594862</c:v>
                </c:pt>
                <c:pt idx="5">
                  <c:v>42.567891402930215</c:v>
                </c:pt>
                <c:pt idx="6">
                  <c:v>30.454545454545464</c:v>
                </c:pt>
                <c:pt idx="7">
                  <c:v>20.069130546435233</c:v>
                </c:pt>
                <c:pt idx="8">
                  <c:v>12.641946034302288</c:v>
                </c:pt>
                <c:pt idx="9">
                  <c:v>7.8547945884226182</c:v>
                </c:pt>
                <c:pt idx="10">
                  <c:v>4.9085613844114713</c:v>
                </c:pt>
                <c:pt idx="11">
                  <c:v>3.1158261880540583</c:v>
                </c:pt>
                <c:pt idx="12">
                  <c:v>2.0173276570606746</c:v>
                </c:pt>
                <c:pt idx="13">
                  <c:v>1.3335817176389029</c:v>
                </c:pt>
              </c:numCache>
            </c:numRef>
          </c:yVal>
          <c:smooth val="1"/>
          <c:extLst>
            <c:ext xmlns:c16="http://schemas.microsoft.com/office/drawing/2014/chart" uri="{C3380CC4-5D6E-409C-BE32-E72D297353CC}">
              <c16:uniqueId val="{00000001-16F6-45CE-A94B-F4B4974847EB}"/>
            </c:ext>
          </c:extLst>
        </c:ser>
        <c:ser>
          <c:idx val="3"/>
          <c:order val="2"/>
          <c:tx>
            <c:strRef>
              <c:f>'VDF V6.x'!$Y$10</c:f>
              <c:strCache>
                <c:ptCount val="1"/>
                <c:pt idx="0">
                  <c:v>Bng (X=2, Y=5.5)</c:v>
                </c:pt>
              </c:strCache>
            </c:strRef>
          </c:tx>
          <c:spPr>
            <a:ln w="38100">
              <a:solidFill>
                <a:srgbClr val="FF9900"/>
              </a:solidFill>
              <a:prstDash val="solid"/>
            </a:ln>
          </c:spPr>
          <c:marker>
            <c:symbol val="none"/>
          </c:marker>
          <c:xVal>
            <c:numRef>
              <c:f>'VDF V6.x'!$V$11:$V$24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V6.x'!$Y$11:$Y$24</c:f>
              <c:numCache>
                <c:formatCode>_(* #,##0.00_);_(* \(#,##0.00\);_(* "-"??_);_(@_)</c:formatCode>
                <c:ptCount val="14"/>
                <c:pt idx="0">
                  <c:v>49.999683774233972</c:v>
                </c:pt>
                <c:pt idx="1">
                  <c:v>47.883814383760324</c:v>
                </c:pt>
                <c:pt idx="2">
                  <c:v>44.624319164737067</c:v>
                </c:pt>
                <c:pt idx="3">
                  <c:v>39.024850125858897</c:v>
                </c:pt>
                <c:pt idx="4">
                  <c:v>31.522436521227359</c:v>
                </c:pt>
                <c:pt idx="5">
                  <c:v>23.58072340405554</c:v>
                </c:pt>
                <c:pt idx="6">
                  <c:v>16.666666666666675</c:v>
                </c:pt>
                <c:pt idx="7">
                  <c:v>11.420128948458514</c:v>
                </c:pt>
                <c:pt idx="8">
                  <c:v>7.7499722825296526</c:v>
                </c:pt>
                <c:pt idx="9">
                  <c:v>5.2816251904907379</c:v>
                </c:pt>
                <c:pt idx="10">
                  <c:v>3.6423931153667164</c:v>
                </c:pt>
                <c:pt idx="11">
                  <c:v>2.5509146318512723</c:v>
                </c:pt>
                <c:pt idx="12">
                  <c:v>1.8163913399226439</c:v>
                </c:pt>
                <c:pt idx="13">
                  <c:v>1.3149126111373286</c:v>
                </c:pt>
              </c:numCache>
            </c:numRef>
          </c:yVal>
          <c:smooth val="1"/>
          <c:extLst>
            <c:ext xmlns:c16="http://schemas.microsoft.com/office/drawing/2014/chart" uri="{C3380CC4-5D6E-409C-BE32-E72D297353CC}">
              <c16:uniqueId val="{00000002-16F6-45CE-A94B-F4B4974847EB}"/>
            </c:ext>
          </c:extLst>
        </c:ser>
        <c:ser>
          <c:idx val="4"/>
          <c:order val="3"/>
          <c:tx>
            <c:strRef>
              <c:f>'VDF V6.x'!$Z$10</c:f>
              <c:strCache>
                <c:ptCount val="1"/>
                <c:pt idx="0">
                  <c:v>Bng (X=2.5, Y=9)</c:v>
                </c:pt>
              </c:strCache>
            </c:strRef>
          </c:tx>
          <c:spPr>
            <a:ln w="38100">
              <a:solidFill>
                <a:srgbClr val="FF9900"/>
              </a:solidFill>
              <a:prstDash val="sysDash"/>
            </a:ln>
          </c:spPr>
          <c:marker>
            <c:symbol val="none"/>
          </c:marker>
          <c:xVal>
            <c:numRef>
              <c:f>'VDF V6.x'!$V$11:$V$24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V6.x'!$Z$11:$Z$24</c:f>
              <c:numCache>
                <c:formatCode>_(* #,##0.00_);_(* \(#,##0.00\);_(* "-"??_);_(@_)</c:formatCode>
                <c:ptCount val="14"/>
                <c:pt idx="0">
                  <c:v>66.999999832499995</c:v>
                </c:pt>
                <c:pt idx="1">
                  <c:v>66.674441205053455</c:v>
                </c:pt>
                <c:pt idx="2">
                  <c:v>65.353469016759206</c:v>
                </c:pt>
                <c:pt idx="3">
                  <c:v>60.860180486724168</c:v>
                </c:pt>
                <c:pt idx="4">
                  <c:v>50.166811386686156</c:v>
                </c:pt>
                <c:pt idx="5">
                  <c:v>34.035182439861572</c:v>
                </c:pt>
                <c:pt idx="6">
                  <c:v>19.142857142857157</c:v>
                </c:pt>
                <c:pt idx="7">
                  <c:v>9.7173706693047013</c:v>
                </c:pt>
                <c:pt idx="8">
                  <c:v>4.8203343123724904</c:v>
                </c:pt>
                <c:pt idx="9">
                  <c:v>2.4353674884797498</c:v>
                </c:pt>
                <c:pt idx="10">
                  <c:v>1.2724913569044365</c:v>
                </c:pt>
                <c:pt idx="11">
                  <c:v>0.68995062299500098</c:v>
                </c:pt>
                <c:pt idx="12">
                  <c:v>0.38773441677462117</c:v>
                </c:pt>
                <c:pt idx="13">
                  <c:v>0.22523303036402736</c:v>
                </c:pt>
              </c:numCache>
            </c:numRef>
          </c:yVal>
          <c:smooth val="1"/>
          <c:extLst>
            <c:ext xmlns:c16="http://schemas.microsoft.com/office/drawing/2014/chart" uri="{C3380CC4-5D6E-409C-BE32-E72D297353CC}">
              <c16:uniqueId val="{00000003-16F6-45CE-A94B-F4B4974847EB}"/>
            </c:ext>
          </c:extLst>
        </c:ser>
        <c:ser>
          <c:idx val="0"/>
          <c:order val="4"/>
          <c:tx>
            <c:strRef>
              <c:f>'VDF V6.x'!$AA$10</c:f>
              <c:strCache>
                <c:ptCount val="1"/>
                <c:pt idx="0">
                  <c:v>Ramp (X=2, Y=2)</c:v>
                </c:pt>
              </c:strCache>
            </c:strRef>
          </c:tx>
          <c:spPr>
            <a:ln w="38100">
              <a:solidFill>
                <a:srgbClr val="000080"/>
              </a:solidFill>
              <a:prstDash val="solid"/>
            </a:ln>
          </c:spPr>
          <c:marker>
            <c:symbol val="none"/>
          </c:marker>
          <c:xVal>
            <c:numRef>
              <c:f>'VDF V6.x'!$V$11:$V$24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V6.x'!$AA$11:$AA$24</c:f>
              <c:numCache>
                <c:formatCode>_(* #,##0.00_);_(* \(#,##0.00\);_(* "-"??_);_(@_)</c:formatCode>
                <c:ptCount val="14"/>
                <c:pt idx="0">
                  <c:v>22.549019607843135</c:v>
                </c:pt>
                <c:pt idx="1">
                  <c:v>15.333333333333334</c:v>
                </c:pt>
                <c:pt idx="2">
                  <c:v>13.372093023255815</c:v>
                </c:pt>
                <c:pt idx="3">
                  <c:v>11.616161616161616</c:v>
                </c:pt>
                <c:pt idx="4">
                  <c:v>10.087719298245615</c:v>
                </c:pt>
                <c:pt idx="5">
                  <c:v>8.7786259541984748</c:v>
                </c:pt>
                <c:pt idx="6">
                  <c:v>7.6666666666666679</c:v>
                </c:pt>
                <c:pt idx="7">
                  <c:v>6.7251461988304104</c:v>
                </c:pt>
                <c:pt idx="8">
                  <c:v>5.927835051546392</c:v>
                </c:pt>
                <c:pt idx="9">
                  <c:v>5.2511415525114149</c:v>
                </c:pt>
                <c:pt idx="10">
                  <c:v>4.6747967479674788</c:v>
                </c:pt>
                <c:pt idx="11">
                  <c:v>4.1818181818181808</c:v>
                </c:pt>
                <c:pt idx="12">
                  <c:v>3.7581699346405215</c:v>
                </c:pt>
                <c:pt idx="13">
                  <c:v>3.3923303834808247</c:v>
                </c:pt>
              </c:numCache>
            </c:numRef>
          </c:yVal>
          <c:smooth val="1"/>
          <c:extLst>
            <c:ext xmlns:c16="http://schemas.microsoft.com/office/drawing/2014/chart" uri="{C3380CC4-5D6E-409C-BE32-E72D297353CC}">
              <c16:uniqueId val="{00000004-16F6-45CE-A94B-F4B4974847EB}"/>
            </c:ext>
          </c:extLst>
        </c:ser>
        <c:ser>
          <c:idx val="5"/>
          <c:order val="5"/>
          <c:tx>
            <c:strRef>
              <c:f>'VDF V6.x'!$AB$10</c:f>
              <c:strCache>
                <c:ptCount val="1"/>
                <c:pt idx="0">
                  <c:v>Ramp (X=2, Y=8)</c:v>
                </c:pt>
              </c:strCache>
            </c:strRef>
          </c:tx>
          <c:spPr>
            <a:ln w="38100">
              <a:solidFill>
                <a:srgbClr val="000080"/>
              </a:solidFill>
              <a:prstDash val="sysDash"/>
            </a:ln>
          </c:spPr>
          <c:marker>
            <c:symbol val="none"/>
          </c:marker>
          <c:xVal>
            <c:numRef>
              <c:f>'VDF V6.x'!$V$11:$V$24</c:f>
              <c:numCache>
                <c:formatCode>General</c:formatCode>
                <c:ptCount val="14"/>
                <c:pt idx="0">
                  <c:v>0.1</c:v>
                </c:pt>
                <c:pt idx="1">
                  <c:v>0.5</c:v>
                </c:pt>
                <c:pt idx="2">
                  <c:v>0.6</c:v>
                </c:pt>
                <c:pt idx="3">
                  <c:v>0.7</c:v>
                </c:pt>
                <c:pt idx="4">
                  <c:v>0.79999999999999993</c:v>
                </c:pt>
                <c:pt idx="5">
                  <c:v>0.89999999999999991</c:v>
                </c:pt>
                <c:pt idx="6">
                  <c:v>0.99999999999999989</c:v>
                </c:pt>
                <c:pt idx="7">
                  <c:v>1.0999999999999999</c:v>
                </c:pt>
                <c:pt idx="8">
                  <c:v>1.2</c:v>
                </c:pt>
                <c:pt idx="9">
                  <c:v>1.3</c:v>
                </c:pt>
                <c:pt idx="10">
                  <c:v>1.4000000000000001</c:v>
                </c:pt>
                <c:pt idx="11">
                  <c:v>1.5000000000000002</c:v>
                </c:pt>
                <c:pt idx="12">
                  <c:v>1.6000000000000003</c:v>
                </c:pt>
                <c:pt idx="13">
                  <c:v>1.7000000000000004</c:v>
                </c:pt>
              </c:numCache>
            </c:numRef>
          </c:xVal>
          <c:yVal>
            <c:numRef>
              <c:f>'VDF V6.x'!$AB$11:$AB$24</c:f>
              <c:numCache>
                <c:formatCode>_(* #,##0.00_);_(* \(#,##0.00\);_(* "-"??_);_(@_)</c:formatCode>
                <c:ptCount val="14"/>
                <c:pt idx="0">
                  <c:v>22.999999540000008</c:v>
                </c:pt>
                <c:pt idx="1">
                  <c:v>22.821705426356591</c:v>
                </c:pt>
                <c:pt idx="2">
                  <c:v>22.252487324983221</c:v>
                </c:pt>
                <c:pt idx="3">
                  <c:v>20.622327693772277</c:v>
                </c:pt>
                <c:pt idx="4">
                  <c:v>17.221442714832559</c:v>
                </c:pt>
                <c:pt idx="5">
                  <c:v>12.359382336536077</c:v>
                </c:pt>
                <c:pt idx="6">
                  <c:v>7.6666666666666714</c:v>
                </c:pt>
                <c:pt idx="7">
                  <c:v>4.3501470260800543</c:v>
                </c:pt>
                <c:pt idx="8">
                  <c:v>2.3959246979284812</c:v>
                </c:pt>
                <c:pt idx="9">
                  <c:v>1.3283576198747367</c:v>
                </c:pt>
                <c:pt idx="10">
                  <c:v>0.75370838156018283</c:v>
                </c:pt>
                <c:pt idx="11">
                  <c:v>0.44012557930931318</c:v>
                </c:pt>
                <c:pt idx="12">
                  <c:v>0.26467402897570586</c:v>
                </c:pt>
                <c:pt idx="13">
                  <c:v>0.1636834191412555</c:v>
                </c:pt>
              </c:numCache>
            </c:numRef>
          </c:yVal>
          <c:smooth val="1"/>
          <c:extLst>
            <c:ext xmlns:c16="http://schemas.microsoft.com/office/drawing/2014/chart" uri="{C3380CC4-5D6E-409C-BE32-E72D297353CC}">
              <c16:uniqueId val="{00000005-16F6-45CE-A94B-F4B4974847EB}"/>
            </c:ext>
          </c:extLst>
        </c:ser>
        <c:dLbls>
          <c:showLegendKey val="0"/>
          <c:showVal val="0"/>
          <c:showCatName val="0"/>
          <c:showSerName val="0"/>
          <c:showPercent val="0"/>
          <c:showBubbleSize val="0"/>
        </c:dLbls>
        <c:axId val="247961272"/>
        <c:axId val="247879920"/>
      </c:scatterChart>
      <c:valAx>
        <c:axId val="247961272"/>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879920"/>
        <c:crosses val="autoZero"/>
        <c:crossBetween val="midCat"/>
      </c:valAx>
      <c:valAx>
        <c:axId val="247879920"/>
        <c:scaling>
          <c:orientation val="minMax"/>
          <c:max val="70"/>
          <c:min val="0"/>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247961272"/>
        <c:crosses val="autoZero"/>
        <c:crossBetween val="midCat"/>
      </c:valAx>
      <c:spPr>
        <a:noFill/>
        <a:ln w="3175">
          <a:solidFill>
            <a:srgbClr val="000000"/>
          </a:solidFill>
          <a:prstDash val="solid"/>
        </a:ln>
      </c:spPr>
    </c:plotArea>
    <c:legend>
      <c:legendPos val="r"/>
      <c:layout>
        <c:manualLayout>
          <c:xMode val="edge"/>
          <c:yMode val="edge"/>
          <c:x val="2.3779788720439801E-2"/>
          <c:y val="0.84565234463802263"/>
          <c:w val="0.96620872017863435"/>
          <c:h val="0.13757021514043041"/>
        </c:manualLayout>
      </c:layout>
      <c:overlay val="0"/>
      <c:spPr>
        <a:solidFill>
          <a:srgbClr val="FFFFFF"/>
        </a:solidFill>
        <a:ln w="3175">
          <a:solidFill>
            <a:srgbClr val="000000"/>
          </a:solidFill>
          <a:prstDash val="solid"/>
        </a:ln>
      </c:spPr>
      <c:txPr>
        <a:bodyPr/>
        <a:lstStyle/>
        <a:p>
          <a:pPr>
            <a:defRPr sz="14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000000000000144" r="0.75000000000000144"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 Id="rId9" Type="http://schemas.openxmlformats.org/officeDocument/2006/relationships/chart" Target="../charts/chart3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5" Type="http://schemas.openxmlformats.org/officeDocument/2006/relationships/chart" Target="../charts/chart47.xml"/><Relationship Id="rId4" Type="http://schemas.openxmlformats.org/officeDocument/2006/relationships/chart" Target="../charts/chart46.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editAs="oneCell">
    <xdr:from>
      <xdr:col>17</xdr:col>
      <xdr:colOff>167109</xdr:colOff>
      <xdr:row>41</xdr:row>
      <xdr:rowOff>76901</xdr:rowOff>
    </xdr:from>
    <xdr:to>
      <xdr:col>28</xdr:col>
      <xdr:colOff>82261</xdr:colOff>
      <xdr:row>70</xdr:row>
      <xdr:rowOff>73398</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204660</xdr:colOff>
      <xdr:row>40</xdr:row>
      <xdr:rowOff>119546</xdr:rowOff>
    </xdr:from>
    <xdr:to>
      <xdr:col>16</xdr:col>
      <xdr:colOff>414210</xdr:colOff>
      <xdr:row>73</xdr:row>
      <xdr:rowOff>4484</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35</xdr:col>
      <xdr:colOff>559594</xdr:colOff>
      <xdr:row>8</xdr:row>
      <xdr:rowOff>321469</xdr:rowOff>
    </xdr:from>
    <xdr:ext cx="1969090" cy="2821781"/>
    <xdr:pic>
      <xdr:nvPicPr>
        <xdr:cNvPr id="2" name="Picture 1">
          <a:extLst>
            <a:ext uri="{FF2B5EF4-FFF2-40B4-BE49-F238E27FC236}">
              <a16:creationId xmlns:a16="http://schemas.microsoft.com/office/drawing/2014/main" id="{C4EDDBE5-FD3D-426C-A0F3-8E5E79656B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276719" y="1769269"/>
          <a:ext cx="1969090" cy="282178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12</xdr:col>
      <xdr:colOff>32808</xdr:colOff>
      <xdr:row>1</xdr:row>
      <xdr:rowOff>117475</xdr:rowOff>
    </xdr:from>
    <xdr:to>
      <xdr:col>24</xdr:col>
      <xdr:colOff>437092</xdr:colOff>
      <xdr:row>35</xdr:row>
      <xdr:rowOff>30692</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689164</xdr:colOff>
      <xdr:row>21</xdr:row>
      <xdr:rowOff>36840</xdr:rowOff>
    </xdr:from>
    <xdr:to>
      <xdr:col>30</xdr:col>
      <xdr:colOff>250031</xdr:colOff>
      <xdr:row>48</xdr:row>
      <xdr:rowOff>59530</xdr:rowOff>
    </xdr:to>
    <xdr:graphicFrame macro="">
      <xdr:nvGraphicFramePr>
        <xdr:cNvPr id="2" name="Chart 1">
          <a:extLst>
            <a:ext uri="{FF2B5EF4-FFF2-40B4-BE49-F238E27FC236}">
              <a16:creationId xmlns:a16="http://schemas.microsoft.com/office/drawing/2014/main" id="{98916944-AC0B-41A8-ADD6-FFBF616C0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9525</xdr:colOff>
      <xdr:row>50</xdr:row>
      <xdr:rowOff>52108</xdr:rowOff>
    </xdr:from>
    <xdr:to>
      <xdr:col>51</xdr:col>
      <xdr:colOff>294715</xdr:colOff>
      <xdr:row>68</xdr:row>
      <xdr:rowOff>75640</xdr:rowOff>
    </xdr:to>
    <xdr:graphicFrame macro="">
      <xdr:nvGraphicFramePr>
        <xdr:cNvPr id="3" name="Chart 2">
          <a:extLst>
            <a:ext uri="{FF2B5EF4-FFF2-40B4-BE49-F238E27FC236}">
              <a16:creationId xmlns:a16="http://schemas.microsoft.com/office/drawing/2014/main" id="{E9719FCE-6219-4CB9-9AE8-43568F1B7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0</xdr:colOff>
      <xdr:row>68</xdr:row>
      <xdr:rowOff>127747</xdr:rowOff>
    </xdr:from>
    <xdr:to>
      <xdr:col>51</xdr:col>
      <xdr:colOff>285190</xdr:colOff>
      <xdr:row>86</xdr:row>
      <xdr:rowOff>96932</xdr:rowOff>
    </xdr:to>
    <xdr:graphicFrame macro="">
      <xdr:nvGraphicFramePr>
        <xdr:cNvPr id="4" name="Chart 4">
          <a:extLst>
            <a:ext uri="{FF2B5EF4-FFF2-40B4-BE49-F238E27FC236}">
              <a16:creationId xmlns:a16="http://schemas.microsoft.com/office/drawing/2014/main" id="{59247EB3-2BF1-4A82-B063-C9A15787A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9525</xdr:colOff>
      <xdr:row>21</xdr:row>
      <xdr:rowOff>0</xdr:rowOff>
    </xdr:from>
    <xdr:to>
      <xdr:col>51</xdr:col>
      <xdr:colOff>294715</xdr:colOff>
      <xdr:row>50</xdr:row>
      <xdr:rowOff>4483</xdr:rowOff>
    </xdr:to>
    <xdr:graphicFrame macro="">
      <xdr:nvGraphicFramePr>
        <xdr:cNvPr id="5" name="Chart 5">
          <a:extLst>
            <a:ext uri="{FF2B5EF4-FFF2-40B4-BE49-F238E27FC236}">
              <a16:creationId xmlns:a16="http://schemas.microsoft.com/office/drawing/2014/main" id="{32ED55A9-822D-4099-8C13-95348D6C2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23812</xdr:colOff>
      <xdr:row>24</xdr:row>
      <xdr:rowOff>107156</xdr:rowOff>
    </xdr:from>
    <xdr:to>
      <xdr:col>19</xdr:col>
      <xdr:colOff>416016</xdr:colOff>
      <xdr:row>48</xdr:row>
      <xdr:rowOff>75220</xdr:rowOff>
    </xdr:to>
    <xdr:graphicFrame macro="">
      <xdr:nvGraphicFramePr>
        <xdr:cNvPr id="6" name="Chart 5">
          <a:extLst>
            <a:ext uri="{FF2B5EF4-FFF2-40B4-BE49-F238E27FC236}">
              <a16:creationId xmlns:a16="http://schemas.microsoft.com/office/drawing/2014/main" id="{F89E888E-20B5-4EB7-A4FB-DCF950A9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23813</xdr:colOff>
      <xdr:row>48</xdr:row>
      <xdr:rowOff>166687</xdr:rowOff>
    </xdr:from>
    <xdr:to>
      <xdr:col>19</xdr:col>
      <xdr:colOff>416017</xdr:colOff>
      <xdr:row>73</xdr:row>
      <xdr:rowOff>90487</xdr:rowOff>
    </xdr:to>
    <xdr:graphicFrame macro="">
      <xdr:nvGraphicFramePr>
        <xdr:cNvPr id="7" name="Chart 6">
          <a:extLst>
            <a:ext uri="{FF2B5EF4-FFF2-40B4-BE49-F238E27FC236}">
              <a16:creationId xmlns:a16="http://schemas.microsoft.com/office/drawing/2014/main" id="{29EA989B-22DD-4272-BBEA-A5F7180E8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689164</xdr:colOff>
      <xdr:row>48</xdr:row>
      <xdr:rowOff>166687</xdr:rowOff>
    </xdr:from>
    <xdr:to>
      <xdr:col>30</xdr:col>
      <xdr:colOff>247930</xdr:colOff>
      <xdr:row>73</xdr:row>
      <xdr:rowOff>90487</xdr:rowOff>
    </xdr:to>
    <xdr:graphicFrame macro="">
      <xdr:nvGraphicFramePr>
        <xdr:cNvPr id="8" name="Chart 7">
          <a:extLst>
            <a:ext uri="{FF2B5EF4-FFF2-40B4-BE49-F238E27FC236}">
              <a16:creationId xmlns:a16="http://schemas.microsoft.com/office/drawing/2014/main" id="{97494B1E-048A-4377-B9C2-6C2D248B5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47624</xdr:colOff>
      <xdr:row>75</xdr:row>
      <xdr:rowOff>1</xdr:rowOff>
    </xdr:from>
    <xdr:to>
      <xdr:col>19</xdr:col>
      <xdr:colOff>439828</xdr:colOff>
      <xdr:row>98</xdr:row>
      <xdr:rowOff>164168</xdr:rowOff>
    </xdr:to>
    <xdr:graphicFrame macro="">
      <xdr:nvGraphicFramePr>
        <xdr:cNvPr id="9" name="Chart 8">
          <a:extLst>
            <a:ext uri="{FF2B5EF4-FFF2-40B4-BE49-F238E27FC236}">
              <a16:creationId xmlns:a16="http://schemas.microsoft.com/office/drawing/2014/main" id="{43B3D1F2-69A9-48CD-B4CF-FCECFBB56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23812</xdr:colOff>
      <xdr:row>0</xdr:row>
      <xdr:rowOff>142876</xdr:rowOff>
    </xdr:from>
    <xdr:to>
      <xdr:col>19</xdr:col>
      <xdr:colOff>416016</xdr:colOff>
      <xdr:row>24</xdr:row>
      <xdr:rowOff>21992</xdr:rowOff>
    </xdr:to>
    <xdr:graphicFrame macro="">
      <xdr:nvGraphicFramePr>
        <xdr:cNvPr id="10" name="Chart 9">
          <a:extLst>
            <a:ext uri="{FF2B5EF4-FFF2-40B4-BE49-F238E27FC236}">
              <a16:creationId xmlns:a16="http://schemas.microsoft.com/office/drawing/2014/main" id="{2465EF27-189A-4B25-A94A-6981BF18B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678656</xdr:colOff>
      <xdr:row>74</xdr:row>
      <xdr:rowOff>154782</xdr:rowOff>
    </xdr:from>
    <xdr:to>
      <xdr:col>30</xdr:col>
      <xdr:colOff>237423</xdr:colOff>
      <xdr:row>99</xdr:row>
      <xdr:rowOff>78582</xdr:rowOff>
    </xdr:to>
    <xdr:graphicFrame macro="">
      <xdr:nvGraphicFramePr>
        <xdr:cNvPr id="11" name="Chart 10">
          <a:extLst>
            <a:ext uri="{FF2B5EF4-FFF2-40B4-BE49-F238E27FC236}">
              <a16:creationId xmlns:a16="http://schemas.microsoft.com/office/drawing/2014/main" id="{2617579C-AA49-4DB7-AEB2-E0F9E3EFA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678657</xdr:colOff>
      <xdr:row>100</xdr:row>
      <xdr:rowOff>47625</xdr:rowOff>
    </xdr:from>
    <xdr:to>
      <xdr:col>35</xdr:col>
      <xdr:colOff>226218</xdr:colOff>
      <xdr:row>136</xdr:row>
      <xdr:rowOff>35718</xdr:rowOff>
    </xdr:to>
    <xdr:graphicFrame macro="">
      <xdr:nvGraphicFramePr>
        <xdr:cNvPr id="12" name="Chart 11">
          <a:extLst>
            <a:ext uri="{FF2B5EF4-FFF2-40B4-BE49-F238E27FC236}">
              <a16:creationId xmlns:a16="http://schemas.microsoft.com/office/drawing/2014/main" id="{DEDC214D-E5E1-4307-9CEB-651BE2208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0.81936</cdr:x>
      <cdr:y>0.23794</cdr:y>
    </cdr:from>
    <cdr:to>
      <cdr:x>0.98715</cdr:x>
      <cdr:y>0.4716</cdr:y>
    </cdr:to>
    <cdr:sp macro="" textlink="">
      <cdr:nvSpPr>
        <cdr:cNvPr id="2" name="TextBox 1"/>
        <cdr:cNvSpPr txBox="1"/>
      </cdr:nvSpPr>
      <cdr:spPr>
        <a:xfrm xmlns:a="http://schemas.openxmlformats.org/drawingml/2006/main">
          <a:off x="5298142" y="412376"/>
          <a:ext cx="1021976" cy="833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Assumes 9% of AWDT occurs in</a:t>
          </a:r>
          <a:r>
            <a:rPr lang="en-US" sz="1100" baseline="0"/>
            <a:t> PM peak hr</a:t>
          </a:r>
          <a:endParaRPr lang="en-US" sz="1100"/>
        </a:p>
      </cdr:txBody>
    </cdr:sp>
  </cdr:relSizeAnchor>
</c:userShapes>
</file>

<file path=xl/drawings/drawing6.xml><?xml version="1.0" encoding="utf-8"?>
<c:userShapes xmlns:c="http://schemas.openxmlformats.org/drawingml/2006/chart">
  <cdr:relSizeAnchor xmlns:cdr="http://schemas.openxmlformats.org/drawingml/2006/chartDrawing">
    <cdr:from>
      <cdr:x>0.8239</cdr:x>
      <cdr:y>0.20731</cdr:y>
    </cdr:from>
    <cdr:to>
      <cdr:x>0.98651</cdr:x>
      <cdr:y>0.76837</cdr:y>
    </cdr:to>
    <cdr:sp macro="" textlink="">
      <cdr:nvSpPr>
        <cdr:cNvPr id="2" name="TextBox 1"/>
        <cdr:cNvSpPr txBox="1"/>
      </cdr:nvSpPr>
      <cdr:spPr>
        <a:xfrm xmlns:a="http://schemas.openxmlformats.org/drawingml/2006/main">
          <a:off x="5522259" y="367553"/>
          <a:ext cx="1066347" cy="21963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a:t>Note:</a:t>
          </a:r>
          <a:r>
            <a:rPr lang="en-US" sz="1100" baseline="0"/>
            <a:t> Aux lane capacity is fixed, and divided across total lanes.  Thus cap1hr1ln goes down each time partly from increasing inefficiency, and partly from aux.</a:t>
          </a:r>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19</xdr:col>
      <xdr:colOff>167109</xdr:colOff>
      <xdr:row>41</xdr:row>
      <xdr:rowOff>76901</xdr:rowOff>
    </xdr:from>
    <xdr:to>
      <xdr:col>30</xdr:col>
      <xdr:colOff>82261</xdr:colOff>
      <xdr:row>70</xdr:row>
      <xdr:rowOff>73398</xdr:rowOff>
    </xdr:to>
    <xdr:graphicFrame macro="">
      <xdr:nvGraphicFramePr>
        <xdr:cNvPr id="2" name="Chart 1">
          <a:extLst>
            <a:ext uri="{FF2B5EF4-FFF2-40B4-BE49-F238E27FC236}">
              <a16:creationId xmlns:a16="http://schemas.microsoft.com/office/drawing/2014/main" id="{0213E26D-C6BF-4874-B46C-6572236F4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204660</xdr:colOff>
      <xdr:row>40</xdr:row>
      <xdr:rowOff>119546</xdr:rowOff>
    </xdr:from>
    <xdr:to>
      <xdr:col>18</xdr:col>
      <xdr:colOff>414210</xdr:colOff>
      <xdr:row>73</xdr:row>
      <xdr:rowOff>4484</xdr:rowOff>
    </xdr:to>
    <xdr:graphicFrame macro="">
      <xdr:nvGraphicFramePr>
        <xdr:cNvPr id="3" name="Chart 2">
          <a:extLst>
            <a:ext uri="{FF2B5EF4-FFF2-40B4-BE49-F238E27FC236}">
              <a16:creationId xmlns:a16="http://schemas.microsoft.com/office/drawing/2014/main" id="{68900522-02B6-4643-9981-36EF941EA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689164</xdr:colOff>
      <xdr:row>21</xdr:row>
      <xdr:rowOff>36840</xdr:rowOff>
    </xdr:from>
    <xdr:to>
      <xdr:col>30</xdr:col>
      <xdr:colOff>250031</xdr:colOff>
      <xdr:row>48</xdr:row>
      <xdr:rowOff>59530</xdr:rowOff>
    </xdr:to>
    <xdr:graphicFrame macro="">
      <xdr:nvGraphicFramePr>
        <xdr:cNvPr id="2" name="Chart 1">
          <a:extLst>
            <a:ext uri="{FF2B5EF4-FFF2-40B4-BE49-F238E27FC236}">
              <a16:creationId xmlns:a16="http://schemas.microsoft.com/office/drawing/2014/main" id="{BE509A2F-F3B4-49AA-9D67-9DD8923A2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9525</xdr:colOff>
      <xdr:row>50</xdr:row>
      <xdr:rowOff>52108</xdr:rowOff>
    </xdr:from>
    <xdr:to>
      <xdr:col>51</xdr:col>
      <xdr:colOff>294715</xdr:colOff>
      <xdr:row>68</xdr:row>
      <xdr:rowOff>75640</xdr:rowOff>
    </xdr:to>
    <xdr:graphicFrame macro="">
      <xdr:nvGraphicFramePr>
        <xdr:cNvPr id="3" name="Chart 2">
          <a:extLst>
            <a:ext uri="{FF2B5EF4-FFF2-40B4-BE49-F238E27FC236}">
              <a16:creationId xmlns:a16="http://schemas.microsoft.com/office/drawing/2014/main" id="{48852F45-8AFF-40F6-B139-D861FFC75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0</xdr:colOff>
      <xdr:row>68</xdr:row>
      <xdr:rowOff>127747</xdr:rowOff>
    </xdr:from>
    <xdr:to>
      <xdr:col>51</xdr:col>
      <xdr:colOff>285190</xdr:colOff>
      <xdr:row>86</xdr:row>
      <xdr:rowOff>96932</xdr:rowOff>
    </xdr:to>
    <xdr:graphicFrame macro="">
      <xdr:nvGraphicFramePr>
        <xdr:cNvPr id="4" name="Chart 4">
          <a:extLst>
            <a:ext uri="{FF2B5EF4-FFF2-40B4-BE49-F238E27FC236}">
              <a16:creationId xmlns:a16="http://schemas.microsoft.com/office/drawing/2014/main" id="{650036E3-DF8D-453E-BA13-254BC750F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9525</xdr:colOff>
      <xdr:row>21</xdr:row>
      <xdr:rowOff>0</xdr:rowOff>
    </xdr:from>
    <xdr:to>
      <xdr:col>51</xdr:col>
      <xdr:colOff>294715</xdr:colOff>
      <xdr:row>50</xdr:row>
      <xdr:rowOff>4483</xdr:rowOff>
    </xdr:to>
    <xdr:graphicFrame macro="">
      <xdr:nvGraphicFramePr>
        <xdr:cNvPr id="5" name="Chart 5">
          <a:extLst>
            <a:ext uri="{FF2B5EF4-FFF2-40B4-BE49-F238E27FC236}">
              <a16:creationId xmlns:a16="http://schemas.microsoft.com/office/drawing/2014/main" id="{4CED2E80-DDBF-4AAB-9BA9-E29D1F976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23812</xdr:colOff>
      <xdr:row>24</xdr:row>
      <xdr:rowOff>107156</xdr:rowOff>
    </xdr:from>
    <xdr:to>
      <xdr:col>19</xdr:col>
      <xdr:colOff>416016</xdr:colOff>
      <xdr:row>48</xdr:row>
      <xdr:rowOff>75220</xdr:rowOff>
    </xdr:to>
    <xdr:graphicFrame macro="">
      <xdr:nvGraphicFramePr>
        <xdr:cNvPr id="6" name="Chart 5">
          <a:extLst>
            <a:ext uri="{FF2B5EF4-FFF2-40B4-BE49-F238E27FC236}">
              <a16:creationId xmlns:a16="http://schemas.microsoft.com/office/drawing/2014/main" id="{582BE1FF-E2BE-4824-A615-F92146646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23813</xdr:colOff>
      <xdr:row>48</xdr:row>
      <xdr:rowOff>166687</xdr:rowOff>
    </xdr:from>
    <xdr:to>
      <xdr:col>19</xdr:col>
      <xdr:colOff>416017</xdr:colOff>
      <xdr:row>73</xdr:row>
      <xdr:rowOff>90487</xdr:rowOff>
    </xdr:to>
    <xdr:graphicFrame macro="">
      <xdr:nvGraphicFramePr>
        <xdr:cNvPr id="7" name="Chart 6">
          <a:extLst>
            <a:ext uri="{FF2B5EF4-FFF2-40B4-BE49-F238E27FC236}">
              <a16:creationId xmlns:a16="http://schemas.microsoft.com/office/drawing/2014/main" id="{43C77084-0FA0-4523-B90A-A1340D5F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689164</xdr:colOff>
      <xdr:row>48</xdr:row>
      <xdr:rowOff>166687</xdr:rowOff>
    </xdr:from>
    <xdr:to>
      <xdr:col>30</xdr:col>
      <xdr:colOff>247930</xdr:colOff>
      <xdr:row>73</xdr:row>
      <xdr:rowOff>90487</xdr:rowOff>
    </xdr:to>
    <xdr:graphicFrame macro="">
      <xdr:nvGraphicFramePr>
        <xdr:cNvPr id="8" name="Chart 7">
          <a:extLst>
            <a:ext uri="{FF2B5EF4-FFF2-40B4-BE49-F238E27FC236}">
              <a16:creationId xmlns:a16="http://schemas.microsoft.com/office/drawing/2014/main" id="{75782A2C-719C-412E-8F71-7C9648122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47624</xdr:colOff>
      <xdr:row>75</xdr:row>
      <xdr:rowOff>1</xdr:rowOff>
    </xdr:from>
    <xdr:to>
      <xdr:col>19</xdr:col>
      <xdr:colOff>439828</xdr:colOff>
      <xdr:row>98</xdr:row>
      <xdr:rowOff>164168</xdr:rowOff>
    </xdr:to>
    <xdr:graphicFrame macro="">
      <xdr:nvGraphicFramePr>
        <xdr:cNvPr id="9" name="Chart 8">
          <a:extLst>
            <a:ext uri="{FF2B5EF4-FFF2-40B4-BE49-F238E27FC236}">
              <a16:creationId xmlns:a16="http://schemas.microsoft.com/office/drawing/2014/main" id="{3D17E50C-844B-40BC-8BF8-B1FD0D848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23812</xdr:colOff>
      <xdr:row>0</xdr:row>
      <xdr:rowOff>142876</xdr:rowOff>
    </xdr:from>
    <xdr:to>
      <xdr:col>19</xdr:col>
      <xdr:colOff>416016</xdr:colOff>
      <xdr:row>24</xdr:row>
      <xdr:rowOff>21992</xdr:rowOff>
    </xdr:to>
    <xdr:graphicFrame macro="">
      <xdr:nvGraphicFramePr>
        <xdr:cNvPr id="10" name="Chart 9">
          <a:extLst>
            <a:ext uri="{FF2B5EF4-FFF2-40B4-BE49-F238E27FC236}">
              <a16:creationId xmlns:a16="http://schemas.microsoft.com/office/drawing/2014/main" id="{D06280DD-9464-43BA-817E-63B6B1138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678656</xdr:colOff>
      <xdr:row>74</xdr:row>
      <xdr:rowOff>154782</xdr:rowOff>
    </xdr:from>
    <xdr:to>
      <xdr:col>30</xdr:col>
      <xdr:colOff>237423</xdr:colOff>
      <xdr:row>99</xdr:row>
      <xdr:rowOff>78582</xdr:rowOff>
    </xdr:to>
    <xdr:graphicFrame macro="">
      <xdr:nvGraphicFramePr>
        <xdr:cNvPr id="11" name="Chart 10">
          <a:extLst>
            <a:ext uri="{FF2B5EF4-FFF2-40B4-BE49-F238E27FC236}">
              <a16:creationId xmlns:a16="http://schemas.microsoft.com/office/drawing/2014/main" id="{B0A52FC0-42F0-4AE2-8088-D50282DB2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678657</xdr:colOff>
      <xdr:row>100</xdr:row>
      <xdr:rowOff>47625</xdr:rowOff>
    </xdr:from>
    <xdr:to>
      <xdr:col>35</xdr:col>
      <xdr:colOff>226218</xdr:colOff>
      <xdr:row>136</xdr:row>
      <xdr:rowOff>35718</xdr:rowOff>
    </xdr:to>
    <xdr:graphicFrame macro="">
      <xdr:nvGraphicFramePr>
        <xdr:cNvPr id="12" name="Chart 11">
          <a:extLst>
            <a:ext uri="{FF2B5EF4-FFF2-40B4-BE49-F238E27FC236}">
              <a16:creationId xmlns:a16="http://schemas.microsoft.com/office/drawing/2014/main" id="{E1682A0A-C476-4260-B9ED-EE801E0F4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0.81936</cdr:x>
      <cdr:y>0.23794</cdr:y>
    </cdr:from>
    <cdr:to>
      <cdr:x>0.98715</cdr:x>
      <cdr:y>0.4716</cdr:y>
    </cdr:to>
    <cdr:sp macro="" textlink="">
      <cdr:nvSpPr>
        <cdr:cNvPr id="2" name="TextBox 1"/>
        <cdr:cNvSpPr txBox="1"/>
      </cdr:nvSpPr>
      <cdr:spPr>
        <a:xfrm xmlns:a="http://schemas.openxmlformats.org/drawingml/2006/main">
          <a:off x="5298142" y="412376"/>
          <a:ext cx="1021976" cy="833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Assumes 9% of AWDT occurs in</a:t>
          </a:r>
          <a:r>
            <a:rPr lang="en-US" sz="1100" baseline="0"/>
            <a:t> PM peak hr</a:t>
          </a:r>
          <a:endParaRPr lang="en-US" sz="1100"/>
        </a:p>
      </cdr:txBody>
    </cdr:sp>
  </cdr:relSizeAnchor>
</c:userShapes>
</file>

<file path=xl/drawings/drawing10.xml><?xml version="1.0" encoding="utf-8"?>
<c:userShapes xmlns:c="http://schemas.openxmlformats.org/drawingml/2006/chart">
  <cdr:relSizeAnchor xmlns:cdr="http://schemas.openxmlformats.org/drawingml/2006/chartDrawing">
    <cdr:from>
      <cdr:x>0.8239</cdr:x>
      <cdr:y>0.20731</cdr:y>
    </cdr:from>
    <cdr:to>
      <cdr:x>0.98651</cdr:x>
      <cdr:y>0.76837</cdr:y>
    </cdr:to>
    <cdr:sp macro="" textlink="">
      <cdr:nvSpPr>
        <cdr:cNvPr id="2" name="TextBox 1"/>
        <cdr:cNvSpPr txBox="1"/>
      </cdr:nvSpPr>
      <cdr:spPr>
        <a:xfrm xmlns:a="http://schemas.openxmlformats.org/drawingml/2006/main">
          <a:off x="5522259" y="367553"/>
          <a:ext cx="1066347" cy="21963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a:t>Note:</a:t>
          </a:r>
          <a:r>
            <a:rPr lang="en-US" sz="1100" baseline="0"/>
            <a:t> Aux lane capacity is fixed, and divided across total lanes.  Thus cap1hr1ln goes down each time partly from increasing inefficiency, and partly from aux.</a:t>
          </a:r>
          <a:endParaRPr lang="en-US" sz="1100"/>
        </a:p>
      </cdr:txBody>
    </cdr:sp>
  </cdr:relSizeAnchor>
</c:userShapes>
</file>

<file path=xl/drawings/drawing11.xml><?xml version="1.0" encoding="utf-8"?>
<xdr:wsDr xmlns:xdr="http://schemas.openxmlformats.org/drawingml/2006/spreadsheetDrawing" xmlns:a="http://schemas.openxmlformats.org/drawingml/2006/main">
  <xdr:twoCellAnchor>
    <xdr:from>
      <xdr:col>12</xdr:col>
      <xdr:colOff>32808</xdr:colOff>
      <xdr:row>1</xdr:row>
      <xdr:rowOff>117475</xdr:rowOff>
    </xdr:from>
    <xdr:to>
      <xdr:col>24</xdr:col>
      <xdr:colOff>437092</xdr:colOff>
      <xdr:row>35</xdr:row>
      <xdr:rowOff>30692</xdr:rowOff>
    </xdr:to>
    <xdr:graphicFrame macro="">
      <xdr:nvGraphicFramePr>
        <xdr:cNvPr id="2" name="Chart 1">
          <a:extLst>
            <a:ext uri="{FF2B5EF4-FFF2-40B4-BE49-F238E27FC236}">
              <a16:creationId xmlns:a16="http://schemas.microsoft.com/office/drawing/2014/main" id="{BFFD61B0-07BC-42E5-B5EE-FB71B2DE7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32808</xdr:colOff>
      <xdr:row>1</xdr:row>
      <xdr:rowOff>117475</xdr:rowOff>
    </xdr:from>
    <xdr:to>
      <xdr:col>24</xdr:col>
      <xdr:colOff>437092</xdr:colOff>
      <xdr:row>35</xdr:row>
      <xdr:rowOff>30692</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22</xdr:col>
      <xdr:colOff>22413</xdr:colOff>
      <xdr:row>14</xdr:row>
      <xdr:rowOff>1121</xdr:rowOff>
    </xdr:from>
    <xdr:to>
      <xdr:col>32</xdr:col>
      <xdr:colOff>100854</xdr:colOff>
      <xdr:row>41</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9525</xdr:colOff>
      <xdr:row>39</xdr:row>
      <xdr:rowOff>52108</xdr:rowOff>
    </xdr:from>
    <xdr:to>
      <xdr:col>51</xdr:col>
      <xdr:colOff>294715</xdr:colOff>
      <xdr:row>57</xdr:row>
      <xdr:rowOff>75640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0</xdr:colOff>
      <xdr:row>57</xdr:row>
      <xdr:rowOff>127747</xdr:rowOff>
    </xdr:from>
    <xdr:to>
      <xdr:col>51</xdr:col>
      <xdr:colOff>285190</xdr:colOff>
      <xdr:row>75</xdr:row>
      <xdr:rowOff>96932</xdr:rowOff>
    </xdr:to>
    <xdr:graphicFrame macro="">
      <xdr:nvGraphicFramePr>
        <xdr:cNvPr id="4" name="Chart 4">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9525</xdr:colOff>
      <xdr:row>21</xdr:row>
      <xdr:rowOff>0</xdr:rowOff>
    </xdr:from>
    <xdr:to>
      <xdr:col>51</xdr:col>
      <xdr:colOff>294715</xdr:colOff>
      <xdr:row>39</xdr:row>
      <xdr:rowOff>4483</xdr:rowOff>
    </xdr:to>
    <xdr:graphicFrame macro="">
      <xdr:nvGraphicFramePr>
        <xdr:cNvPr id="5" name="Chart 5">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28</xdr:row>
      <xdr:rowOff>0</xdr:rowOff>
    </xdr:from>
    <xdr:to>
      <xdr:col>19</xdr:col>
      <xdr:colOff>392204</xdr:colOff>
      <xdr:row>51</xdr:row>
      <xdr:rowOff>110938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53</xdr:row>
      <xdr:rowOff>0</xdr:rowOff>
    </xdr:from>
    <xdr:to>
      <xdr:col>19</xdr:col>
      <xdr:colOff>392204</xdr:colOff>
      <xdr:row>76</xdr:row>
      <xdr:rowOff>88526</xdr:rowOff>
    </xdr:to>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78</xdr:row>
      <xdr:rowOff>0</xdr:rowOff>
    </xdr:from>
    <xdr:to>
      <xdr:col>19</xdr:col>
      <xdr:colOff>392204</xdr:colOff>
      <xdr:row>101</xdr:row>
      <xdr:rowOff>77321</xdr:rowOff>
    </xdr:to>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103</xdr:row>
      <xdr:rowOff>0</xdr:rowOff>
    </xdr:from>
    <xdr:to>
      <xdr:col>19</xdr:col>
      <xdr:colOff>392204</xdr:colOff>
      <xdr:row>127</xdr:row>
      <xdr:rowOff>21292</xdr:rowOff>
    </xdr:to>
    <xdr:graphicFrame macro="">
      <xdr:nvGraphicFramePr>
        <xdr:cNvPr id="9" name="Chart 8">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2</xdr:row>
      <xdr:rowOff>0</xdr:rowOff>
    </xdr:from>
    <xdr:to>
      <xdr:col>19</xdr:col>
      <xdr:colOff>392204</xdr:colOff>
      <xdr:row>26</xdr:row>
      <xdr:rowOff>10085</xdr:rowOff>
    </xdr:to>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0.81936</cdr:x>
      <cdr:y>0.23794</cdr:y>
    </cdr:from>
    <cdr:to>
      <cdr:x>0.98715</cdr:x>
      <cdr:y>0.4716</cdr:y>
    </cdr:to>
    <cdr:sp macro="" textlink="">
      <cdr:nvSpPr>
        <cdr:cNvPr id="2" name="TextBox 1"/>
        <cdr:cNvSpPr txBox="1"/>
      </cdr:nvSpPr>
      <cdr:spPr>
        <a:xfrm xmlns:a="http://schemas.openxmlformats.org/drawingml/2006/main">
          <a:off x="5298142" y="412376"/>
          <a:ext cx="1021976" cy="833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Assumes 9% of AWDT occurs in</a:t>
          </a:r>
          <a:r>
            <a:rPr lang="en-US" sz="1100" baseline="0"/>
            <a:t> PM peak hr</a:t>
          </a:r>
          <a:endParaRPr lang="en-US" sz="1100"/>
        </a:p>
      </cdr:txBody>
    </cdr:sp>
  </cdr:relSizeAnchor>
</c:userShapes>
</file>

<file path=xl/drawings/drawing15.xml><?xml version="1.0" encoding="utf-8"?>
<c:userShapes xmlns:c="http://schemas.openxmlformats.org/drawingml/2006/chart">
  <cdr:relSizeAnchor xmlns:cdr="http://schemas.openxmlformats.org/drawingml/2006/chartDrawing">
    <cdr:from>
      <cdr:x>0.8239</cdr:x>
      <cdr:y>0.20731</cdr:y>
    </cdr:from>
    <cdr:to>
      <cdr:x>0.98651</cdr:x>
      <cdr:y>0.76837</cdr:y>
    </cdr:to>
    <cdr:sp macro="" textlink="">
      <cdr:nvSpPr>
        <cdr:cNvPr id="2" name="TextBox 1"/>
        <cdr:cNvSpPr txBox="1"/>
      </cdr:nvSpPr>
      <cdr:spPr>
        <a:xfrm xmlns:a="http://schemas.openxmlformats.org/drawingml/2006/main">
          <a:off x="5522259" y="367553"/>
          <a:ext cx="1066347" cy="21963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a:t>Note:</a:t>
          </a:r>
          <a:r>
            <a:rPr lang="en-US" sz="1100" baseline="0"/>
            <a:t> Aux lane capacity is fixed, and divided across total lanes.  Thus cap1hr1ln goes down each time partly from increasing inefficiency, and partly from aux.</a:t>
          </a:r>
          <a:endParaRPr lang="en-US" sz="1100"/>
        </a:p>
      </cdr:txBody>
    </cdr:sp>
  </cdr:relSizeAnchor>
</c:userShapes>
</file>

<file path=xl/drawings/drawing16.xml><?xml version="1.0" encoding="utf-8"?>
<xdr:wsDr xmlns:xdr="http://schemas.openxmlformats.org/drawingml/2006/spreadsheetDrawing" xmlns:a="http://schemas.openxmlformats.org/drawingml/2006/main">
  <xdr:twoCellAnchor editAs="oneCell">
    <xdr:from>
      <xdr:col>11</xdr:col>
      <xdr:colOff>202828</xdr:colOff>
      <xdr:row>0</xdr:row>
      <xdr:rowOff>17370</xdr:rowOff>
    </xdr:from>
    <xdr:to>
      <xdr:col>18</xdr:col>
      <xdr:colOff>415636</xdr:colOff>
      <xdr:row>27</xdr:row>
      <xdr:rowOff>121024</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204660</xdr:colOff>
      <xdr:row>29</xdr:row>
      <xdr:rowOff>119546</xdr:rowOff>
    </xdr:from>
    <xdr:to>
      <xdr:col>18</xdr:col>
      <xdr:colOff>414210</xdr:colOff>
      <xdr:row>62</xdr:row>
      <xdr:rowOff>4483</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133350</xdr:colOff>
      <xdr:row>0</xdr:row>
      <xdr:rowOff>104775</xdr:rowOff>
    </xdr:from>
    <xdr:to>
      <xdr:col>16</xdr:col>
      <xdr:colOff>342900</xdr:colOff>
      <xdr:row>28</xdr:row>
      <xdr:rowOff>38100</xdr:rowOff>
    </xdr:to>
    <xdr:graphicFrame macro="">
      <xdr:nvGraphicFramePr>
        <xdr:cNvPr id="697456" name="Chart 1">
          <a:extLst>
            <a:ext uri="{FF2B5EF4-FFF2-40B4-BE49-F238E27FC236}">
              <a16:creationId xmlns:a16="http://schemas.microsoft.com/office/drawing/2014/main" id="{00000000-0008-0000-0700-000070A4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133350</xdr:colOff>
      <xdr:row>28</xdr:row>
      <xdr:rowOff>47625</xdr:rowOff>
    </xdr:from>
    <xdr:to>
      <xdr:col>16</xdr:col>
      <xdr:colOff>342900</xdr:colOff>
      <xdr:row>60</xdr:row>
      <xdr:rowOff>38100</xdr:rowOff>
    </xdr:to>
    <xdr:graphicFrame macro="">
      <xdr:nvGraphicFramePr>
        <xdr:cNvPr id="697457" name="Chart 2">
          <a:extLst>
            <a:ext uri="{FF2B5EF4-FFF2-40B4-BE49-F238E27FC236}">
              <a16:creationId xmlns:a16="http://schemas.microsoft.com/office/drawing/2014/main" id="{00000000-0008-0000-0700-000071A4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oneCellAnchor>
    <xdr:from>
      <xdr:col>1</xdr:col>
      <xdr:colOff>17929</xdr:colOff>
      <xdr:row>0</xdr:row>
      <xdr:rowOff>44264</xdr:rowOff>
    </xdr:from>
    <xdr:ext cx="1506813" cy="230889"/>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172710" y="44264"/>
          <a:ext cx="1506813" cy="230889"/>
        </a:xfrm>
        <a:prstGeom prst="rect">
          <a:avLst/>
        </a:prstGeom>
        <a:solidFill>
          <a:schemeClr val="accent3">
            <a:lumMod val="75000"/>
          </a:schemeClr>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b="1">
              <a:solidFill>
                <a:schemeClr val="bg1"/>
              </a:solidFill>
            </a:rPr>
            <a:t>Capacities</a:t>
          </a:r>
          <a:r>
            <a:rPr lang="en-US" sz="1100" b="1" baseline="0">
              <a:solidFill>
                <a:schemeClr val="bg1"/>
              </a:solidFill>
            </a:rPr>
            <a:t> </a:t>
          </a:r>
          <a:r>
            <a:rPr lang="en-US" sz="1100" b="1">
              <a:solidFill>
                <a:schemeClr val="bg1"/>
              </a:solidFill>
            </a:rPr>
            <a:t>for Model V7.0</a:t>
          </a:r>
        </a:p>
      </xdr:txBody>
    </xdr:sp>
    <xdr:clientData/>
  </xdr:oneCellAnchor>
  <xdr:twoCellAnchor>
    <xdr:from>
      <xdr:col>1</xdr:col>
      <xdr:colOff>238125</xdr:colOff>
      <xdr:row>70</xdr:row>
      <xdr:rowOff>114300</xdr:rowOff>
    </xdr:from>
    <xdr:to>
      <xdr:col>10</xdr:col>
      <xdr:colOff>400050</xdr:colOff>
      <xdr:row>89</xdr:row>
      <xdr:rowOff>0</xdr:rowOff>
    </xdr:to>
    <xdr:graphicFrame macro="">
      <xdr:nvGraphicFramePr>
        <xdr:cNvPr id="10531" name="Chart 2">
          <a:extLst>
            <a:ext uri="{FF2B5EF4-FFF2-40B4-BE49-F238E27FC236}">
              <a16:creationId xmlns:a16="http://schemas.microsoft.com/office/drawing/2014/main" id="{00000000-0008-0000-0800-0000232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89</xdr:row>
      <xdr:rowOff>66675</xdr:rowOff>
    </xdr:from>
    <xdr:to>
      <xdr:col>10</xdr:col>
      <xdr:colOff>390525</xdr:colOff>
      <xdr:row>107</xdr:row>
      <xdr:rowOff>114300</xdr:rowOff>
    </xdr:to>
    <xdr:graphicFrame macro="">
      <xdr:nvGraphicFramePr>
        <xdr:cNvPr id="10532" name="Chart 4">
          <a:extLst>
            <a:ext uri="{FF2B5EF4-FFF2-40B4-BE49-F238E27FC236}">
              <a16:creationId xmlns:a16="http://schemas.microsoft.com/office/drawing/2014/main" id="{00000000-0008-0000-0800-0000242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238125</xdr:colOff>
      <xdr:row>52</xdr:row>
      <xdr:rowOff>28575</xdr:rowOff>
    </xdr:from>
    <xdr:to>
      <xdr:col>10</xdr:col>
      <xdr:colOff>400050</xdr:colOff>
      <xdr:row>70</xdr:row>
      <xdr:rowOff>66675</xdr:rowOff>
    </xdr:to>
    <xdr:graphicFrame macro="">
      <xdr:nvGraphicFramePr>
        <xdr:cNvPr id="10533" name="Chart 5">
          <a:extLst>
            <a:ext uri="{FF2B5EF4-FFF2-40B4-BE49-F238E27FC236}">
              <a16:creationId xmlns:a16="http://schemas.microsoft.com/office/drawing/2014/main" id="{00000000-0008-0000-0800-0000252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452436</xdr:colOff>
      <xdr:row>1</xdr:row>
      <xdr:rowOff>0</xdr:rowOff>
    </xdr:from>
    <xdr:to>
      <xdr:col>48</xdr:col>
      <xdr:colOff>178594</xdr:colOff>
      <xdr:row>32</xdr:row>
      <xdr:rowOff>142875</xdr:rowOff>
    </xdr:to>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476251</xdr:colOff>
      <xdr:row>35</xdr:row>
      <xdr:rowOff>83344</xdr:rowOff>
    </xdr:from>
    <xdr:to>
      <xdr:col>48</xdr:col>
      <xdr:colOff>202407</xdr:colOff>
      <xdr:row>65</xdr:row>
      <xdr:rowOff>11906</xdr:rowOff>
    </xdr:to>
    <xdr:graphicFrame macro="">
      <xdr:nvGraphicFramePr>
        <xdr:cNvPr id="12" name="Chart 11">
          <a:extLst>
            <a:ext uri="{FF2B5EF4-FFF2-40B4-BE49-F238E27FC236}">
              <a16:creationId xmlns:a16="http://schemas.microsoft.com/office/drawing/2014/main" id="{00000000-0008-0000-08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0.81936</cdr:x>
      <cdr:y>0.23794</cdr:y>
    </cdr:from>
    <cdr:to>
      <cdr:x>0.98715</cdr:x>
      <cdr:y>0.4716</cdr:y>
    </cdr:to>
    <cdr:sp macro="" textlink="">
      <cdr:nvSpPr>
        <cdr:cNvPr id="2" name="TextBox 1"/>
        <cdr:cNvSpPr txBox="1"/>
      </cdr:nvSpPr>
      <cdr:spPr>
        <a:xfrm xmlns:a="http://schemas.openxmlformats.org/drawingml/2006/main">
          <a:off x="5298142" y="412376"/>
          <a:ext cx="1021976" cy="833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Assumes 9% of AWDT occurs in</a:t>
          </a:r>
          <a:r>
            <a:rPr lang="en-US" sz="1100" baseline="0"/>
            <a:t> PM peak hr</a:t>
          </a:r>
          <a:endParaRPr lang="en-US" sz="1100"/>
        </a:p>
      </cdr:txBody>
    </cdr:sp>
  </cdr:relSizeAnchor>
</c:userShapes>
</file>

<file path=xl/drawings/drawing20.xml><?xml version="1.0" encoding="utf-8"?>
<c:userShapes xmlns:c="http://schemas.openxmlformats.org/drawingml/2006/chart">
  <cdr:relSizeAnchor xmlns:cdr="http://schemas.openxmlformats.org/drawingml/2006/chartDrawing">
    <cdr:from>
      <cdr:x>0.8239</cdr:x>
      <cdr:y>0.20731</cdr:y>
    </cdr:from>
    <cdr:to>
      <cdr:x>0.98651</cdr:x>
      <cdr:y>0.76837</cdr:y>
    </cdr:to>
    <cdr:sp macro="" textlink="">
      <cdr:nvSpPr>
        <cdr:cNvPr id="2" name="TextBox 1"/>
        <cdr:cNvSpPr txBox="1"/>
      </cdr:nvSpPr>
      <cdr:spPr>
        <a:xfrm xmlns:a="http://schemas.openxmlformats.org/drawingml/2006/main">
          <a:off x="5522259" y="367553"/>
          <a:ext cx="1066347" cy="21963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a:t>Note:</a:t>
          </a:r>
          <a:r>
            <a:rPr lang="en-US" sz="1100" baseline="0"/>
            <a:t> Aux lane capacity is fixed, and divided across total lanes.  Thus cap1hr1ln goes down each time partly from increasing inefficiency, and partly from aux.</a:t>
          </a:r>
          <a:endParaRPr lang="en-US" sz="1100"/>
        </a:p>
      </cdr:txBody>
    </cdr:sp>
  </cdr:relSizeAnchor>
</c:userShapes>
</file>

<file path=xl/drawings/drawing21.xml><?xml version="1.0" encoding="utf-8"?>
<c:userShapes xmlns:c="http://schemas.openxmlformats.org/drawingml/2006/chart">
  <cdr:relSizeAnchor xmlns:cdr="http://schemas.openxmlformats.org/drawingml/2006/chartDrawing">
    <cdr:from>
      <cdr:x>0.51483</cdr:x>
      <cdr:y>0.5381</cdr:y>
    </cdr:from>
    <cdr:to>
      <cdr:x>0.58086</cdr:x>
      <cdr:y>0.59592</cdr:y>
    </cdr:to>
    <cdr:sp macro="" textlink="">
      <cdr:nvSpPr>
        <cdr:cNvPr id="3" name="Straight Arrow Connector 2"/>
        <cdr:cNvSpPr/>
      </cdr:nvSpPr>
      <cdr:spPr>
        <a:xfrm xmlns:a="http://schemas.openxmlformats.org/drawingml/2006/main" rot="10800000" flipH="1">
          <a:off x="4548222" y="2857400"/>
          <a:ext cx="583338" cy="307035"/>
        </a:xfrm>
        <a:prstGeom xmlns:a="http://schemas.openxmlformats.org/drawingml/2006/main" prst="straightConnector1">
          <a:avLst/>
        </a:prstGeom>
        <a:ln xmlns:a="http://schemas.openxmlformats.org/drawingml/2006/main" w="19050">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0.37736</cdr:x>
      <cdr:y>0.5638</cdr:y>
    </cdr:from>
    <cdr:to>
      <cdr:x>0.51213</cdr:x>
      <cdr:y>0.61947</cdr:y>
    </cdr:to>
    <cdr:sp macro="" textlink="">
      <cdr:nvSpPr>
        <cdr:cNvPr id="4" name="TextBox 3"/>
        <cdr:cNvSpPr txBox="1"/>
      </cdr:nvSpPr>
      <cdr:spPr>
        <a:xfrm xmlns:a="http://schemas.openxmlformats.org/drawingml/2006/main">
          <a:off x="3333751" y="2993872"/>
          <a:ext cx="1190618" cy="2956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400" b="1"/>
            <a:t>v6 Model</a:t>
          </a:r>
        </a:p>
      </cdr:txBody>
    </cdr:sp>
  </cdr:relSizeAnchor>
  <cdr:relSizeAnchor xmlns:cdr="http://schemas.openxmlformats.org/drawingml/2006/chartDrawing">
    <cdr:from>
      <cdr:x>0.4407</cdr:x>
      <cdr:y>0.16959</cdr:y>
    </cdr:from>
    <cdr:to>
      <cdr:x>0.51482</cdr:x>
      <cdr:y>0.22526</cdr:y>
    </cdr:to>
    <cdr:sp macro="" textlink="">
      <cdr:nvSpPr>
        <cdr:cNvPr id="5" name="Straight Arrow Connector 4"/>
        <cdr:cNvSpPr/>
      </cdr:nvSpPr>
      <cdr:spPr>
        <a:xfrm xmlns:a="http://schemas.openxmlformats.org/drawingml/2006/main" rot="10800000" flipV="1">
          <a:off x="3893369" y="900573"/>
          <a:ext cx="654808" cy="295618"/>
        </a:xfrm>
        <a:prstGeom xmlns:a="http://schemas.openxmlformats.org/drawingml/2006/main" prst="straightConnector1">
          <a:avLst/>
        </a:prstGeom>
        <a:noFill xmlns:a="http://schemas.openxmlformats.org/drawingml/2006/main"/>
        <a:ln xmlns:a="http://schemas.openxmlformats.org/drawingml/2006/main" w="19050" cap="flat" cmpd="sng" algn="ctr">
          <a:solidFill>
            <a:sysClr val="windowText" lastClr="000000"/>
          </a:solidFill>
          <a:prstDash val="solid"/>
          <a:tailEnd type="arrow"/>
        </a:ln>
        <a:effectLst xmlns:a="http://schemas.openxmlformats.org/drawingml/2006/mai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0.51482</cdr:x>
      <cdr:y>0.13533</cdr:y>
    </cdr:from>
    <cdr:to>
      <cdr:x>0.64959</cdr:x>
      <cdr:y>0.191</cdr:y>
    </cdr:to>
    <cdr:sp macro="" textlink="">
      <cdr:nvSpPr>
        <cdr:cNvPr id="6" name="TextBox 2"/>
        <cdr:cNvSpPr txBox="1"/>
      </cdr:nvSpPr>
      <cdr:spPr>
        <a:xfrm xmlns:a="http://schemas.openxmlformats.org/drawingml/2006/main">
          <a:off x="4548177" y="718646"/>
          <a:ext cx="1190618" cy="2956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l"/>
          <a:r>
            <a:rPr lang="en-US" sz="1400" b="1"/>
            <a:t>v7 Model</a:t>
          </a:r>
        </a:p>
      </cdr:txBody>
    </cdr:sp>
  </cdr:relSizeAnchor>
  <cdr:relSizeAnchor xmlns:cdr="http://schemas.openxmlformats.org/drawingml/2006/chartDrawing">
    <cdr:from>
      <cdr:x>0.09569</cdr:x>
      <cdr:y>0.82227</cdr:y>
    </cdr:from>
    <cdr:to>
      <cdr:x>0.55121</cdr:x>
      <cdr:y>0.8651</cdr:y>
    </cdr:to>
    <cdr:sp macro="" textlink="">
      <cdr:nvSpPr>
        <cdr:cNvPr id="7" name="TextBox 6"/>
        <cdr:cNvSpPr txBox="1"/>
      </cdr:nvSpPr>
      <cdr:spPr>
        <a:xfrm xmlns:a="http://schemas.openxmlformats.org/drawingml/2006/main">
          <a:off x="845345" y="4571999"/>
          <a:ext cx="4024313"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100" i="1"/>
            <a:t>v6 capacity varies</a:t>
          </a:r>
          <a:r>
            <a:rPr lang="en-US" sz="1100" i="1" baseline="0"/>
            <a:t> by </a:t>
          </a:r>
          <a:r>
            <a:rPr lang="en-US" sz="1100" i="1">
              <a:latin typeface="+mn-lt"/>
              <a:ea typeface="+mn-ea"/>
              <a:cs typeface="+mn-cs"/>
            </a:rPr>
            <a:t>±10% due to manually coded "friction factors"</a:t>
          </a:r>
        </a:p>
        <a:p xmlns:a="http://schemas.openxmlformats.org/drawingml/2006/main">
          <a:endParaRPr lang="en-US" sz="1100" i="1"/>
        </a:p>
      </cdr:txBody>
    </cdr:sp>
  </cdr:relSizeAnchor>
</c:userShapes>
</file>

<file path=xl/drawings/drawing22.xml><?xml version="1.0" encoding="utf-8"?>
<c:userShapes xmlns:c="http://schemas.openxmlformats.org/drawingml/2006/chart">
  <cdr:relSizeAnchor xmlns:cdr="http://schemas.openxmlformats.org/drawingml/2006/chartDrawing">
    <cdr:from>
      <cdr:x>0.08491</cdr:x>
      <cdr:y>0.81897</cdr:y>
    </cdr:from>
    <cdr:to>
      <cdr:x>0.54043</cdr:x>
      <cdr:y>0.86207</cdr:y>
    </cdr:to>
    <cdr:sp macro="" textlink="">
      <cdr:nvSpPr>
        <cdr:cNvPr id="2" name="TextBox 1"/>
        <cdr:cNvSpPr txBox="1"/>
      </cdr:nvSpPr>
      <cdr:spPr>
        <a:xfrm xmlns:a="http://schemas.openxmlformats.org/drawingml/2006/main">
          <a:off x="750094" y="4524375"/>
          <a:ext cx="4024314" cy="2381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100" i="1"/>
            <a:t>v6 does not differentiate between</a:t>
          </a:r>
          <a:r>
            <a:rPr lang="en-US" sz="1100" i="1" baseline="0"/>
            <a:t> major and minor collectors</a:t>
          </a:r>
          <a:endParaRPr lang="en-US" sz="1100" i="1">
            <a:latin typeface="Calibri"/>
          </a:endParaRPr>
        </a:p>
        <a:p xmlns:a="http://schemas.openxmlformats.org/drawingml/2006/main">
          <a:endParaRPr lang="en-US" sz="1100" i="1"/>
        </a:p>
      </cdr:txBody>
    </cdr:sp>
  </cdr:relSizeAnchor>
</c:userShapes>
</file>

<file path=xl/drawings/drawing23.xml><?xml version="1.0" encoding="utf-8"?>
<xdr:wsDr xmlns:xdr="http://schemas.openxmlformats.org/drawingml/2006/spreadsheetDrawing" xmlns:a="http://schemas.openxmlformats.org/drawingml/2006/main">
  <xdr:twoCellAnchor>
    <xdr:from>
      <xdr:col>7</xdr:col>
      <xdr:colOff>85725</xdr:colOff>
      <xdr:row>0</xdr:row>
      <xdr:rowOff>57150</xdr:rowOff>
    </xdr:from>
    <xdr:to>
      <xdr:col>19</xdr:col>
      <xdr:colOff>447675</xdr:colOff>
      <xdr:row>35</xdr:row>
      <xdr:rowOff>9525</xdr:rowOff>
    </xdr:to>
    <xdr:graphicFrame macro="">
      <xdr:nvGraphicFramePr>
        <xdr:cNvPr id="363716" name="Chart 1">
          <a:extLst>
            <a:ext uri="{FF2B5EF4-FFF2-40B4-BE49-F238E27FC236}">
              <a16:creationId xmlns:a16="http://schemas.microsoft.com/office/drawing/2014/main" id="{00000000-0008-0000-0900-0000C48C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35</xdr:row>
      <xdr:rowOff>47625</xdr:rowOff>
    </xdr:from>
    <xdr:to>
      <xdr:col>19</xdr:col>
      <xdr:colOff>447675</xdr:colOff>
      <xdr:row>61</xdr:row>
      <xdr:rowOff>66675</xdr:rowOff>
    </xdr:to>
    <xdr:graphicFrame macro="">
      <xdr:nvGraphicFramePr>
        <xdr:cNvPr id="363717" name="Chart 3">
          <a:extLst>
            <a:ext uri="{FF2B5EF4-FFF2-40B4-BE49-F238E27FC236}">
              <a16:creationId xmlns:a16="http://schemas.microsoft.com/office/drawing/2014/main" id="{00000000-0008-0000-0900-0000C58C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xdr:colOff>
      <xdr:row>62</xdr:row>
      <xdr:rowOff>0</xdr:rowOff>
    </xdr:from>
    <xdr:to>
      <xdr:col>19</xdr:col>
      <xdr:colOff>476250</xdr:colOff>
      <xdr:row>96</xdr:row>
      <xdr:rowOff>66675</xdr:rowOff>
    </xdr:to>
    <xdr:graphicFrame macro="">
      <xdr:nvGraphicFramePr>
        <xdr:cNvPr id="363718" name="Chart 4">
          <a:extLst>
            <a:ext uri="{FF2B5EF4-FFF2-40B4-BE49-F238E27FC236}">
              <a16:creationId xmlns:a16="http://schemas.microsoft.com/office/drawing/2014/main" id="{00000000-0008-0000-0900-0000C68C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7</xdr:col>
      <xdr:colOff>152400</xdr:colOff>
      <xdr:row>2</xdr:row>
      <xdr:rowOff>104775</xdr:rowOff>
    </xdr:from>
    <xdr:to>
      <xdr:col>19</xdr:col>
      <xdr:colOff>514350</xdr:colOff>
      <xdr:row>29</xdr:row>
      <xdr:rowOff>114300</xdr:rowOff>
    </xdr:to>
    <xdr:graphicFrame macro="">
      <xdr:nvGraphicFramePr>
        <xdr:cNvPr id="4494" name="Chart 1">
          <a:extLst>
            <a:ext uri="{FF2B5EF4-FFF2-40B4-BE49-F238E27FC236}">
              <a16:creationId xmlns:a16="http://schemas.microsoft.com/office/drawing/2014/main" id="{00000000-0008-0000-0D00-00008E1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30</xdr:row>
      <xdr:rowOff>38100</xdr:rowOff>
    </xdr:from>
    <xdr:to>
      <xdr:col>19</xdr:col>
      <xdr:colOff>514350</xdr:colOff>
      <xdr:row>58</xdr:row>
      <xdr:rowOff>38100</xdr:rowOff>
    </xdr:to>
    <xdr:graphicFrame macro="">
      <xdr:nvGraphicFramePr>
        <xdr:cNvPr id="4495" name="Chart 3">
          <a:extLst>
            <a:ext uri="{FF2B5EF4-FFF2-40B4-BE49-F238E27FC236}">
              <a16:creationId xmlns:a16="http://schemas.microsoft.com/office/drawing/2014/main" id="{00000000-0008-0000-0D00-00008F1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123825</xdr:colOff>
      <xdr:row>30</xdr:row>
      <xdr:rowOff>38100</xdr:rowOff>
    </xdr:from>
    <xdr:to>
      <xdr:col>32</xdr:col>
      <xdr:colOff>466725</xdr:colOff>
      <xdr:row>58</xdr:row>
      <xdr:rowOff>19050</xdr:rowOff>
    </xdr:to>
    <xdr:graphicFrame macro="">
      <xdr:nvGraphicFramePr>
        <xdr:cNvPr id="4496" name="Chart 4">
          <a:extLst>
            <a:ext uri="{FF2B5EF4-FFF2-40B4-BE49-F238E27FC236}">
              <a16:creationId xmlns:a16="http://schemas.microsoft.com/office/drawing/2014/main" id="{00000000-0008-0000-0D00-0000901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8.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T37"/>
  <sheetViews>
    <sheetView workbookViewId="0">
      <selection activeCell="A3" sqref="A3:M37"/>
    </sheetView>
  </sheetViews>
  <sheetFormatPr defaultColWidth="5" defaultRowHeight="12.75" x14ac:dyDescent="0.2"/>
  <cols>
    <col min="1" max="1" width="5" style="233"/>
    <col min="2" max="13" width="8.28515625" style="233" bestFit="1" customWidth="1"/>
    <col min="14" max="15" width="5" style="233"/>
    <col min="16" max="16" width="12.85546875" style="233" customWidth="1"/>
    <col min="17" max="18" width="7.140625" style="233" customWidth="1"/>
    <col min="19" max="19" width="9.85546875" style="233" customWidth="1"/>
    <col min="20" max="20" width="17" style="233" customWidth="1"/>
    <col min="21" max="16384" width="5" style="233"/>
  </cols>
  <sheetData>
    <row r="1" spans="1:20" ht="15.75" x14ac:dyDescent="0.25">
      <c r="A1" s="261" t="s">
        <v>508</v>
      </c>
      <c r="B1" s="261"/>
      <c r="C1" s="261"/>
      <c r="D1" s="261"/>
      <c r="E1" s="261"/>
      <c r="F1" s="261"/>
      <c r="G1" s="261"/>
      <c r="H1" s="261"/>
      <c r="I1" s="261"/>
      <c r="J1" s="261"/>
      <c r="K1" s="261"/>
      <c r="L1" s="261"/>
      <c r="M1" s="261"/>
      <c r="N1" s="261"/>
      <c r="O1" s="261"/>
      <c r="P1" s="261" t="s">
        <v>514</v>
      </c>
      <c r="Q1" s="261"/>
      <c r="R1" s="261"/>
      <c r="S1" s="261"/>
      <c r="T1" s="261"/>
    </row>
    <row r="3" spans="1:20" x14ac:dyDescent="0.2">
      <c r="A3" s="249" t="s">
        <v>552</v>
      </c>
      <c r="B3" s="249" t="s">
        <v>515</v>
      </c>
      <c r="C3" s="249" t="s">
        <v>516</v>
      </c>
      <c r="D3" s="249" t="s">
        <v>517</v>
      </c>
      <c r="E3" s="249" t="s">
        <v>518</v>
      </c>
      <c r="F3" s="249" t="s">
        <v>519</v>
      </c>
      <c r="G3" s="249" t="s">
        <v>520</v>
      </c>
      <c r="H3" s="249" t="s">
        <v>521</v>
      </c>
      <c r="I3" s="249" t="s">
        <v>522</v>
      </c>
      <c r="J3" s="249" t="s">
        <v>523</v>
      </c>
      <c r="K3" s="249" t="s">
        <v>524</v>
      </c>
      <c r="L3" s="249" t="s">
        <v>525</v>
      </c>
      <c r="M3" s="249" t="s">
        <v>526</v>
      </c>
      <c r="N3" s="252"/>
      <c r="O3" s="252"/>
      <c r="P3" s="250" t="s">
        <v>553</v>
      </c>
      <c r="Q3" s="251" t="s">
        <v>527</v>
      </c>
      <c r="R3" s="251" t="s">
        <v>528</v>
      </c>
      <c r="S3" s="251" t="s">
        <v>529</v>
      </c>
      <c r="T3" s="250" t="s">
        <v>530</v>
      </c>
    </row>
    <row r="4" spans="1:20" x14ac:dyDescent="0.2">
      <c r="A4" s="264">
        <v>1</v>
      </c>
      <c r="B4" s="262">
        <f>ROUND('SFF 8.3'!C5, 0)</f>
        <v>30</v>
      </c>
      <c r="C4" s="262">
        <f>ROUND('SFF 8.3'!D5, 0)</f>
        <v>24</v>
      </c>
      <c r="D4" s="262">
        <f>ROUND('SFF 8.3'!E5, 0)</f>
        <v>20</v>
      </c>
      <c r="E4" s="262">
        <f>ROUND('SFF 8.3'!F5, 0)</f>
        <v>17</v>
      </c>
      <c r="F4" s="262">
        <f>ROUND('SFF 8.3'!G5, 0)</f>
        <v>14</v>
      </c>
      <c r="G4" s="456">
        <f>'Cap1hr1ln V8.32b'!C4</f>
        <v>10000</v>
      </c>
      <c r="H4" s="456">
        <f>'Cap1hr1ln V8.32b'!D4</f>
        <v>10000</v>
      </c>
      <c r="I4" s="456">
        <f>'Cap1hr1ln V8.32b'!E4</f>
        <v>10000</v>
      </c>
      <c r="J4" s="456">
        <f>'Cap1hr1ln V8.32b'!F4</f>
        <v>10000</v>
      </c>
      <c r="K4" s="456">
        <f>'Cap1hr1ln V8.32b'!G4</f>
        <v>10000</v>
      </c>
      <c r="L4" s="456">
        <f>'Cap1hr1ln V8.32b'!H4</f>
        <v>10000</v>
      </c>
      <c r="M4" s="456">
        <f>'Cap1hr1ln V8.32b'!I4</f>
        <v>10000</v>
      </c>
      <c r="N4" s="252"/>
      <c r="O4" s="252"/>
      <c r="P4" s="264">
        <v>1</v>
      </c>
      <c r="Q4" s="265">
        <f>'VDF V8.3x'!B5</f>
        <v>0.7</v>
      </c>
      <c r="R4" s="265">
        <f>'VDF V8.3x'!B6</f>
        <v>8</v>
      </c>
      <c r="S4" s="266">
        <f>'VDF V8.3x'!B7</f>
        <v>1.44</v>
      </c>
      <c r="T4" s="263" t="s">
        <v>531</v>
      </c>
    </row>
    <row r="5" spans="1:20" x14ac:dyDescent="0.2">
      <c r="A5" s="264">
        <v>2</v>
      </c>
      <c r="B5" s="262">
        <f>ROUND('SFF 8.3'!C6, 0)</f>
        <v>58</v>
      </c>
      <c r="C5" s="262">
        <f>ROUND('SFF 8.3'!D6, 0)</f>
        <v>48</v>
      </c>
      <c r="D5" s="262">
        <f>ROUND('SFF 8.3'!E6, 0)</f>
        <v>38</v>
      </c>
      <c r="E5" s="262">
        <f>ROUND('SFF 8.3'!F6, 0)</f>
        <v>32</v>
      </c>
      <c r="F5" s="262">
        <f>ROUND('SFF 8.3'!G6, 0)</f>
        <v>24</v>
      </c>
      <c r="G5" s="456">
        <f>'Cap1hr1ln V8.32b'!C5</f>
        <v>968</v>
      </c>
      <c r="H5" s="456">
        <f>'Cap1hr1ln V8.32b'!D5</f>
        <v>929</v>
      </c>
      <c r="I5" s="456">
        <f>'Cap1hr1ln V8.32b'!E5</f>
        <v>890</v>
      </c>
      <c r="J5" s="456">
        <f>'Cap1hr1ln V8.32b'!F5</f>
        <v>869</v>
      </c>
      <c r="K5" s="456">
        <f>'Cap1hr1ln V8.32b'!G5</f>
        <v>849</v>
      </c>
      <c r="L5" s="456">
        <f>'Cap1hr1ln V8.32b'!H5</f>
        <v>830</v>
      </c>
      <c r="M5" s="456">
        <f>'Cap1hr1ln V8.32b'!I5</f>
        <v>810</v>
      </c>
      <c r="N5" s="252"/>
      <c r="O5" s="252"/>
      <c r="P5" s="264">
        <v>2</v>
      </c>
      <c r="Q5" s="265">
        <f>'VDF V8.3x'!C5</f>
        <v>0.7</v>
      </c>
      <c r="R5" s="265">
        <f>'VDF V8.3x'!C6</f>
        <v>3</v>
      </c>
      <c r="S5" s="266">
        <f>'VDF V8.3x'!C7</f>
        <v>1.65</v>
      </c>
      <c r="T5" s="263" t="s">
        <v>207</v>
      </c>
    </row>
    <row r="6" spans="1:20" x14ac:dyDescent="0.2">
      <c r="A6" s="264">
        <v>3</v>
      </c>
      <c r="B6" s="262">
        <f>ROUND('SFF 8.3'!C7, 0)</f>
        <v>55</v>
      </c>
      <c r="C6" s="262">
        <f>ROUND('SFF 8.3'!D7, 0)</f>
        <v>43</v>
      </c>
      <c r="D6" s="262">
        <f>ROUND('SFF 8.3'!E7, 0)</f>
        <v>35</v>
      </c>
      <c r="E6" s="262">
        <f>ROUND('SFF 8.3'!F7, 0)</f>
        <v>30</v>
      </c>
      <c r="F6" s="262">
        <f>ROUND('SFF 8.3'!G7, 0)</f>
        <v>21</v>
      </c>
      <c r="G6" s="456">
        <f>'Cap1hr1ln V8.32b'!C6</f>
        <v>894</v>
      </c>
      <c r="H6" s="456">
        <f>'Cap1hr1ln V8.32b'!D6</f>
        <v>858</v>
      </c>
      <c r="I6" s="456">
        <f>'Cap1hr1ln V8.32b'!E6</f>
        <v>822</v>
      </c>
      <c r="J6" s="456">
        <f>'Cap1hr1ln V8.32b'!F6</f>
        <v>803</v>
      </c>
      <c r="K6" s="456">
        <f>'Cap1hr1ln V8.32b'!G6</f>
        <v>784</v>
      </c>
      <c r="L6" s="456">
        <f>'Cap1hr1ln V8.32b'!H6</f>
        <v>766</v>
      </c>
      <c r="M6" s="456">
        <f>'Cap1hr1ln V8.32b'!I6</f>
        <v>748</v>
      </c>
      <c r="N6" s="252"/>
      <c r="O6" s="252"/>
      <c r="P6" s="264">
        <v>3</v>
      </c>
      <c r="Q6" s="265">
        <f>'VDF V8.3x'!D5</f>
        <v>0.6</v>
      </c>
      <c r="R6" s="265">
        <f>'VDF V8.3x'!D6</f>
        <v>6</v>
      </c>
      <c r="S6" s="266">
        <f>'VDF V8.3x'!D7</f>
        <v>1.55</v>
      </c>
      <c r="T6" s="263" t="s">
        <v>487</v>
      </c>
    </row>
    <row r="7" spans="1:20" x14ac:dyDescent="0.2">
      <c r="A7" s="264">
        <v>4</v>
      </c>
      <c r="B7" s="262">
        <f>ROUND('SFF 8.3'!C8, 0)</f>
        <v>48</v>
      </c>
      <c r="C7" s="262">
        <f>ROUND('SFF 8.3'!D8, 0)</f>
        <v>38</v>
      </c>
      <c r="D7" s="262">
        <f>ROUND('SFF 8.3'!E8, 0)</f>
        <v>34</v>
      </c>
      <c r="E7" s="262">
        <f>ROUND('SFF 8.3'!F8, 0)</f>
        <v>28</v>
      </c>
      <c r="F7" s="262">
        <f>ROUND('SFF 8.3'!G8, 0)</f>
        <v>19</v>
      </c>
      <c r="G7" s="456">
        <f>'Cap1hr1ln V8.32b'!C7</f>
        <v>733</v>
      </c>
      <c r="H7" s="456">
        <f>'Cap1hr1ln V8.32b'!D7</f>
        <v>703</v>
      </c>
      <c r="I7" s="456">
        <f>'Cap1hr1ln V8.32b'!E7</f>
        <v>674</v>
      </c>
      <c r="J7" s="456">
        <f>'Cap1hr1ln V8.32b'!F7</f>
        <v>658</v>
      </c>
      <c r="K7" s="456">
        <f>'Cap1hr1ln V8.32b'!G7</f>
        <v>643</v>
      </c>
      <c r="L7" s="456">
        <f>'Cap1hr1ln V8.32b'!H7</f>
        <v>628</v>
      </c>
      <c r="M7" s="456">
        <f>'Cap1hr1ln V8.32b'!I7</f>
        <v>613</v>
      </c>
      <c r="N7" s="252"/>
      <c r="O7" s="252"/>
      <c r="P7" s="264">
        <v>4</v>
      </c>
      <c r="Q7" s="265">
        <f>'VDF V8.3x'!E5</f>
        <v>0.6</v>
      </c>
      <c r="R7" s="265">
        <f>'VDF V8.3x'!E6</f>
        <v>4</v>
      </c>
      <c r="S7" s="266">
        <f>'VDF V8.3x'!E7</f>
        <v>1.8</v>
      </c>
      <c r="T7" s="263" t="s">
        <v>484</v>
      </c>
    </row>
    <row r="8" spans="1:20" x14ac:dyDescent="0.2">
      <c r="A8" s="264">
        <v>5</v>
      </c>
      <c r="B8" s="262">
        <f>ROUND('SFF 8.3'!C9, 0)</f>
        <v>42</v>
      </c>
      <c r="C8" s="262">
        <f>ROUND('SFF 8.3'!D9, 0)</f>
        <v>32</v>
      </c>
      <c r="D8" s="262">
        <f>ROUND('SFF 8.3'!E9, 0)</f>
        <v>26</v>
      </c>
      <c r="E8" s="262">
        <f>ROUND('SFF 8.3'!F9, 0)</f>
        <v>23</v>
      </c>
      <c r="F8" s="262">
        <f>ROUND('SFF 8.3'!G9, 0)</f>
        <v>15</v>
      </c>
      <c r="G8" s="456">
        <f>'Cap1hr1ln V8.32b'!C8</f>
        <v>515</v>
      </c>
      <c r="H8" s="456">
        <f>'Cap1hr1ln V8.32b'!D8</f>
        <v>494</v>
      </c>
      <c r="I8" s="456">
        <f>'Cap1hr1ln V8.32b'!E8</f>
        <v>473</v>
      </c>
      <c r="J8" s="456">
        <f>'Cap1hr1ln V8.32b'!F8</f>
        <v>462</v>
      </c>
      <c r="K8" s="456">
        <f>'Cap1hr1ln V8.32b'!G8</f>
        <v>451</v>
      </c>
      <c r="L8" s="456">
        <f>'Cap1hr1ln V8.32b'!H8</f>
        <v>441</v>
      </c>
      <c r="M8" s="456">
        <f>'Cap1hr1ln V8.32b'!I8</f>
        <v>431</v>
      </c>
      <c r="N8" s="252"/>
      <c r="O8" s="252"/>
      <c r="P8" s="264">
        <v>5</v>
      </c>
      <c r="Q8" s="265">
        <f>'VDF V8.3x'!F5</f>
        <v>0.6</v>
      </c>
      <c r="R8" s="265">
        <f>'VDF V8.3x'!F6</f>
        <v>3</v>
      </c>
      <c r="S8" s="266">
        <f>'VDF V8.3x'!F7</f>
        <v>1.85</v>
      </c>
      <c r="T8" s="263" t="s">
        <v>532</v>
      </c>
    </row>
    <row r="9" spans="1:20" x14ac:dyDescent="0.2">
      <c r="A9" s="264">
        <v>6</v>
      </c>
      <c r="B9" s="262">
        <f>ROUND('SFF 8.3'!C10, 0)</f>
        <v>30</v>
      </c>
      <c r="C9" s="262">
        <f>ROUND('SFF 8.3'!D10, 0)</f>
        <v>24</v>
      </c>
      <c r="D9" s="262">
        <f>ROUND('SFF 8.3'!E10, 0)</f>
        <v>20</v>
      </c>
      <c r="E9" s="262">
        <f>ROUND('SFF 8.3'!F10, 0)</f>
        <v>17</v>
      </c>
      <c r="F9" s="262">
        <f>ROUND('SFF 8.3'!G10, 0)</f>
        <v>14</v>
      </c>
      <c r="G9" s="456">
        <f>'Cap1hr1ln V8.32b'!C9</f>
        <v>412</v>
      </c>
      <c r="H9" s="456">
        <f>'Cap1hr1ln V8.32b'!D9</f>
        <v>395</v>
      </c>
      <c r="I9" s="456">
        <f>'Cap1hr1ln V8.32b'!E9</f>
        <v>378</v>
      </c>
      <c r="J9" s="456">
        <f>'Cap1hr1ln V8.32b'!F9</f>
        <v>370</v>
      </c>
      <c r="K9" s="456">
        <f>'Cap1hr1ln V8.32b'!G9</f>
        <v>361</v>
      </c>
      <c r="L9" s="456">
        <f>'Cap1hr1ln V8.32b'!H9</f>
        <v>353</v>
      </c>
      <c r="M9" s="456">
        <f>'Cap1hr1ln V8.32b'!I9</f>
        <v>344</v>
      </c>
      <c r="N9" s="252"/>
      <c r="O9" s="252"/>
      <c r="P9" s="264">
        <v>6</v>
      </c>
      <c r="Q9" s="265">
        <f>'VDF V8.3x'!G5</f>
        <v>0.7</v>
      </c>
      <c r="R9" s="265">
        <f>'VDF V8.3x'!G6</f>
        <v>8</v>
      </c>
      <c r="S9" s="266">
        <f>'VDF V8.3x'!G7</f>
        <v>1.44</v>
      </c>
      <c r="T9" s="263" t="s">
        <v>536</v>
      </c>
    </row>
    <row r="10" spans="1:20" x14ac:dyDescent="0.2">
      <c r="A10" s="264">
        <v>7</v>
      </c>
      <c r="B10" s="262">
        <f>ROUND('SFF 8.3'!C11, 0)</f>
        <v>15</v>
      </c>
      <c r="C10" s="262">
        <f>ROUND('SFF 8.3'!D11, 0)</f>
        <v>15</v>
      </c>
      <c r="D10" s="262">
        <f>ROUND('SFF 8.3'!E11, 0)</f>
        <v>15</v>
      </c>
      <c r="E10" s="262">
        <f>ROUND('SFF 8.3'!F11, 0)</f>
        <v>15</v>
      </c>
      <c r="F10" s="262">
        <f>ROUND('SFF 8.3'!G11, 0)</f>
        <v>15</v>
      </c>
      <c r="G10" s="456">
        <f>'Cap1hr1ln V8.32b'!C10</f>
        <v>300</v>
      </c>
      <c r="H10" s="456">
        <f>'Cap1hr1ln V8.32b'!D10</f>
        <v>300</v>
      </c>
      <c r="I10" s="456">
        <f>'Cap1hr1ln V8.32b'!E10</f>
        <v>300</v>
      </c>
      <c r="J10" s="456">
        <f>'Cap1hr1ln V8.32b'!F10</f>
        <v>300</v>
      </c>
      <c r="K10" s="456">
        <f>'Cap1hr1ln V8.32b'!G10</f>
        <v>300</v>
      </c>
      <c r="L10" s="456">
        <f>'Cap1hr1ln V8.32b'!H10</f>
        <v>300</v>
      </c>
      <c r="M10" s="456">
        <f>'Cap1hr1ln V8.32b'!I10</f>
        <v>300</v>
      </c>
      <c r="N10" s="252"/>
      <c r="O10" s="252"/>
      <c r="P10" s="252"/>
      <c r="Q10" s="252"/>
      <c r="R10" s="252"/>
    </row>
    <row r="11" spans="1:20" x14ac:dyDescent="0.2">
      <c r="A11" s="264">
        <v>12</v>
      </c>
      <c r="B11" s="262">
        <f>ROUND('SFF 8.3'!C15, 0)</f>
        <v>56</v>
      </c>
      <c r="C11" s="253">
        <f>B11</f>
        <v>56</v>
      </c>
      <c r="D11" s="253">
        <f t="shared" ref="D11:F11" si="0">C11</f>
        <v>56</v>
      </c>
      <c r="E11" s="253">
        <f t="shared" si="0"/>
        <v>56</v>
      </c>
      <c r="F11" s="253">
        <f t="shared" si="0"/>
        <v>56</v>
      </c>
      <c r="G11" s="456">
        <f>'Cap1hr1ln V8.32b'!C11</f>
        <v>1102</v>
      </c>
      <c r="H11" s="456">
        <f>'Cap1hr1ln V8.32b'!D11</f>
        <v>1058</v>
      </c>
      <c r="I11" s="456">
        <f>'Cap1hr1ln V8.32b'!E11</f>
        <v>1025</v>
      </c>
      <c r="J11" s="456">
        <f>'Cap1hr1ln V8.32b'!F11</f>
        <v>1003</v>
      </c>
      <c r="K11" s="456">
        <f>'Cap1hr1ln V8.32b'!G11</f>
        <v>981</v>
      </c>
      <c r="L11" s="456">
        <f>'Cap1hr1ln V8.32b'!H11</f>
        <v>960</v>
      </c>
      <c r="M11" s="456">
        <f>'Cap1hr1ln V8.32b'!I11</f>
        <v>940</v>
      </c>
      <c r="N11" s="252"/>
      <c r="O11" s="252"/>
      <c r="P11" s="252"/>
    </row>
    <row r="12" spans="1:20" x14ac:dyDescent="0.2">
      <c r="A12" s="264">
        <v>13</v>
      </c>
      <c r="B12" s="262">
        <f>ROUND('SFF 8.3'!C16, 0)</f>
        <v>53</v>
      </c>
      <c r="C12" s="253">
        <f t="shared" ref="C12:F12" si="1">B12</f>
        <v>53</v>
      </c>
      <c r="D12" s="253">
        <f t="shared" si="1"/>
        <v>53</v>
      </c>
      <c r="E12" s="253">
        <f t="shared" si="1"/>
        <v>53</v>
      </c>
      <c r="F12" s="253">
        <f t="shared" si="1"/>
        <v>53</v>
      </c>
      <c r="G12" s="456">
        <f>'Cap1hr1ln V8.32b'!C12</f>
        <v>1064</v>
      </c>
      <c r="H12" s="456">
        <f>'Cap1hr1ln V8.32b'!D12</f>
        <v>1021</v>
      </c>
      <c r="I12" s="456">
        <f>'Cap1hr1ln V8.32b'!E12</f>
        <v>990</v>
      </c>
      <c r="J12" s="456">
        <f>'Cap1hr1ln V8.32b'!F12</f>
        <v>968</v>
      </c>
      <c r="K12" s="456">
        <f>'Cap1hr1ln V8.32b'!G12</f>
        <v>947</v>
      </c>
      <c r="L12" s="456">
        <f>'Cap1hr1ln V8.32b'!H12</f>
        <v>927</v>
      </c>
      <c r="M12" s="456">
        <f>'Cap1hr1ln V8.32b'!I12</f>
        <v>907</v>
      </c>
      <c r="N12" s="252"/>
      <c r="O12" s="252"/>
      <c r="P12" s="252"/>
    </row>
    <row r="13" spans="1:20" x14ac:dyDescent="0.2">
      <c r="A13" s="264">
        <v>14</v>
      </c>
      <c r="B13" s="262">
        <f>ROUND('SFF 8.3'!C17, 0)</f>
        <v>48</v>
      </c>
      <c r="C13" s="253">
        <f t="shared" ref="C13:F13" si="2">B13</f>
        <v>48</v>
      </c>
      <c r="D13" s="253">
        <f t="shared" si="2"/>
        <v>48</v>
      </c>
      <c r="E13" s="253">
        <f t="shared" si="2"/>
        <v>48</v>
      </c>
      <c r="F13" s="253">
        <f t="shared" si="2"/>
        <v>48</v>
      </c>
      <c r="G13" s="456">
        <f>'Cap1hr1ln V8.32b'!C13</f>
        <v>1026</v>
      </c>
      <c r="H13" s="456">
        <f>'Cap1hr1ln V8.32b'!D13</f>
        <v>985</v>
      </c>
      <c r="I13" s="456">
        <f>'Cap1hr1ln V8.32b'!E13</f>
        <v>954</v>
      </c>
      <c r="J13" s="456">
        <f>'Cap1hr1ln V8.32b'!F13</f>
        <v>934</v>
      </c>
      <c r="K13" s="456">
        <f>'Cap1hr1ln V8.32b'!G13</f>
        <v>914</v>
      </c>
      <c r="L13" s="456">
        <f>'Cap1hr1ln V8.32b'!H13</f>
        <v>894</v>
      </c>
      <c r="M13" s="456">
        <f>'Cap1hr1ln V8.32b'!I13</f>
        <v>875</v>
      </c>
      <c r="N13" s="252"/>
      <c r="O13" s="252"/>
      <c r="P13" s="252"/>
      <c r="T13" s="252"/>
    </row>
    <row r="14" spans="1:20" x14ac:dyDescent="0.2">
      <c r="A14" s="264">
        <v>15</v>
      </c>
      <c r="B14" s="262">
        <f>ROUND('SFF 8.3'!C18, 0)</f>
        <v>43</v>
      </c>
      <c r="C14" s="253">
        <f t="shared" ref="C14:F24" si="3">B14</f>
        <v>43</v>
      </c>
      <c r="D14" s="253">
        <f t="shared" si="3"/>
        <v>43</v>
      </c>
      <c r="E14" s="253">
        <f t="shared" si="3"/>
        <v>43</v>
      </c>
      <c r="F14" s="253">
        <f t="shared" si="3"/>
        <v>43</v>
      </c>
      <c r="G14" s="456">
        <f>'Cap1hr1ln V8.32b'!C14</f>
        <v>988</v>
      </c>
      <c r="H14" s="456">
        <f>'Cap1hr1ln V8.32b'!D14</f>
        <v>948</v>
      </c>
      <c r="I14" s="456">
        <f>'Cap1hr1ln V8.32b'!E14</f>
        <v>919</v>
      </c>
      <c r="J14" s="456">
        <f>'Cap1hr1ln V8.32b'!F14</f>
        <v>899</v>
      </c>
      <c r="K14" s="456">
        <f>'Cap1hr1ln V8.32b'!G14</f>
        <v>880</v>
      </c>
      <c r="L14" s="456">
        <f>'Cap1hr1ln V8.32b'!H14</f>
        <v>861</v>
      </c>
      <c r="M14" s="456">
        <f>'Cap1hr1ln V8.32b'!I14</f>
        <v>842</v>
      </c>
      <c r="N14" s="252"/>
      <c r="O14" s="252"/>
      <c r="P14" s="252"/>
      <c r="T14" s="252"/>
    </row>
    <row r="15" spans="1:20" x14ac:dyDescent="0.2">
      <c r="A15" s="264">
        <v>20</v>
      </c>
      <c r="B15" s="262">
        <f>ROUND('SFF 8.3'!C20, 0)</f>
        <v>35</v>
      </c>
      <c r="C15" s="253">
        <f t="shared" si="3"/>
        <v>35</v>
      </c>
      <c r="D15" s="253">
        <f t="shared" si="3"/>
        <v>35</v>
      </c>
      <c r="E15" s="253">
        <f t="shared" si="3"/>
        <v>35</v>
      </c>
      <c r="F15" s="253">
        <f t="shared" si="3"/>
        <v>35</v>
      </c>
      <c r="G15" s="456">
        <f>'Cap1hr1ln V8.32b'!C15</f>
        <v>1325</v>
      </c>
      <c r="H15" s="456">
        <f>'Cap1hr1ln V8.32b'!D15</f>
        <v>1060</v>
      </c>
      <c r="I15" s="456">
        <f>'Cap1hr1ln V8.32b'!E15</f>
        <v>848</v>
      </c>
      <c r="J15" s="456">
        <f>'Cap1hr1ln V8.32b'!F15</f>
        <v>848</v>
      </c>
      <c r="K15" s="456">
        <f>'Cap1hr1ln V8.32b'!G15</f>
        <v>848</v>
      </c>
      <c r="L15" s="456">
        <f>'Cap1hr1ln V8.32b'!H15</f>
        <v>848</v>
      </c>
      <c r="M15" s="456">
        <f>'Cap1hr1ln V8.32b'!I15</f>
        <v>848</v>
      </c>
      <c r="N15" s="252"/>
      <c r="O15" s="252"/>
      <c r="P15" s="252"/>
      <c r="T15" s="252"/>
    </row>
    <row r="16" spans="1:20" x14ac:dyDescent="0.2">
      <c r="A16" s="264">
        <v>21</v>
      </c>
      <c r="B16" s="262">
        <f>ROUND('SFF 8.3'!C21, 0)</f>
        <v>55</v>
      </c>
      <c r="C16" s="253">
        <f t="shared" si="3"/>
        <v>55</v>
      </c>
      <c r="D16" s="253">
        <f t="shared" si="3"/>
        <v>55</v>
      </c>
      <c r="E16" s="253">
        <f t="shared" si="3"/>
        <v>55</v>
      </c>
      <c r="F16" s="253">
        <f t="shared" si="3"/>
        <v>55</v>
      </c>
      <c r="G16" s="456">
        <f>'Cap1hr1ln V8.32b'!C16</f>
        <v>1473</v>
      </c>
      <c r="H16" s="456">
        <f>'Cap1hr1ln V8.32b'!D16</f>
        <v>1473</v>
      </c>
      <c r="I16" s="456">
        <f>'Cap1hr1ln V8.32b'!E16</f>
        <v>1473</v>
      </c>
      <c r="J16" s="456">
        <f>'Cap1hr1ln V8.32b'!F16</f>
        <v>1443</v>
      </c>
      <c r="K16" s="456">
        <f>'Cap1hr1ln V8.32b'!G16</f>
        <v>1399</v>
      </c>
      <c r="L16" s="456">
        <f>'Cap1hr1ln V8.32b'!H16</f>
        <v>1340</v>
      </c>
      <c r="M16" s="456">
        <f>'Cap1hr1ln V8.32b'!I16</f>
        <v>1296</v>
      </c>
      <c r="N16" s="252"/>
      <c r="O16" s="252"/>
      <c r="P16" s="252"/>
      <c r="T16" s="252"/>
    </row>
    <row r="17" spans="1:20" x14ac:dyDescent="0.2">
      <c r="A17" s="264">
        <v>22</v>
      </c>
      <c r="B17" s="262">
        <f>ROUND('SFF 8.3'!C22, 0)</f>
        <v>65</v>
      </c>
      <c r="C17" s="253">
        <f t="shared" si="3"/>
        <v>65</v>
      </c>
      <c r="D17" s="253">
        <f t="shared" si="3"/>
        <v>65</v>
      </c>
      <c r="E17" s="253">
        <f t="shared" si="3"/>
        <v>65</v>
      </c>
      <c r="F17" s="253">
        <f t="shared" si="3"/>
        <v>65</v>
      </c>
      <c r="G17" s="456">
        <f>'Cap1hr1ln V8.32b'!C17</f>
        <v>1922</v>
      </c>
      <c r="H17" s="456">
        <f>'Cap1hr1ln V8.32b'!D17</f>
        <v>1922</v>
      </c>
      <c r="I17" s="456">
        <f>'Cap1hr1ln V8.32b'!E17</f>
        <v>1922</v>
      </c>
      <c r="J17" s="456">
        <f>'Cap1hr1ln V8.32b'!F17</f>
        <v>1884</v>
      </c>
      <c r="K17" s="456">
        <f>'Cap1hr1ln V8.32b'!G17</f>
        <v>1826</v>
      </c>
      <c r="L17" s="456">
        <f>'Cap1hr1ln V8.32b'!H17</f>
        <v>1749</v>
      </c>
      <c r="M17" s="456">
        <f>'Cap1hr1ln V8.32b'!I17</f>
        <v>1691</v>
      </c>
      <c r="N17" s="252"/>
      <c r="O17" s="252"/>
      <c r="P17" s="252"/>
      <c r="T17" s="252"/>
    </row>
    <row r="18" spans="1:20" x14ac:dyDescent="0.2">
      <c r="A18" s="264">
        <v>23</v>
      </c>
      <c r="B18" s="262">
        <f>ROUND('SFF 8.3'!C23, 0)</f>
        <v>75</v>
      </c>
      <c r="C18" s="253">
        <f t="shared" si="3"/>
        <v>75</v>
      </c>
      <c r="D18" s="253">
        <f t="shared" si="3"/>
        <v>75</v>
      </c>
      <c r="E18" s="253">
        <f t="shared" si="3"/>
        <v>75</v>
      </c>
      <c r="F18" s="253">
        <f t="shared" si="3"/>
        <v>75</v>
      </c>
      <c r="G18" s="456">
        <f>'Cap1hr1ln V8.32b'!C18</f>
        <v>1964</v>
      </c>
      <c r="H18" s="456">
        <f>'Cap1hr1ln V8.32b'!D18</f>
        <v>1964</v>
      </c>
      <c r="I18" s="456">
        <f>'Cap1hr1ln V8.32b'!E18</f>
        <v>1964</v>
      </c>
      <c r="J18" s="456">
        <f>'Cap1hr1ln V8.32b'!F18</f>
        <v>1924</v>
      </c>
      <c r="K18" s="456">
        <f>'Cap1hr1ln V8.32b'!G18</f>
        <v>1866</v>
      </c>
      <c r="L18" s="456">
        <f>'Cap1hr1ln V8.32b'!H18</f>
        <v>1787</v>
      </c>
      <c r="M18" s="456">
        <f>'Cap1hr1ln V8.32b'!I18</f>
        <v>1728</v>
      </c>
      <c r="N18" s="252"/>
      <c r="O18" s="252"/>
      <c r="P18" s="252"/>
      <c r="T18" s="252"/>
    </row>
    <row r="19" spans="1:20" x14ac:dyDescent="0.2">
      <c r="A19" s="264">
        <v>24</v>
      </c>
      <c r="B19" s="262">
        <f>ROUND('SFF 8.3'!C24, 0)</f>
        <v>73</v>
      </c>
      <c r="C19" s="253">
        <f t="shared" si="3"/>
        <v>73</v>
      </c>
      <c r="D19" s="253">
        <f t="shared" si="3"/>
        <v>73</v>
      </c>
      <c r="E19" s="253">
        <f t="shared" si="3"/>
        <v>73</v>
      </c>
      <c r="F19" s="253">
        <f t="shared" si="3"/>
        <v>73</v>
      </c>
      <c r="G19" s="456">
        <f>'Cap1hr1ln V8.32b'!C19</f>
        <v>2664</v>
      </c>
      <c r="H19" s="456">
        <f>'Cap1hr1ln V8.32b'!D19</f>
        <v>2314</v>
      </c>
      <c r="I19" s="456">
        <f>'Cap1hr1ln V8.32b'!E19</f>
        <v>2197</v>
      </c>
      <c r="J19" s="456">
        <f>'Cap1hr1ln V8.32b'!F19</f>
        <v>2099</v>
      </c>
      <c r="K19" s="456">
        <f>'Cap1hr1ln V8.32b'!G19</f>
        <v>2006</v>
      </c>
      <c r="L19" s="456">
        <f>'Cap1hr1ln V8.32b'!H19</f>
        <v>1904</v>
      </c>
      <c r="M19" s="456">
        <f>'Cap1hr1ln V8.32b'!I19</f>
        <v>1828</v>
      </c>
      <c r="N19" s="252"/>
      <c r="O19" s="252"/>
      <c r="P19" s="252"/>
      <c r="T19" s="252"/>
    </row>
    <row r="20" spans="1:20" x14ac:dyDescent="0.2">
      <c r="A20" s="264">
        <v>25</v>
      </c>
      <c r="B20" s="262">
        <f>ROUND('SFF 8.3'!C25, 0)</f>
        <v>78</v>
      </c>
      <c r="C20" s="253">
        <f t="shared" si="3"/>
        <v>78</v>
      </c>
      <c r="D20" s="253">
        <f t="shared" si="3"/>
        <v>78</v>
      </c>
      <c r="E20" s="253">
        <f t="shared" si="3"/>
        <v>78</v>
      </c>
      <c r="F20" s="253">
        <f t="shared" si="3"/>
        <v>78</v>
      </c>
      <c r="G20" s="456">
        <f>'Cap1hr1ln V8.32b'!C20</f>
        <v>2006</v>
      </c>
      <c r="H20" s="456">
        <f>'Cap1hr1ln V8.32b'!D20</f>
        <v>2006</v>
      </c>
      <c r="I20" s="456">
        <f>'Cap1hr1ln V8.32b'!E20</f>
        <v>2006</v>
      </c>
      <c r="J20" s="456">
        <f>'Cap1hr1ln V8.32b'!F20</f>
        <v>1965</v>
      </c>
      <c r="K20" s="456">
        <f>'Cap1hr1ln V8.32b'!G20</f>
        <v>1905</v>
      </c>
      <c r="L20" s="456">
        <f>'Cap1hr1ln V8.32b'!H20</f>
        <v>1825</v>
      </c>
      <c r="M20" s="456">
        <f>'Cap1hr1ln V8.32b'!I20</f>
        <v>1765</v>
      </c>
      <c r="N20" s="252"/>
      <c r="O20" s="252"/>
      <c r="P20" s="252"/>
      <c r="T20" s="252"/>
    </row>
    <row r="21" spans="1:20" x14ac:dyDescent="0.2">
      <c r="A21" s="264">
        <v>26</v>
      </c>
      <c r="B21" s="262">
        <f>ROUND('SFF 8.3'!C26, 0)</f>
        <v>75</v>
      </c>
      <c r="C21" s="253">
        <f t="shared" si="3"/>
        <v>75</v>
      </c>
      <c r="D21" s="253">
        <f t="shared" si="3"/>
        <v>75</v>
      </c>
      <c r="E21" s="253">
        <f t="shared" si="3"/>
        <v>75</v>
      </c>
      <c r="F21" s="253">
        <f t="shared" si="3"/>
        <v>75</v>
      </c>
      <c r="G21" s="456">
        <f>'Cap1hr1ln V8.32b'!C21</f>
        <v>2706</v>
      </c>
      <c r="H21" s="456">
        <f>'Cap1hr1ln V8.32b'!D21</f>
        <v>2356</v>
      </c>
      <c r="I21" s="456">
        <f>'Cap1hr1ln V8.32b'!E21</f>
        <v>2239</v>
      </c>
      <c r="J21" s="456">
        <f>'Cap1hr1ln V8.32b'!F21</f>
        <v>2140</v>
      </c>
      <c r="K21" s="456">
        <f>'Cap1hr1ln V8.32b'!G21</f>
        <v>2045</v>
      </c>
      <c r="L21" s="456">
        <f>'Cap1hr1ln V8.32b'!H21</f>
        <v>1942</v>
      </c>
      <c r="M21" s="456">
        <f>'Cap1hr1ln V8.32b'!I21</f>
        <v>1865</v>
      </c>
      <c r="N21" s="252"/>
      <c r="O21" s="252"/>
      <c r="P21" s="252"/>
      <c r="T21" s="252"/>
    </row>
    <row r="22" spans="1:20" x14ac:dyDescent="0.2">
      <c r="A22" s="264">
        <v>27</v>
      </c>
      <c r="B22" s="262">
        <f>ROUND('SFF 8.3'!C27, 0)</f>
        <v>77</v>
      </c>
      <c r="C22" s="253">
        <f t="shared" si="3"/>
        <v>77</v>
      </c>
      <c r="D22" s="253">
        <f t="shared" si="3"/>
        <v>77</v>
      </c>
      <c r="E22" s="253">
        <f t="shared" si="3"/>
        <v>77</v>
      </c>
      <c r="F22" s="253">
        <f t="shared" si="3"/>
        <v>77</v>
      </c>
      <c r="G22" s="456">
        <f>'Cap1hr1ln V8.32b'!C22</f>
        <v>2706</v>
      </c>
      <c r="H22" s="456">
        <f>'Cap1hr1ln V8.32b'!D22</f>
        <v>2356</v>
      </c>
      <c r="I22" s="456">
        <f>'Cap1hr1ln V8.32b'!E22</f>
        <v>2239</v>
      </c>
      <c r="J22" s="456">
        <f>'Cap1hr1ln V8.32b'!F22</f>
        <v>2140</v>
      </c>
      <c r="K22" s="456">
        <f>'Cap1hr1ln V8.32b'!G22</f>
        <v>2045</v>
      </c>
      <c r="L22" s="456">
        <f>'Cap1hr1ln V8.32b'!H22</f>
        <v>1942</v>
      </c>
      <c r="M22" s="456">
        <f>'Cap1hr1ln V8.32b'!I22</f>
        <v>1865</v>
      </c>
      <c r="N22" s="252"/>
      <c r="O22" s="252"/>
      <c r="P22" s="252"/>
      <c r="T22" s="252"/>
    </row>
    <row r="23" spans="1:20" x14ac:dyDescent="0.2">
      <c r="A23" s="264">
        <v>28</v>
      </c>
      <c r="B23" s="262">
        <f>ROUND('SFF 8.3'!C28, 0)</f>
        <v>23</v>
      </c>
      <c r="C23" s="253">
        <f t="shared" si="3"/>
        <v>23</v>
      </c>
      <c r="D23" s="253">
        <f t="shared" si="3"/>
        <v>23</v>
      </c>
      <c r="E23" s="253">
        <f t="shared" si="3"/>
        <v>23</v>
      </c>
      <c r="F23" s="253">
        <f t="shared" si="3"/>
        <v>23</v>
      </c>
      <c r="G23" s="456">
        <f>'Cap1hr1ln V8.32b'!C23</f>
        <v>1200</v>
      </c>
      <c r="H23" s="456">
        <f>'Cap1hr1ln V8.32b'!D23</f>
        <v>900</v>
      </c>
      <c r="I23" s="456">
        <f>'Cap1hr1ln V8.32b'!E23</f>
        <v>600</v>
      </c>
      <c r="J23" s="456">
        <f>'Cap1hr1ln V8.32b'!F23</f>
        <v>600</v>
      </c>
      <c r="K23" s="456">
        <f>'Cap1hr1ln V8.32b'!G23</f>
        <v>600</v>
      </c>
      <c r="L23" s="456">
        <f>'Cap1hr1ln V8.32b'!H23</f>
        <v>600</v>
      </c>
      <c r="M23" s="456">
        <f>'Cap1hr1ln V8.32b'!I23</f>
        <v>600</v>
      </c>
      <c r="N23" s="252"/>
      <c r="O23" s="252"/>
      <c r="P23" s="252"/>
      <c r="T23" s="252"/>
    </row>
    <row r="24" spans="1:20" x14ac:dyDescent="0.2">
      <c r="A24" s="264">
        <v>29</v>
      </c>
      <c r="B24" s="262">
        <f>ROUND('SFF 8.3'!C29, 0)</f>
        <v>26</v>
      </c>
      <c r="C24" s="253">
        <f t="shared" si="3"/>
        <v>26</v>
      </c>
      <c r="D24" s="253">
        <f t="shared" si="3"/>
        <v>26</v>
      </c>
      <c r="E24" s="253">
        <f t="shared" si="3"/>
        <v>26</v>
      </c>
      <c r="F24" s="253">
        <f t="shared" si="3"/>
        <v>26</v>
      </c>
      <c r="G24" s="456">
        <f>'Cap1hr1ln V8.32b'!C24</f>
        <v>894</v>
      </c>
      <c r="H24" s="456">
        <f>'Cap1hr1ln V8.32b'!D24</f>
        <v>858</v>
      </c>
      <c r="I24" s="456">
        <f>'Cap1hr1ln V8.32b'!E24</f>
        <v>822</v>
      </c>
      <c r="J24" s="456">
        <f>'Cap1hr1ln V8.32b'!F24</f>
        <v>803</v>
      </c>
      <c r="K24" s="456">
        <f>'Cap1hr1ln V8.32b'!G24</f>
        <v>784</v>
      </c>
      <c r="L24" s="456">
        <f>'Cap1hr1ln V8.32b'!H24</f>
        <v>766</v>
      </c>
      <c r="M24" s="456">
        <f>'Cap1hr1ln V8.32b'!I24</f>
        <v>748</v>
      </c>
      <c r="N24" s="252"/>
      <c r="O24" s="252"/>
      <c r="P24" s="252"/>
      <c r="T24" s="252"/>
    </row>
    <row r="25" spans="1:20" x14ac:dyDescent="0.2">
      <c r="A25" s="264">
        <v>30</v>
      </c>
      <c r="B25" s="262">
        <f>ROUND('SFF 8.3'!C31, 0)</f>
        <v>35</v>
      </c>
      <c r="C25" s="253">
        <f t="shared" ref="C25:F25" si="4">B25</f>
        <v>35</v>
      </c>
      <c r="D25" s="253">
        <f t="shared" si="4"/>
        <v>35</v>
      </c>
      <c r="E25" s="253">
        <f t="shared" si="4"/>
        <v>35</v>
      </c>
      <c r="F25" s="253">
        <f t="shared" si="4"/>
        <v>35</v>
      </c>
      <c r="G25" s="456">
        <f>'Cap1hr1ln V8.32b'!C25</f>
        <v>1325</v>
      </c>
      <c r="H25" s="456">
        <f>'Cap1hr1ln V8.32b'!D25</f>
        <v>1060</v>
      </c>
      <c r="I25" s="456">
        <f>'Cap1hr1ln V8.32b'!E25</f>
        <v>848</v>
      </c>
      <c r="J25" s="456">
        <f>'Cap1hr1ln V8.32b'!F25</f>
        <v>848</v>
      </c>
      <c r="K25" s="456">
        <f>'Cap1hr1ln V8.32b'!G25</f>
        <v>848</v>
      </c>
      <c r="L25" s="456">
        <f>'Cap1hr1ln V8.32b'!H25</f>
        <v>848</v>
      </c>
      <c r="M25" s="456">
        <f>'Cap1hr1ln V8.32b'!I25</f>
        <v>848</v>
      </c>
      <c r="N25" s="252"/>
      <c r="O25" s="252"/>
      <c r="P25" s="252"/>
      <c r="S25" s="252"/>
      <c r="T25" s="252"/>
    </row>
    <row r="26" spans="1:20" x14ac:dyDescent="0.2">
      <c r="A26" s="264">
        <v>31</v>
      </c>
      <c r="B26" s="262">
        <f>ROUND('SFF 8.3'!C32, 0)</f>
        <v>55</v>
      </c>
      <c r="C26" s="253">
        <f t="shared" ref="C26:F26" si="5">B26</f>
        <v>55</v>
      </c>
      <c r="D26" s="253">
        <f t="shared" si="5"/>
        <v>55</v>
      </c>
      <c r="E26" s="253">
        <f t="shared" si="5"/>
        <v>55</v>
      </c>
      <c r="F26" s="253">
        <f t="shared" si="5"/>
        <v>55</v>
      </c>
      <c r="G26" s="456">
        <f>'Cap1hr1ln V8.32b'!C26</f>
        <v>1473</v>
      </c>
      <c r="H26" s="456">
        <f>'Cap1hr1ln V8.32b'!D26</f>
        <v>1473</v>
      </c>
      <c r="I26" s="456">
        <f>'Cap1hr1ln V8.32b'!E26</f>
        <v>1473</v>
      </c>
      <c r="J26" s="456">
        <f>'Cap1hr1ln V8.32b'!F26</f>
        <v>1443</v>
      </c>
      <c r="K26" s="456">
        <f>'Cap1hr1ln V8.32b'!G26</f>
        <v>1399</v>
      </c>
      <c r="L26" s="456">
        <f>'Cap1hr1ln V8.32b'!H26</f>
        <v>1340</v>
      </c>
      <c r="M26" s="456">
        <f>'Cap1hr1ln V8.32b'!I26</f>
        <v>1296</v>
      </c>
      <c r="N26" s="252"/>
      <c r="O26" s="252"/>
      <c r="P26" s="252"/>
      <c r="Q26" s="252"/>
      <c r="S26" s="252"/>
      <c r="T26" s="252"/>
    </row>
    <row r="27" spans="1:20" x14ac:dyDescent="0.2">
      <c r="A27" s="264">
        <v>32</v>
      </c>
      <c r="B27" s="262">
        <f>ROUND('SFF 8.3'!C33, 0)</f>
        <v>65</v>
      </c>
      <c r="C27" s="253">
        <f t="shared" ref="C27:F27" si="6">B27</f>
        <v>65</v>
      </c>
      <c r="D27" s="253">
        <f t="shared" si="6"/>
        <v>65</v>
      </c>
      <c r="E27" s="253">
        <f t="shared" si="6"/>
        <v>65</v>
      </c>
      <c r="F27" s="253">
        <f t="shared" si="6"/>
        <v>65</v>
      </c>
      <c r="G27" s="456">
        <f>'Cap1hr1ln V8.32b'!C27</f>
        <v>1693</v>
      </c>
      <c r="H27" s="456">
        <f>'Cap1hr1ln V8.32b'!D27</f>
        <v>1693</v>
      </c>
      <c r="I27" s="456">
        <f>'Cap1hr1ln V8.32b'!E27</f>
        <v>1693</v>
      </c>
      <c r="J27" s="456">
        <f>'Cap1hr1ln V8.32b'!F27</f>
        <v>1660</v>
      </c>
      <c r="K27" s="456">
        <f>'Cap1hr1ln V8.32b'!G27</f>
        <v>1609</v>
      </c>
      <c r="L27" s="456">
        <f>'Cap1hr1ln V8.32b'!H27</f>
        <v>1541</v>
      </c>
      <c r="M27" s="456">
        <f>'Cap1hr1ln V8.32b'!I27</f>
        <v>1490</v>
      </c>
    </row>
    <row r="28" spans="1:20" x14ac:dyDescent="0.2">
      <c r="A28" s="264">
        <v>33</v>
      </c>
      <c r="B28" s="262">
        <f>ROUND('SFF 8.3'!C34, 0)</f>
        <v>75</v>
      </c>
      <c r="C28" s="253">
        <f t="shared" ref="C28:F28" si="7">B28</f>
        <v>75</v>
      </c>
      <c r="D28" s="253">
        <f t="shared" si="7"/>
        <v>75</v>
      </c>
      <c r="E28" s="253">
        <f t="shared" si="7"/>
        <v>75</v>
      </c>
      <c r="F28" s="253">
        <f t="shared" si="7"/>
        <v>75</v>
      </c>
      <c r="G28" s="456">
        <f>'Cap1hr1ln V8.32b'!C28</f>
        <v>1730</v>
      </c>
      <c r="H28" s="456">
        <f>'Cap1hr1ln V8.32b'!D28</f>
        <v>1730</v>
      </c>
      <c r="I28" s="456">
        <f>'Cap1hr1ln V8.32b'!E28</f>
        <v>1730</v>
      </c>
      <c r="J28" s="456">
        <f>'Cap1hr1ln V8.32b'!F28</f>
        <v>1696</v>
      </c>
      <c r="K28" s="456">
        <f>'Cap1hr1ln V8.32b'!G28</f>
        <v>1644</v>
      </c>
      <c r="L28" s="456">
        <f>'Cap1hr1ln V8.32b'!H28</f>
        <v>1574</v>
      </c>
      <c r="M28" s="456">
        <f>'Cap1hr1ln V8.32b'!I28</f>
        <v>1523</v>
      </c>
    </row>
    <row r="29" spans="1:20" x14ac:dyDescent="0.2">
      <c r="A29" s="264">
        <v>34</v>
      </c>
      <c r="B29" s="262">
        <f>ROUND('SFF 8.3'!C35, 0)</f>
        <v>73</v>
      </c>
      <c r="C29" s="253">
        <f t="shared" ref="C29:F29" si="8">B29</f>
        <v>73</v>
      </c>
      <c r="D29" s="253">
        <f t="shared" si="8"/>
        <v>73</v>
      </c>
      <c r="E29" s="253">
        <f t="shared" si="8"/>
        <v>73</v>
      </c>
      <c r="F29" s="253">
        <f t="shared" si="8"/>
        <v>73</v>
      </c>
      <c r="G29" s="456">
        <f>'Cap1hr1ln V8.32b'!C29</f>
        <v>2430</v>
      </c>
      <c r="H29" s="456">
        <f>'Cap1hr1ln V8.32b'!D29</f>
        <v>2080</v>
      </c>
      <c r="I29" s="456">
        <f>'Cap1hr1ln V8.32b'!E29</f>
        <v>1964</v>
      </c>
      <c r="J29" s="456">
        <f>'Cap1hr1ln V8.32b'!F29</f>
        <v>1871</v>
      </c>
      <c r="K29" s="456">
        <f>'Cap1hr1ln V8.32b'!G29</f>
        <v>1784</v>
      </c>
      <c r="L29" s="456">
        <f>'Cap1hr1ln V8.32b'!H29</f>
        <v>1691</v>
      </c>
      <c r="M29" s="456">
        <f>'Cap1hr1ln V8.32b'!I29</f>
        <v>1623</v>
      </c>
    </row>
    <row r="30" spans="1:20" x14ac:dyDescent="0.2">
      <c r="A30" s="264">
        <v>35</v>
      </c>
      <c r="B30" s="262">
        <f>ROUND('SFF 8.3'!C36, 0)</f>
        <v>80</v>
      </c>
      <c r="C30" s="253">
        <f t="shared" ref="C30:F30" si="9">B30</f>
        <v>80</v>
      </c>
      <c r="D30" s="253">
        <f t="shared" si="9"/>
        <v>80</v>
      </c>
      <c r="E30" s="253">
        <f t="shared" si="9"/>
        <v>80</v>
      </c>
      <c r="F30" s="253">
        <f t="shared" si="9"/>
        <v>80</v>
      </c>
      <c r="G30" s="456">
        <f>'Cap1hr1ln V8.32b'!C30</f>
        <v>1767</v>
      </c>
      <c r="H30" s="456">
        <f>'Cap1hr1ln V8.32b'!D30</f>
        <v>1767</v>
      </c>
      <c r="I30" s="456">
        <f>'Cap1hr1ln V8.32b'!E30</f>
        <v>1767</v>
      </c>
      <c r="J30" s="456">
        <f>'Cap1hr1ln V8.32b'!F30</f>
        <v>1732</v>
      </c>
      <c r="K30" s="456">
        <f>'Cap1hr1ln V8.32b'!G30</f>
        <v>1679</v>
      </c>
      <c r="L30" s="456">
        <f>'Cap1hr1ln V8.32b'!H30</f>
        <v>1608</v>
      </c>
      <c r="M30" s="456">
        <f>'Cap1hr1ln V8.32b'!I30</f>
        <v>1555</v>
      </c>
    </row>
    <row r="31" spans="1:20" x14ac:dyDescent="0.2">
      <c r="A31" s="264">
        <v>36</v>
      </c>
      <c r="B31" s="262">
        <f>ROUND('SFF 8.3'!C37, 0)</f>
        <v>77</v>
      </c>
      <c r="C31" s="253">
        <f t="shared" ref="C31:F31" si="10">B31</f>
        <v>77</v>
      </c>
      <c r="D31" s="253">
        <f t="shared" si="10"/>
        <v>77</v>
      </c>
      <c r="E31" s="253">
        <f t="shared" si="10"/>
        <v>77</v>
      </c>
      <c r="F31" s="253">
        <f t="shared" si="10"/>
        <v>77</v>
      </c>
      <c r="G31" s="456">
        <f>'Cap1hr1ln V8.32b'!C31</f>
        <v>2467</v>
      </c>
      <c r="H31" s="456">
        <f>'Cap1hr1ln V8.32b'!D31</f>
        <v>2117</v>
      </c>
      <c r="I31" s="456">
        <f>'Cap1hr1ln V8.32b'!E31</f>
        <v>2000</v>
      </c>
      <c r="J31" s="456">
        <f>'Cap1hr1ln V8.32b'!F31</f>
        <v>1907</v>
      </c>
      <c r="K31" s="456">
        <f>'Cap1hr1ln V8.32b'!G31</f>
        <v>1819</v>
      </c>
      <c r="L31" s="456">
        <f>'Cap1hr1ln V8.32b'!H31</f>
        <v>1725</v>
      </c>
      <c r="M31" s="456">
        <f>'Cap1hr1ln V8.32b'!I31</f>
        <v>1655</v>
      </c>
    </row>
    <row r="32" spans="1:20" x14ac:dyDescent="0.2">
      <c r="A32" s="264">
        <v>37</v>
      </c>
      <c r="B32" s="262">
        <f>ROUND('SFF 8.3'!C38, 0)</f>
        <v>77</v>
      </c>
      <c r="C32" s="253">
        <f t="shared" ref="C32:F32" si="11">B32</f>
        <v>77</v>
      </c>
      <c r="D32" s="253">
        <f t="shared" si="11"/>
        <v>77</v>
      </c>
      <c r="E32" s="253">
        <f t="shared" si="11"/>
        <v>77</v>
      </c>
      <c r="F32" s="253">
        <f t="shared" si="11"/>
        <v>77</v>
      </c>
      <c r="G32" s="456">
        <f>'Cap1hr1ln V8.32b'!C32</f>
        <v>1767</v>
      </c>
      <c r="H32" s="456">
        <f>'Cap1hr1ln V8.32b'!D32</f>
        <v>1767</v>
      </c>
      <c r="I32" s="456">
        <f>'Cap1hr1ln V8.32b'!E32</f>
        <v>1767</v>
      </c>
      <c r="J32" s="456">
        <f>'Cap1hr1ln V8.32b'!F32</f>
        <v>1732</v>
      </c>
      <c r="K32" s="456">
        <f>'Cap1hr1ln V8.32b'!G32</f>
        <v>1679</v>
      </c>
      <c r="L32" s="456">
        <f>'Cap1hr1ln V8.32b'!H32</f>
        <v>1608</v>
      </c>
      <c r="M32" s="456">
        <f>'Cap1hr1ln V8.32b'!I32</f>
        <v>1555</v>
      </c>
    </row>
    <row r="33" spans="1:13" x14ac:dyDescent="0.2">
      <c r="A33" s="264">
        <v>38</v>
      </c>
      <c r="B33" s="262">
        <f>ROUND('SFF 8.3'!C39, 0)</f>
        <v>77</v>
      </c>
      <c r="C33" s="253">
        <f t="shared" ref="C33:F33" si="12">B33</f>
        <v>77</v>
      </c>
      <c r="D33" s="253">
        <f t="shared" si="12"/>
        <v>77</v>
      </c>
      <c r="E33" s="253">
        <f t="shared" si="12"/>
        <v>77</v>
      </c>
      <c r="F33" s="253">
        <f t="shared" si="12"/>
        <v>77</v>
      </c>
      <c r="G33" s="456">
        <f>'Cap1hr1ln V8.32b'!C33</f>
        <v>1767</v>
      </c>
      <c r="H33" s="456">
        <f>'Cap1hr1ln V8.32b'!D33</f>
        <v>1767</v>
      </c>
      <c r="I33" s="456">
        <f>'Cap1hr1ln V8.32b'!E33</f>
        <v>1767</v>
      </c>
      <c r="J33" s="456">
        <f>'Cap1hr1ln V8.32b'!F33</f>
        <v>1732</v>
      </c>
      <c r="K33" s="456">
        <f>'Cap1hr1ln V8.32b'!G33</f>
        <v>1679</v>
      </c>
      <c r="L33" s="456">
        <f>'Cap1hr1ln V8.32b'!H33</f>
        <v>1608</v>
      </c>
      <c r="M33" s="456">
        <f>'Cap1hr1ln V8.32b'!I33</f>
        <v>1555</v>
      </c>
    </row>
    <row r="34" spans="1:13" x14ac:dyDescent="0.2">
      <c r="A34" s="264">
        <v>39</v>
      </c>
      <c r="B34" s="262">
        <f>ROUND('SFF 8.3'!C40, 0)</f>
        <v>77</v>
      </c>
      <c r="C34" s="253">
        <f t="shared" ref="C34:F34" si="13">B34</f>
        <v>77</v>
      </c>
      <c r="D34" s="253">
        <f t="shared" si="13"/>
        <v>77</v>
      </c>
      <c r="E34" s="253">
        <f t="shared" si="13"/>
        <v>77</v>
      </c>
      <c r="F34" s="253">
        <f t="shared" si="13"/>
        <v>77</v>
      </c>
      <c r="G34" s="456">
        <f>'Cap1hr1ln V8.32b'!C34</f>
        <v>1767</v>
      </c>
      <c r="H34" s="456">
        <f>'Cap1hr1ln V8.32b'!D34</f>
        <v>1767</v>
      </c>
      <c r="I34" s="456">
        <f>'Cap1hr1ln V8.32b'!E34</f>
        <v>1767</v>
      </c>
      <c r="J34" s="456">
        <f>'Cap1hr1ln V8.32b'!F34</f>
        <v>1732</v>
      </c>
      <c r="K34" s="456">
        <f>'Cap1hr1ln V8.32b'!G34</f>
        <v>1679</v>
      </c>
      <c r="L34" s="456">
        <f>'Cap1hr1ln V8.32b'!H34</f>
        <v>1608</v>
      </c>
      <c r="M34" s="456">
        <f>'Cap1hr1ln V8.32b'!I34</f>
        <v>1555</v>
      </c>
    </row>
    <row r="35" spans="1:13" x14ac:dyDescent="0.2">
      <c r="A35" s="264">
        <v>40</v>
      </c>
      <c r="B35" s="262">
        <f>ROUND('SFF 8.3'!C41, 0)</f>
        <v>84</v>
      </c>
      <c r="C35" s="253">
        <f t="shared" ref="C35:F35" si="14">B35</f>
        <v>84</v>
      </c>
      <c r="D35" s="253">
        <f t="shared" si="14"/>
        <v>84</v>
      </c>
      <c r="E35" s="253">
        <f t="shared" si="14"/>
        <v>84</v>
      </c>
      <c r="F35" s="253">
        <f t="shared" si="14"/>
        <v>84</v>
      </c>
      <c r="G35" s="456">
        <f>'Cap1hr1ln V8.32b'!C35</f>
        <v>2685</v>
      </c>
      <c r="H35" s="456">
        <f>'Cap1hr1ln V8.32b'!D35</f>
        <v>2335</v>
      </c>
      <c r="I35" s="456">
        <f>'Cap1hr1ln V8.32b'!E35</f>
        <v>2218</v>
      </c>
      <c r="J35" s="456">
        <f>'Cap1hr1ln V8.32b'!F35</f>
        <v>2120</v>
      </c>
      <c r="K35" s="456">
        <f>'Cap1hr1ln V8.32b'!G35</f>
        <v>2025</v>
      </c>
      <c r="L35" s="456">
        <f>'Cap1hr1ln V8.32b'!H35</f>
        <v>1923</v>
      </c>
      <c r="M35" s="456">
        <f>'Cap1hr1ln V8.32b'!I35</f>
        <v>1846</v>
      </c>
    </row>
    <row r="36" spans="1:13" x14ac:dyDescent="0.2">
      <c r="A36" s="264">
        <v>41</v>
      </c>
      <c r="B36" s="262">
        <f>ROUND('SFF 8.3'!C42, 0)</f>
        <v>23</v>
      </c>
      <c r="C36" s="253">
        <f t="shared" ref="C36:F36" si="15">B36</f>
        <v>23</v>
      </c>
      <c r="D36" s="253">
        <f t="shared" si="15"/>
        <v>23</v>
      </c>
      <c r="E36" s="253">
        <f t="shared" si="15"/>
        <v>23</v>
      </c>
      <c r="F36" s="253">
        <f t="shared" si="15"/>
        <v>23</v>
      </c>
      <c r="G36" s="456">
        <f>'Cap1hr1ln V8.32b'!C36</f>
        <v>1200</v>
      </c>
      <c r="H36" s="456">
        <f>'Cap1hr1ln V8.32b'!D36</f>
        <v>900</v>
      </c>
      <c r="I36" s="456">
        <f>'Cap1hr1ln V8.32b'!E36</f>
        <v>600</v>
      </c>
      <c r="J36" s="456">
        <f>'Cap1hr1ln V8.32b'!F36</f>
        <v>600</v>
      </c>
      <c r="K36" s="456">
        <f>'Cap1hr1ln V8.32b'!G36</f>
        <v>600</v>
      </c>
      <c r="L36" s="456">
        <f>'Cap1hr1ln V8.32b'!H36</f>
        <v>600</v>
      </c>
      <c r="M36" s="456">
        <f>'Cap1hr1ln V8.32b'!I36</f>
        <v>600</v>
      </c>
    </row>
    <row r="37" spans="1:13" x14ac:dyDescent="0.2">
      <c r="A37" s="264">
        <v>42</v>
      </c>
      <c r="B37" s="262">
        <f>ROUND('SFF 8.3'!C43, 0)</f>
        <v>26</v>
      </c>
      <c r="C37" s="253">
        <f t="shared" ref="C37:F37" si="16">B37</f>
        <v>26</v>
      </c>
      <c r="D37" s="253">
        <f t="shared" si="16"/>
        <v>26</v>
      </c>
      <c r="E37" s="253">
        <f t="shared" si="16"/>
        <v>26</v>
      </c>
      <c r="F37" s="253">
        <f t="shared" si="16"/>
        <v>26</v>
      </c>
      <c r="G37" s="456">
        <f>'Cap1hr1ln V8.32b'!C37</f>
        <v>894</v>
      </c>
      <c r="H37" s="456">
        <f>'Cap1hr1ln V8.32b'!D37</f>
        <v>858</v>
      </c>
      <c r="I37" s="456">
        <f>'Cap1hr1ln V8.32b'!E37</f>
        <v>822</v>
      </c>
      <c r="J37" s="456">
        <f>'Cap1hr1ln V8.32b'!F37</f>
        <v>803</v>
      </c>
      <c r="K37" s="456">
        <f>'Cap1hr1ln V8.32b'!G37</f>
        <v>784</v>
      </c>
      <c r="L37" s="456">
        <f>'Cap1hr1ln V8.32b'!H37</f>
        <v>766</v>
      </c>
      <c r="M37" s="456">
        <f>'Cap1hr1ln V8.32b'!I37</f>
        <v>748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I94"/>
  <sheetViews>
    <sheetView showGridLines="0" view="pageBreakPreview" zoomScale="85" zoomScaleNormal="85" zoomScaleSheetLayoutView="85" workbookViewId="0">
      <selection activeCell="I9" sqref="I9"/>
    </sheetView>
  </sheetViews>
  <sheetFormatPr defaultColWidth="9.140625" defaultRowHeight="12.75" x14ac:dyDescent="0.2"/>
  <cols>
    <col min="1" max="1" width="6.7109375" style="125" customWidth="1"/>
    <col min="2" max="2" width="34.7109375" style="124" customWidth="1"/>
    <col min="3" max="3" width="8.7109375" style="133" customWidth="1"/>
    <col min="4" max="4" width="8.7109375" style="125" customWidth="1"/>
    <col min="5" max="5" width="8.7109375" style="124" customWidth="1"/>
    <col min="6" max="6" width="8.7109375" style="134" customWidth="1"/>
    <col min="7" max="7" width="8.7109375" style="124" customWidth="1"/>
    <col min="8" max="8" width="5.7109375" style="124" customWidth="1"/>
    <col min="9" max="9" width="6" style="124" customWidth="1"/>
    <col min="10" max="10" width="41.140625" style="124" bestFit="1" customWidth="1"/>
    <col min="11" max="16384" width="9.140625" style="124"/>
  </cols>
  <sheetData>
    <row r="1" spans="1:9" ht="23.25" x14ac:dyDescent="0.35">
      <c r="A1" s="465" t="s">
        <v>555</v>
      </c>
      <c r="B1" s="465"/>
      <c r="C1" s="465"/>
      <c r="D1" s="465"/>
      <c r="E1" s="465"/>
      <c r="F1" s="465"/>
      <c r="G1" s="465"/>
      <c r="H1" s="465"/>
      <c r="I1" s="319"/>
    </row>
    <row r="2" spans="1:9" ht="24.75" customHeight="1" x14ac:dyDescent="0.2">
      <c r="B2" s="126"/>
      <c r="C2" s="463" t="s">
        <v>402</v>
      </c>
      <c r="D2" s="463"/>
      <c r="E2" s="463"/>
      <c r="F2" s="463"/>
      <c r="G2" s="463"/>
    </row>
    <row r="3" spans="1:9" x14ac:dyDescent="0.2">
      <c r="A3" s="127" t="s">
        <v>455</v>
      </c>
      <c r="B3" s="126"/>
      <c r="C3" s="127">
        <v>1</v>
      </c>
      <c r="D3" s="127">
        <v>2</v>
      </c>
      <c r="E3" s="127">
        <v>3</v>
      </c>
      <c r="F3" s="127">
        <v>4</v>
      </c>
      <c r="G3" s="127">
        <v>5</v>
      </c>
    </row>
    <row r="4" spans="1:9" ht="13.9" customHeight="1" x14ac:dyDescent="0.2">
      <c r="A4" s="127" t="s">
        <v>403</v>
      </c>
      <c r="B4" s="128" t="s">
        <v>404</v>
      </c>
      <c r="C4" s="128" t="s">
        <v>261</v>
      </c>
      <c r="D4" s="128" t="s">
        <v>161</v>
      </c>
      <c r="E4" s="128" t="s">
        <v>4</v>
      </c>
      <c r="F4" s="128" t="s">
        <v>3</v>
      </c>
      <c r="G4" s="128" t="s">
        <v>405</v>
      </c>
      <c r="H4" s="127"/>
      <c r="I4" s="127"/>
    </row>
    <row r="5" spans="1:9" s="127" customFormat="1" x14ac:dyDescent="0.2">
      <c r="A5" s="125">
        <v>1</v>
      </c>
      <c r="B5" s="124" t="s">
        <v>406</v>
      </c>
      <c r="C5" s="213">
        <f t="shared" ref="C5:G8" si="0">1 / ((1/C53) + (C65*C$77/3600))</f>
        <v>30</v>
      </c>
      <c r="D5" s="213">
        <f t="shared" si="0"/>
        <v>24</v>
      </c>
      <c r="E5" s="213">
        <f t="shared" si="0"/>
        <v>20.16</v>
      </c>
      <c r="F5" s="213">
        <f t="shared" si="0"/>
        <v>17.034700315457414</v>
      </c>
      <c r="G5" s="213">
        <f t="shared" si="0"/>
        <v>13.535791757049891</v>
      </c>
      <c r="H5" s="124"/>
      <c r="I5" s="124"/>
    </row>
    <row r="6" spans="1:9" x14ac:dyDescent="0.2">
      <c r="A6" s="125">
        <v>2</v>
      </c>
      <c r="B6" s="124" t="s">
        <v>454</v>
      </c>
      <c r="C6" s="212">
        <f t="shared" si="0"/>
        <v>58</v>
      </c>
      <c r="D6" s="212">
        <f t="shared" si="0"/>
        <v>47.710843373493979</v>
      </c>
      <c r="E6" s="212">
        <f t="shared" si="0"/>
        <v>38.297872340425535</v>
      </c>
      <c r="F6" s="212">
        <f t="shared" si="0"/>
        <v>32.223940109040605</v>
      </c>
      <c r="G6" s="212">
        <f t="shared" si="0"/>
        <v>24.347826086956523</v>
      </c>
      <c r="H6" s="135"/>
    </row>
    <row r="7" spans="1:9" x14ac:dyDescent="0.2">
      <c r="A7" s="125">
        <v>3</v>
      </c>
      <c r="B7" s="124" t="s">
        <v>408</v>
      </c>
      <c r="C7" s="212">
        <f t="shared" si="0"/>
        <v>55</v>
      </c>
      <c r="D7" s="212">
        <f t="shared" si="0"/>
        <v>42.739726027397261</v>
      </c>
      <c r="E7" s="212">
        <f t="shared" si="0"/>
        <v>34.750462107208875</v>
      </c>
      <c r="F7" s="212">
        <f t="shared" si="0"/>
        <v>30.120940138434623</v>
      </c>
      <c r="G7" s="212">
        <f t="shared" si="0"/>
        <v>21.290322580645164</v>
      </c>
      <c r="H7" s="135"/>
    </row>
    <row r="8" spans="1:9" x14ac:dyDescent="0.2">
      <c r="A8" s="130">
        <v>4</v>
      </c>
      <c r="B8" s="124" t="s">
        <v>420</v>
      </c>
      <c r="C8" s="212">
        <f t="shared" si="0"/>
        <v>48</v>
      </c>
      <c r="D8" s="212">
        <f t="shared" si="0"/>
        <v>38.463287110706979</v>
      </c>
      <c r="E8" s="212">
        <f t="shared" si="0"/>
        <v>33.563032022699637</v>
      </c>
      <c r="F8" s="212">
        <f t="shared" si="0"/>
        <v>27.906976744186046</v>
      </c>
      <c r="G8" s="212">
        <f t="shared" si="0"/>
        <v>18.666666666666664</v>
      </c>
      <c r="H8" s="135"/>
    </row>
    <row r="9" spans="1:9" x14ac:dyDescent="0.2">
      <c r="A9" s="125">
        <v>5</v>
      </c>
      <c r="B9" s="124" t="s">
        <v>421</v>
      </c>
      <c r="C9" s="212">
        <f>C8-6</f>
        <v>42</v>
      </c>
      <c r="D9" s="212">
        <f>D8-6</f>
        <v>32.463287110706979</v>
      </c>
      <c r="E9" s="212">
        <f>E8-8</f>
        <v>25.563032022699637</v>
      </c>
      <c r="F9" s="212">
        <f>F8-5</f>
        <v>22.906976744186046</v>
      </c>
      <c r="G9" s="212">
        <f>G8-4</f>
        <v>14.666666666666664</v>
      </c>
      <c r="H9" s="135"/>
    </row>
    <row r="10" spans="1:9" x14ac:dyDescent="0.2">
      <c r="A10" s="130">
        <v>6</v>
      </c>
      <c r="B10" s="124" t="s">
        <v>159</v>
      </c>
      <c r="C10" s="132">
        <f>C5</f>
        <v>30</v>
      </c>
      <c r="D10" s="132">
        <f>D5</f>
        <v>24</v>
      </c>
      <c r="E10" s="132">
        <f>E5</f>
        <v>20.16</v>
      </c>
      <c r="F10" s="132">
        <f>F5</f>
        <v>17.034700315457414</v>
      </c>
      <c r="G10" s="132">
        <f>G5</f>
        <v>13.535791757049891</v>
      </c>
      <c r="H10" s="135"/>
    </row>
    <row r="11" spans="1:9" x14ac:dyDescent="0.2">
      <c r="A11" s="125">
        <v>7</v>
      </c>
      <c r="B11" s="124" t="s">
        <v>498</v>
      </c>
      <c r="C11" s="234">
        <v>15</v>
      </c>
      <c r="D11" s="132">
        <f>C11</f>
        <v>15</v>
      </c>
      <c r="E11" s="132">
        <f>D11</f>
        <v>15</v>
      </c>
      <c r="F11" s="132">
        <f>E11</f>
        <v>15</v>
      </c>
      <c r="G11" s="132">
        <f>F11</f>
        <v>15</v>
      </c>
      <c r="H11" s="135"/>
    </row>
    <row r="12" spans="1:9" x14ac:dyDescent="0.2">
      <c r="C12" s="129"/>
      <c r="D12" s="129"/>
      <c r="E12" s="129"/>
      <c r="F12" s="129"/>
      <c r="G12" s="129"/>
    </row>
    <row r="13" spans="1:9" x14ac:dyDescent="0.2">
      <c r="A13" s="127" t="s">
        <v>455</v>
      </c>
      <c r="C13" s="128" t="s">
        <v>455</v>
      </c>
      <c r="D13" s="128" t="s">
        <v>456</v>
      </c>
      <c r="E13" s="129"/>
      <c r="F13" s="129"/>
      <c r="G13" s="129"/>
    </row>
    <row r="14" spans="1:9" x14ac:dyDescent="0.2">
      <c r="A14" s="127" t="s">
        <v>403</v>
      </c>
      <c r="B14" s="128" t="s">
        <v>404</v>
      </c>
      <c r="C14" s="128" t="s">
        <v>410</v>
      </c>
      <c r="D14" s="128" t="s">
        <v>410</v>
      </c>
      <c r="E14" s="142" t="s">
        <v>441</v>
      </c>
    </row>
    <row r="15" spans="1:9" x14ac:dyDescent="0.2">
      <c r="A15" s="130">
        <v>12</v>
      </c>
      <c r="B15" s="124" t="s">
        <v>478</v>
      </c>
      <c r="C15" s="213">
        <f>1 / ((1/C58) + (C70*C79/3600))</f>
        <v>56.124721603563479</v>
      </c>
      <c r="D15" s="134"/>
      <c r="E15" s="135"/>
      <c r="F15" s="135"/>
    </row>
    <row r="16" spans="1:9" x14ac:dyDescent="0.2">
      <c r="A16" s="125">
        <v>13</v>
      </c>
      <c r="B16" s="124" t="s">
        <v>479</v>
      </c>
      <c r="C16" s="213">
        <f>1 / ((1/C59) + (C71*C80/3600))</f>
        <v>53.333333333333336</v>
      </c>
      <c r="D16" s="134"/>
      <c r="E16" s="135"/>
    </row>
    <row r="17" spans="1:8" x14ac:dyDescent="0.2">
      <c r="A17" s="125">
        <v>14</v>
      </c>
      <c r="B17" s="124" t="s">
        <v>480</v>
      </c>
      <c r="C17" s="213">
        <f>1 / ((1/C60) + (C72*C81/3600))</f>
        <v>47.710843373493979</v>
      </c>
      <c r="E17" s="135"/>
      <c r="F17" s="135"/>
    </row>
    <row r="18" spans="1:8" x14ac:dyDescent="0.2">
      <c r="A18" s="130">
        <v>15</v>
      </c>
      <c r="B18" s="124" t="s">
        <v>481</v>
      </c>
      <c r="C18" s="213">
        <f>1 / ((1/C61) + (C73*C82/3600))</f>
        <v>42.603550295857993</v>
      </c>
      <c r="E18" s="135"/>
      <c r="F18" s="135"/>
    </row>
    <row r="19" spans="1:8" x14ac:dyDescent="0.2">
      <c r="A19" s="130"/>
      <c r="C19" s="129"/>
      <c r="E19" s="135"/>
      <c r="F19" s="135"/>
    </row>
    <row r="20" spans="1:8" x14ac:dyDescent="0.2">
      <c r="A20" s="130">
        <v>20</v>
      </c>
      <c r="B20" s="124" t="e">
        <f>#REF!</f>
        <v>#REF!</v>
      </c>
      <c r="C20" s="322">
        <f t="shared" ref="C20:C27" si="1">C31</f>
        <v>35</v>
      </c>
      <c r="E20" s="135"/>
      <c r="F20" s="135"/>
    </row>
    <row r="21" spans="1:8" x14ac:dyDescent="0.2">
      <c r="A21" s="130">
        <v>21</v>
      </c>
      <c r="B21" s="124" t="e">
        <f>#REF!</f>
        <v>#REF!</v>
      </c>
      <c r="C21" s="322">
        <f t="shared" si="1"/>
        <v>55</v>
      </c>
      <c r="E21" s="135"/>
      <c r="F21" s="135"/>
    </row>
    <row r="22" spans="1:8" x14ac:dyDescent="0.2">
      <c r="A22" s="130">
        <v>22</v>
      </c>
      <c r="B22" s="124" t="e">
        <f>#REF!</f>
        <v>#REF!</v>
      </c>
      <c r="C22" s="322">
        <f t="shared" si="1"/>
        <v>65</v>
      </c>
      <c r="E22" s="135"/>
      <c r="F22" s="135"/>
    </row>
    <row r="23" spans="1:8" x14ac:dyDescent="0.2">
      <c r="A23" s="130">
        <v>23</v>
      </c>
      <c r="B23" s="124" t="e">
        <f>#REF!</f>
        <v>#REF!</v>
      </c>
      <c r="C23" s="322">
        <f t="shared" si="1"/>
        <v>75</v>
      </c>
      <c r="E23" s="135"/>
      <c r="F23" s="135"/>
    </row>
    <row r="24" spans="1:8" x14ac:dyDescent="0.2">
      <c r="A24" s="130">
        <v>24</v>
      </c>
      <c r="B24" s="124" t="e">
        <f>#REF!</f>
        <v>#REF!</v>
      </c>
      <c r="C24" s="322">
        <f t="shared" si="1"/>
        <v>73</v>
      </c>
      <c r="E24" s="135"/>
      <c r="F24" s="135"/>
    </row>
    <row r="25" spans="1:8" x14ac:dyDescent="0.2">
      <c r="A25" s="130">
        <v>25</v>
      </c>
      <c r="B25" s="124" t="e">
        <f>#REF!</f>
        <v>#REF!</v>
      </c>
      <c r="C25" s="322">
        <v>78</v>
      </c>
      <c r="E25" s="135"/>
      <c r="F25" s="135"/>
    </row>
    <row r="26" spans="1:8" x14ac:dyDescent="0.2">
      <c r="A26" s="130">
        <v>26</v>
      </c>
      <c r="B26" s="124" t="e">
        <f>#REF!</f>
        <v>#REF!</v>
      </c>
      <c r="C26" s="322">
        <v>75</v>
      </c>
      <c r="E26" s="135"/>
      <c r="F26" s="135"/>
    </row>
    <row r="27" spans="1:8" x14ac:dyDescent="0.2">
      <c r="A27" s="130">
        <v>27</v>
      </c>
      <c r="B27" s="124" t="e">
        <f>#REF!</f>
        <v>#REF!</v>
      </c>
      <c r="C27" s="322">
        <f t="shared" si="1"/>
        <v>77</v>
      </c>
      <c r="E27" s="135"/>
      <c r="F27" s="135"/>
    </row>
    <row r="28" spans="1:8" x14ac:dyDescent="0.2">
      <c r="A28" s="130">
        <v>28</v>
      </c>
      <c r="B28" s="124" t="e">
        <f>#REF!</f>
        <v>#REF!</v>
      </c>
      <c r="C28" s="212">
        <f>C42</f>
        <v>23</v>
      </c>
      <c r="E28" s="135"/>
      <c r="F28" s="135"/>
    </row>
    <row r="29" spans="1:8" x14ac:dyDescent="0.2">
      <c r="A29" s="130">
        <v>29</v>
      </c>
      <c r="B29" s="124" t="e">
        <f>#REF!</f>
        <v>#REF!</v>
      </c>
      <c r="C29" s="212">
        <f>C43</f>
        <v>26</v>
      </c>
      <c r="E29" s="135"/>
      <c r="F29" s="135"/>
    </row>
    <row r="30" spans="1:8" x14ac:dyDescent="0.2">
      <c r="A30" s="130"/>
      <c r="C30" s="129"/>
      <c r="E30" s="135"/>
      <c r="F30" s="135"/>
    </row>
    <row r="31" spans="1:8" x14ac:dyDescent="0.2">
      <c r="A31" s="125">
        <v>30</v>
      </c>
      <c r="B31" s="124" t="e">
        <f>#REF!</f>
        <v>#REF!</v>
      </c>
      <c r="C31" s="234">
        <v>35</v>
      </c>
      <c r="E31" s="143"/>
      <c r="F31" s="143"/>
      <c r="G31" s="143"/>
      <c r="H31" s="145"/>
    </row>
    <row r="32" spans="1:8" x14ac:dyDescent="0.2">
      <c r="A32" s="125">
        <v>31</v>
      </c>
      <c r="B32" s="124" t="e">
        <f>#REF!</f>
        <v>#REF!</v>
      </c>
      <c r="C32" s="234">
        <v>55</v>
      </c>
      <c r="E32" s="143"/>
      <c r="F32" s="143"/>
      <c r="G32" s="143"/>
      <c r="H32" s="146"/>
    </row>
    <row r="33" spans="1:8" x14ac:dyDescent="0.2">
      <c r="A33" s="125">
        <v>32</v>
      </c>
      <c r="B33" s="124" t="e">
        <f>#REF!</f>
        <v>#REF!</v>
      </c>
      <c r="C33" s="234">
        <v>65</v>
      </c>
      <c r="E33" s="143"/>
      <c r="F33" s="143"/>
      <c r="G33" s="143"/>
      <c r="H33" s="145"/>
    </row>
    <row r="34" spans="1:8" x14ac:dyDescent="0.2">
      <c r="A34" s="125">
        <v>33</v>
      </c>
      <c r="B34" s="124" t="e">
        <f>#REF!</f>
        <v>#REF!</v>
      </c>
      <c r="C34" s="234">
        <v>75</v>
      </c>
      <c r="E34" s="143"/>
      <c r="F34" s="143"/>
      <c r="G34" s="143"/>
      <c r="H34" s="145"/>
    </row>
    <row r="35" spans="1:8" x14ac:dyDescent="0.2">
      <c r="A35" s="125">
        <v>34</v>
      </c>
      <c r="B35" s="124" t="e">
        <f>#REF!</f>
        <v>#REF!</v>
      </c>
      <c r="C35" s="234">
        <v>73</v>
      </c>
      <c r="E35" s="143"/>
      <c r="F35" s="143"/>
      <c r="G35" s="143"/>
      <c r="H35" s="148"/>
    </row>
    <row r="36" spans="1:8" x14ac:dyDescent="0.2">
      <c r="A36" s="125">
        <v>35</v>
      </c>
      <c r="B36" s="124" t="e">
        <f>#REF!</f>
        <v>#REF!</v>
      </c>
      <c r="C36" s="234">
        <v>80</v>
      </c>
      <c r="E36" s="143"/>
      <c r="F36" s="143"/>
      <c r="G36" s="143"/>
      <c r="H36" s="146"/>
    </row>
    <row r="37" spans="1:8" x14ac:dyDescent="0.2">
      <c r="A37" s="125">
        <v>36</v>
      </c>
      <c r="B37" s="124" t="e">
        <f>#REF!</f>
        <v>#REF!</v>
      </c>
      <c r="C37" s="234">
        <v>77</v>
      </c>
      <c r="E37" s="143"/>
      <c r="F37" s="143"/>
      <c r="G37" s="143"/>
      <c r="H37" s="146"/>
    </row>
    <row r="38" spans="1:8" x14ac:dyDescent="0.2">
      <c r="A38" s="125">
        <v>37</v>
      </c>
      <c r="B38" s="124" t="e">
        <f>#REF!</f>
        <v>#REF!</v>
      </c>
      <c r="C38" s="234">
        <v>77</v>
      </c>
      <c r="E38" s="135"/>
      <c r="F38" s="124"/>
    </row>
    <row r="39" spans="1:8" x14ac:dyDescent="0.2">
      <c r="A39" s="125">
        <v>38</v>
      </c>
      <c r="B39" s="124" t="e">
        <f>#REF!</f>
        <v>#REF!</v>
      </c>
      <c r="C39" s="234">
        <v>77</v>
      </c>
      <c r="E39" s="147"/>
      <c r="F39" s="148"/>
      <c r="G39" s="148"/>
      <c r="H39" s="148"/>
    </row>
    <row r="40" spans="1:8" x14ac:dyDescent="0.2">
      <c r="A40" s="125">
        <v>39</v>
      </c>
      <c r="B40" s="124" t="e">
        <f>#REF!</f>
        <v>#REF!</v>
      </c>
      <c r="C40" s="234">
        <v>77</v>
      </c>
      <c r="E40" s="135"/>
      <c r="F40" s="124"/>
    </row>
    <row r="41" spans="1:8" x14ac:dyDescent="0.2">
      <c r="A41" s="125">
        <v>40</v>
      </c>
      <c r="B41" s="124" t="e">
        <f>#REF!</f>
        <v>#REF!</v>
      </c>
      <c r="C41" s="235">
        <v>84</v>
      </c>
      <c r="E41" s="135"/>
      <c r="F41" s="124"/>
    </row>
    <row r="42" spans="1:8" x14ac:dyDescent="0.2">
      <c r="A42" s="125">
        <v>41</v>
      </c>
      <c r="B42" s="124" t="e">
        <f>#REF!</f>
        <v>#REF!</v>
      </c>
      <c r="C42" s="234">
        <v>23</v>
      </c>
    </row>
    <row r="43" spans="1:8" x14ac:dyDescent="0.2">
      <c r="A43" s="125">
        <v>42</v>
      </c>
      <c r="B43" s="124" t="e">
        <f>#REF!</f>
        <v>#REF!</v>
      </c>
      <c r="C43" s="234">
        <v>26</v>
      </c>
    </row>
    <row r="44" spans="1:8" x14ac:dyDescent="0.2">
      <c r="C44" s="131"/>
      <c r="D44" s="131"/>
      <c r="E44" s="131"/>
      <c r="F44" s="131"/>
      <c r="G44" s="131"/>
    </row>
    <row r="45" spans="1:8" ht="15" x14ac:dyDescent="0.25">
      <c r="A45" s="144" t="s">
        <v>435</v>
      </c>
    </row>
    <row r="46" spans="1:8" x14ac:dyDescent="0.2">
      <c r="A46" s="137" t="s">
        <v>458</v>
      </c>
    </row>
    <row r="47" spans="1:8" x14ac:dyDescent="0.2">
      <c r="A47" s="137" t="s">
        <v>459</v>
      </c>
    </row>
    <row r="48" spans="1:8" x14ac:dyDescent="0.2">
      <c r="A48" s="137"/>
    </row>
    <row r="49" spans="1:8" ht="15" x14ac:dyDescent="0.25">
      <c r="A49" s="144" t="s">
        <v>554</v>
      </c>
      <c r="B49" s="136"/>
    </row>
    <row r="50" spans="1:8" x14ac:dyDescent="0.2">
      <c r="A50" s="137" t="s">
        <v>419</v>
      </c>
    </row>
    <row r="51" spans="1:8" x14ac:dyDescent="0.2">
      <c r="B51" s="464" t="s">
        <v>168</v>
      </c>
      <c r="C51" s="464"/>
      <c r="D51" s="464"/>
      <c r="E51" s="464"/>
      <c r="F51" s="464"/>
      <c r="G51" s="464"/>
    </row>
    <row r="52" spans="1:8" x14ac:dyDescent="0.2">
      <c r="B52" s="125"/>
      <c r="C52" s="138" t="s">
        <v>261</v>
      </c>
      <c r="D52" s="138" t="s">
        <v>161</v>
      </c>
      <c r="E52" s="138" t="s">
        <v>4</v>
      </c>
      <c r="F52" s="138" t="s">
        <v>3</v>
      </c>
      <c r="G52" s="128" t="s">
        <v>405</v>
      </c>
    </row>
    <row r="53" spans="1:8" x14ac:dyDescent="0.2">
      <c r="B53" s="139" t="s">
        <v>406</v>
      </c>
      <c r="C53" s="244">
        <v>30</v>
      </c>
      <c r="D53" s="244">
        <v>30</v>
      </c>
      <c r="E53" s="236">
        <v>28</v>
      </c>
      <c r="F53" s="236">
        <v>27</v>
      </c>
      <c r="G53" s="244">
        <v>26</v>
      </c>
    </row>
    <row r="54" spans="1:8" x14ac:dyDescent="0.2">
      <c r="B54" s="139" t="s">
        <v>407</v>
      </c>
      <c r="C54" s="236">
        <v>58</v>
      </c>
      <c r="D54" s="236">
        <v>55</v>
      </c>
      <c r="E54" s="244">
        <v>48</v>
      </c>
      <c r="F54" s="244">
        <v>44</v>
      </c>
      <c r="G54" s="244">
        <v>35</v>
      </c>
    </row>
    <row r="55" spans="1:8" x14ac:dyDescent="0.2">
      <c r="B55" s="139" t="s">
        <v>408</v>
      </c>
      <c r="C55" s="236">
        <v>55</v>
      </c>
      <c r="D55" s="236">
        <v>52</v>
      </c>
      <c r="E55" s="236">
        <v>47</v>
      </c>
      <c r="F55" s="236">
        <v>44</v>
      </c>
      <c r="G55" s="236">
        <v>33</v>
      </c>
    </row>
    <row r="56" spans="1:8" x14ac:dyDescent="0.2">
      <c r="B56" s="139" t="s">
        <v>409</v>
      </c>
      <c r="C56" s="236">
        <v>48</v>
      </c>
      <c r="D56" s="236">
        <v>47</v>
      </c>
      <c r="E56" s="236">
        <v>46</v>
      </c>
      <c r="F56" s="244">
        <v>40</v>
      </c>
      <c r="G56" s="244">
        <v>35</v>
      </c>
    </row>
    <row r="57" spans="1:8" x14ac:dyDescent="0.2">
      <c r="B57" s="139"/>
      <c r="C57" s="207"/>
      <c r="D57" s="207"/>
      <c r="E57" s="207"/>
      <c r="F57" s="207"/>
      <c r="G57" s="207"/>
    </row>
    <row r="58" spans="1:8" x14ac:dyDescent="0.2">
      <c r="B58" s="139" t="str">
        <f>B15</f>
        <v>Expressway, posted 60-70 mph</v>
      </c>
      <c r="C58" s="244">
        <v>63</v>
      </c>
      <c r="D58" s="208"/>
      <c r="E58" s="208"/>
      <c r="F58" s="208"/>
      <c r="G58" s="211"/>
    </row>
    <row r="59" spans="1:8" x14ac:dyDescent="0.2">
      <c r="B59" s="139" t="str">
        <f>B16</f>
        <v>Expressway, posted 55-65 mph</v>
      </c>
      <c r="C59" s="244">
        <v>60</v>
      </c>
      <c r="D59" s="208"/>
      <c r="E59" s="208"/>
      <c r="F59" s="208"/>
      <c r="G59" s="211"/>
    </row>
    <row r="60" spans="1:8" x14ac:dyDescent="0.2">
      <c r="B60" s="139" t="str">
        <f>B17</f>
        <v>Expressway, posted 50-60 mph</v>
      </c>
      <c r="C60" s="244">
        <v>55</v>
      </c>
      <c r="D60" s="208"/>
      <c r="E60" s="208"/>
      <c r="F60" s="208"/>
      <c r="G60" s="211"/>
    </row>
    <row r="61" spans="1:8" x14ac:dyDescent="0.2">
      <c r="B61" s="139" t="str">
        <f>B18</f>
        <v>Expressway, posted 45-55 mph</v>
      </c>
      <c r="C61" s="244">
        <v>50</v>
      </c>
      <c r="D61" s="208"/>
      <c r="E61" s="208"/>
      <c r="F61" s="208"/>
      <c r="G61" s="211"/>
    </row>
    <row r="62" spans="1:8" x14ac:dyDescent="0.2">
      <c r="D62" s="131"/>
      <c r="E62" s="131"/>
      <c r="F62" s="131"/>
      <c r="G62" s="125"/>
      <c r="H62" s="131"/>
    </row>
    <row r="63" spans="1:8" x14ac:dyDescent="0.2">
      <c r="B63" s="464" t="s">
        <v>163</v>
      </c>
      <c r="C63" s="464"/>
      <c r="D63" s="464"/>
      <c r="E63" s="464"/>
      <c r="F63" s="464"/>
      <c r="G63" s="464"/>
      <c r="H63" s="131"/>
    </row>
    <row r="64" spans="1:8" x14ac:dyDescent="0.2">
      <c r="B64" s="125"/>
      <c r="C64" s="138" t="s">
        <v>261</v>
      </c>
      <c r="D64" s="138" t="s">
        <v>161</v>
      </c>
      <c r="E64" s="138" t="s">
        <v>4</v>
      </c>
      <c r="F64" s="138" t="s">
        <v>3</v>
      </c>
      <c r="G64" s="128" t="s">
        <v>405</v>
      </c>
      <c r="H64" s="131"/>
    </row>
    <row r="65" spans="2:7" x14ac:dyDescent="0.2">
      <c r="B65" s="139" t="s">
        <v>406</v>
      </c>
      <c r="C65" s="237">
        <v>0</v>
      </c>
      <c r="D65" s="237">
        <v>3</v>
      </c>
      <c r="E65" s="237">
        <v>5</v>
      </c>
      <c r="F65" s="237">
        <v>6</v>
      </c>
      <c r="G65" s="237">
        <v>8.5</v>
      </c>
    </row>
    <row r="66" spans="2:7" x14ac:dyDescent="0.2">
      <c r="B66" s="139" t="s">
        <v>407</v>
      </c>
      <c r="C66" s="237">
        <v>0</v>
      </c>
      <c r="D66" s="237">
        <v>1</v>
      </c>
      <c r="E66" s="237">
        <v>1.9</v>
      </c>
      <c r="F66" s="237">
        <v>2.2999999999999998</v>
      </c>
      <c r="G66" s="237">
        <v>3</v>
      </c>
    </row>
    <row r="67" spans="2:7" x14ac:dyDescent="0.2">
      <c r="B67" s="139" t="s">
        <v>408</v>
      </c>
      <c r="C67" s="237">
        <v>0</v>
      </c>
      <c r="D67" s="237">
        <v>1.5</v>
      </c>
      <c r="E67" s="237">
        <v>2.7</v>
      </c>
      <c r="F67" s="237">
        <v>2.9</v>
      </c>
      <c r="G67" s="237">
        <v>4</v>
      </c>
    </row>
    <row r="68" spans="2:7" x14ac:dyDescent="0.2">
      <c r="B68" s="139" t="s">
        <v>409</v>
      </c>
      <c r="C68" s="237">
        <v>0</v>
      </c>
      <c r="D68" s="237">
        <v>1.7</v>
      </c>
      <c r="E68" s="237">
        <v>2.9</v>
      </c>
      <c r="F68" s="237">
        <v>3</v>
      </c>
      <c r="G68" s="237">
        <v>6</v>
      </c>
    </row>
    <row r="69" spans="2:7" x14ac:dyDescent="0.2">
      <c r="B69" s="139"/>
      <c r="C69" s="208"/>
      <c r="D69" s="208"/>
      <c r="E69" s="208"/>
      <c r="F69" s="208"/>
      <c r="G69" s="208"/>
    </row>
    <row r="70" spans="2:7" x14ac:dyDescent="0.2">
      <c r="B70" s="139" t="str">
        <f>B58</f>
        <v>Expressway, posted 60-70 mph</v>
      </c>
      <c r="C70" s="238">
        <v>0.7</v>
      </c>
      <c r="D70" s="208"/>
      <c r="E70" s="208"/>
      <c r="F70" s="208"/>
      <c r="G70" s="211"/>
    </row>
    <row r="71" spans="2:7" x14ac:dyDescent="0.2">
      <c r="B71" s="139" t="str">
        <f t="shared" ref="B71:B73" si="2">B59</f>
        <v>Expressway, posted 55-65 mph</v>
      </c>
      <c r="C71" s="238">
        <v>0.75</v>
      </c>
      <c r="D71" s="208"/>
      <c r="E71" s="208"/>
      <c r="F71" s="208"/>
      <c r="G71" s="211"/>
    </row>
    <row r="72" spans="2:7" x14ac:dyDescent="0.2">
      <c r="B72" s="139" t="str">
        <f t="shared" si="2"/>
        <v>Expressway, posted 50-60 mph</v>
      </c>
      <c r="C72" s="238">
        <v>1</v>
      </c>
      <c r="D72" s="208"/>
      <c r="E72" s="208"/>
      <c r="F72" s="208"/>
      <c r="G72" s="211"/>
    </row>
    <row r="73" spans="2:7" x14ac:dyDescent="0.2">
      <c r="B73" s="139" t="str">
        <f t="shared" si="2"/>
        <v>Expressway, posted 45-55 mph</v>
      </c>
      <c r="C73" s="238">
        <v>1.25</v>
      </c>
      <c r="D73" s="208"/>
      <c r="E73" s="208"/>
      <c r="F73" s="208"/>
      <c r="G73" s="211"/>
    </row>
    <row r="74" spans="2:7" x14ac:dyDescent="0.2">
      <c r="D74" s="131"/>
      <c r="E74" s="131"/>
      <c r="F74" s="131"/>
      <c r="G74" s="125"/>
    </row>
    <row r="75" spans="2:7" x14ac:dyDescent="0.2">
      <c r="B75" s="464" t="s">
        <v>170</v>
      </c>
      <c r="C75" s="464"/>
      <c r="D75" s="464"/>
      <c r="E75" s="464"/>
      <c r="F75" s="464"/>
      <c r="G75" s="464"/>
    </row>
    <row r="76" spans="2:7" x14ac:dyDescent="0.2">
      <c r="B76" s="125"/>
      <c r="C76" s="138" t="s">
        <v>261</v>
      </c>
      <c r="D76" s="138" t="s">
        <v>161</v>
      </c>
      <c r="E76" s="138" t="s">
        <v>4</v>
      </c>
      <c r="F76" s="138" t="s">
        <v>3</v>
      </c>
      <c r="G76" s="128" t="s">
        <v>405</v>
      </c>
    </row>
    <row r="77" spans="2:7" x14ac:dyDescent="0.2">
      <c r="B77" s="139" t="s">
        <v>171</v>
      </c>
      <c r="C77" s="235">
        <v>0</v>
      </c>
      <c r="D77" s="235">
        <v>10</v>
      </c>
      <c r="E77" s="235">
        <v>10</v>
      </c>
      <c r="F77" s="235">
        <v>13</v>
      </c>
      <c r="G77" s="235">
        <v>15</v>
      </c>
    </row>
    <row r="78" spans="2:7" x14ac:dyDescent="0.2">
      <c r="B78" s="139"/>
      <c r="C78" s="125"/>
      <c r="E78" s="125"/>
      <c r="F78" s="125"/>
      <c r="G78" s="125"/>
    </row>
    <row r="79" spans="2:7" x14ac:dyDescent="0.2">
      <c r="B79" s="139" t="str">
        <f>B70</f>
        <v>Expressway, posted 60-70 mph</v>
      </c>
      <c r="C79" s="244">
        <v>10</v>
      </c>
    </row>
    <row r="80" spans="2:7" x14ac:dyDescent="0.2">
      <c r="B80" s="139" t="str">
        <f t="shared" ref="B80:B82" si="3">B71</f>
        <v>Expressway, posted 55-65 mph</v>
      </c>
      <c r="C80" s="244">
        <v>10</v>
      </c>
    </row>
    <row r="81" spans="2:7" x14ac:dyDescent="0.2">
      <c r="B81" s="139" t="str">
        <f t="shared" si="3"/>
        <v>Expressway, posted 50-60 mph</v>
      </c>
      <c r="C81" s="244">
        <v>10</v>
      </c>
    </row>
    <row r="82" spans="2:7" x14ac:dyDescent="0.2">
      <c r="B82" s="139" t="str">
        <f t="shared" si="3"/>
        <v>Expressway, posted 45-55 mph</v>
      </c>
      <c r="C82" s="244">
        <v>10</v>
      </c>
    </row>
    <row r="83" spans="2:7" x14ac:dyDescent="0.2">
      <c r="D83" s="134"/>
      <c r="E83" s="127"/>
      <c r="F83" s="127"/>
    </row>
    <row r="84" spans="2:7" x14ac:dyDescent="0.2">
      <c r="C84" s="127"/>
      <c r="D84" s="134"/>
      <c r="E84" s="127"/>
      <c r="F84" s="127"/>
    </row>
    <row r="85" spans="2:7" x14ac:dyDescent="0.2">
      <c r="C85" s="127"/>
      <c r="D85" s="134"/>
      <c r="E85" s="127"/>
      <c r="F85" s="127"/>
    </row>
    <row r="87" spans="2:7" x14ac:dyDescent="0.2">
      <c r="B87" s="127"/>
      <c r="C87" s="127"/>
      <c r="D87" s="127"/>
      <c r="E87" s="127"/>
      <c r="F87" s="127"/>
      <c r="G87" s="127"/>
    </row>
    <row r="92" spans="2:7" ht="15.75" x14ac:dyDescent="0.25">
      <c r="B92" s="140"/>
      <c r="E92" s="134"/>
      <c r="F92" s="127"/>
      <c r="G92" s="127"/>
    </row>
    <row r="93" spans="2:7" ht="15.75" x14ac:dyDescent="0.25">
      <c r="B93" s="140"/>
      <c r="C93" s="127"/>
      <c r="D93" s="127"/>
      <c r="E93" s="127"/>
      <c r="F93" s="127"/>
      <c r="G93" s="127"/>
    </row>
    <row r="94" spans="2:7" ht="15.75" x14ac:dyDescent="0.25">
      <c r="B94" s="140"/>
      <c r="C94" s="127"/>
      <c r="D94" s="127"/>
      <c r="E94" s="127"/>
      <c r="F94" s="127"/>
      <c r="G94" s="127"/>
    </row>
  </sheetData>
  <sortState xmlns:xlrd2="http://schemas.microsoft.com/office/spreadsheetml/2017/richdata2" ref="B14:B17">
    <sortCondition descending="1" ref="B14"/>
  </sortState>
  <mergeCells count="5">
    <mergeCell ref="C2:G2"/>
    <mergeCell ref="B51:G51"/>
    <mergeCell ref="B63:G63"/>
    <mergeCell ref="B75:G75"/>
    <mergeCell ref="A1:H1"/>
  </mergeCells>
  <printOptions horizontalCentered="1"/>
  <pageMargins left="0.75" right="0.75" top="0.5" bottom="0.25" header="0.25" footer="0.25"/>
  <pageSetup fitToHeight="2" orientation="portrait" r:id="rId1"/>
  <headerFooter alignWithMargins="0"/>
  <rowBreaks count="1" manualBreakCount="1">
    <brk id="47"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0C03-DCF1-4D0C-96BE-56A4B90E021E}">
  <sheetPr>
    <tabColor rgb="FFFFC000"/>
  </sheetPr>
  <dimension ref="B1:AN175"/>
  <sheetViews>
    <sheetView tabSelected="1" zoomScale="70" zoomScaleNormal="70" zoomScaleSheetLayoutView="80" workbookViewId="0">
      <pane xSplit="1" ySplit="1" topLeftCell="R9" activePane="bottomRight" state="frozen"/>
      <selection pane="topRight" activeCell="B1" sqref="B1"/>
      <selection pane="bottomLeft" activeCell="A2" sqref="A2"/>
      <selection pane="bottomRight" activeCell="W33" sqref="W33"/>
    </sheetView>
  </sheetViews>
  <sheetFormatPr defaultColWidth="8.85546875" defaultRowHeight="12.75" x14ac:dyDescent="0.2"/>
  <cols>
    <col min="1" max="1" width="4.7109375" style="345" customWidth="1"/>
    <col min="2" max="2" width="6.42578125" style="458" customWidth="1"/>
    <col min="3" max="3" width="10.28515625" style="458" bestFit="1" customWidth="1"/>
    <col min="4" max="8" width="10.7109375" style="458" bestFit="1" customWidth="1"/>
    <col min="9" max="9" width="10.7109375" style="458" customWidth="1"/>
    <col min="10" max="10" width="10.42578125" style="345" customWidth="1"/>
    <col min="11" max="11" width="6.7109375" style="409" customWidth="1"/>
    <col min="12" max="12" width="40.28515625" style="410" bestFit="1" customWidth="1"/>
    <col min="13" max="13" width="10.42578125" style="345" customWidth="1"/>
    <col min="14" max="14" width="12.5703125" style="411" customWidth="1"/>
    <col min="15" max="15" width="15.140625" style="345" customWidth="1"/>
    <col min="16" max="16" width="12" style="345" customWidth="1"/>
    <col min="17" max="17" width="11" style="412" customWidth="1"/>
    <col min="18" max="18" width="8.7109375" style="345" customWidth="1"/>
    <col min="19" max="20" width="10.42578125" style="345" customWidth="1"/>
    <col min="21" max="21" width="6.7109375" style="409" customWidth="1"/>
    <col min="22" max="22" width="32.7109375" style="410" customWidth="1"/>
    <col min="23" max="23" width="10.42578125" style="345" customWidth="1"/>
    <col min="24" max="24" width="10.28515625" style="411" customWidth="1"/>
    <col min="25" max="25" width="12.5703125" style="345" customWidth="1"/>
    <col min="26" max="26" width="12" style="345" customWidth="1"/>
    <col min="27" max="27" width="11" style="412" customWidth="1"/>
    <col min="28" max="28" width="8.7109375" style="345" customWidth="1"/>
    <col min="29" max="29" width="10.42578125" style="345" customWidth="1"/>
    <col min="30" max="31" width="8.85546875" style="345"/>
    <col min="32" max="32" width="29.140625" style="345" bestFit="1" customWidth="1"/>
    <col min="33" max="35" width="13.42578125" style="345" customWidth="1"/>
    <col min="36" max="36" width="4.7109375" style="345" customWidth="1"/>
    <col min="37" max="16384" width="8.85546875" style="345"/>
  </cols>
  <sheetData>
    <row r="1" spans="2:40" s="333" customFormat="1" ht="23.25" x14ac:dyDescent="0.35">
      <c r="B1" s="461" t="s">
        <v>596</v>
      </c>
      <c r="C1" s="461"/>
      <c r="D1" s="461"/>
      <c r="E1" s="461"/>
      <c r="F1" s="461"/>
      <c r="G1" s="461"/>
      <c r="H1" s="461"/>
      <c r="I1" s="461"/>
      <c r="J1" s="328"/>
      <c r="K1" s="323" t="s">
        <v>468</v>
      </c>
      <c r="L1" s="324"/>
      <c r="M1" s="325"/>
      <c r="N1" s="326"/>
      <c r="O1" s="325"/>
      <c r="P1" s="325"/>
      <c r="Q1" s="327"/>
      <c r="R1" s="325"/>
      <c r="S1" s="325"/>
      <c r="T1" s="328"/>
      <c r="U1" s="323" t="s">
        <v>469</v>
      </c>
      <c r="V1" s="324"/>
      <c r="W1" s="329"/>
      <c r="X1" s="330"/>
      <c r="Y1" s="329"/>
      <c r="Z1" s="329"/>
      <c r="AA1" s="331"/>
      <c r="AB1" s="329"/>
      <c r="AC1" s="329"/>
      <c r="AE1" s="332" t="s">
        <v>558</v>
      </c>
      <c r="AF1" s="332"/>
      <c r="AG1" s="332"/>
      <c r="AH1" s="332"/>
      <c r="AI1" s="332"/>
      <c r="AJ1" s="332"/>
      <c r="AK1" s="332"/>
      <c r="AL1" s="332"/>
      <c r="AM1" s="332"/>
      <c r="AN1" s="332"/>
    </row>
    <row r="2" spans="2:40" ht="13.9" customHeight="1" x14ac:dyDescent="0.2">
      <c r="J2" s="338"/>
      <c r="K2" s="338"/>
      <c r="L2" s="338"/>
      <c r="M2" s="338"/>
      <c r="N2" s="338"/>
      <c r="O2" s="338"/>
      <c r="P2" s="338"/>
      <c r="Q2" s="338"/>
      <c r="R2" s="338"/>
      <c r="S2" s="338"/>
      <c r="T2" s="338"/>
      <c r="U2" s="338"/>
      <c r="V2" s="338"/>
      <c r="W2" s="338"/>
      <c r="X2" s="338"/>
      <c r="Y2" s="338"/>
      <c r="Z2" s="338"/>
      <c r="AA2" s="338"/>
      <c r="AB2" s="338"/>
      <c r="AC2" s="338"/>
      <c r="AE2" s="338"/>
      <c r="AF2" s="338"/>
      <c r="AG2" s="338"/>
      <c r="AH2" s="338"/>
      <c r="AI2" s="338"/>
      <c r="AJ2" s="338"/>
      <c r="AK2" s="338"/>
      <c r="AL2" s="338"/>
      <c r="AM2" s="338"/>
      <c r="AN2" s="338"/>
    </row>
    <row r="3" spans="2:40" x14ac:dyDescent="0.2">
      <c r="B3" s="462" t="s">
        <v>403</v>
      </c>
      <c r="C3" s="462" t="s">
        <v>520</v>
      </c>
      <c r="D3" s="462" t="s">
        <v>521</v>
      </c>
      <c r="E3" s="462" t="s">
        <v>522</v>
      </c>
      <c r="F3" s="462" t="s">
        <v>523</v>
      </c>
      <c r="G3" s="462" t="s">
        <v>524</v>
      </c>
      <c r="H3" s="462" t="s">
        <v>525</v>
      </c>
      <c r="I3" s="462" t="s">
        <v>526</v>
      </c>
      <c r="J3" s="338"/>
      <c r="K3" s="346" t="s">
        <v>559</v>
      </c>
      <c r="L3" s="335"/>
      <c r="M3" s="336"/>
      <c r="N3" s="336"/>
      <c r="O3" s="336"/>
      <c r="P3" s="336"/>
      <c r="Q3" s="337"/>
      <c r="R3" s="337"/>
      <c r="S3" s="337"/>
      <c r="T3" s="338"/>
      <c r="U3" s="347" t="s">
        <v>560</v>
      </c>
      <c r="V3" s="335"/>
      <c r="W3" s="340"/>
      <c r="X3" s="341"/>
      <c r="Y3" s="340"/>
      <c r="Z3" s="348"/>
      <c r="AA3" s="349"/>
      <c r="AB3" s="342"/>
      <c r="AC3" s="342"/>
      <c r="AE3" s="343"/>
      <c r="AF3" s="343"/>
      <c r="AG3" s="343"/>
      <c r="AH3" s="343"/>
      <c r="AI3" s="343"/>
      <c r="AJ3" s="343"/>
      <c r="AK3" s="343"/>
      <c r="AL3" s="343"/>
      <c r="AM3" s="343"/>
      <c r="AN3" s="343"/>
    </row>
    <row r="4" spans="2:40" ht="13.9" customHeight="1" x14ac:dyDescent="0.2">
      <c r="B4" s="457">
        <v>1</v>
      </c>
      <c r="C4" s="459">
        <f>ROUND(VLOOKUP($B4, $K$11:$S$23, COLUMNS($K$11:M$11), FALSE),  0)</f>
        <v>10000</v>
      </c>
      <c r="D4" s="459">
        <f>ROUND(VLOOKUP($B4, $K$11:$S$23, COLUMNS($K$11:N$11), FALSE),  0)</f>
        <v>10000</v>
      </c>
      <c r="E4" s="459">
        <f>ROUND(VLOOKUP($B4, $K$11:$S$23, COLUMNS($K$11:O$11), FALSE),  0)</f>
        <v>10000</v>
      </c>
      <c r="F4" s="459">
        <f>ROUND(VLOOKUP($B4, $K$11:$S$23, COLUMNS($K$11:P$11), FALSE),  0)</f>
        <v>10000</v>
      </c>
      <c r="G4" s="459">
        <f>ROUND(VLOOKUP($B4, $K$11:$S$23, COLUMNS($K$11:Q$11), FALSE),  0)</f>
        <v>10000</v>
      </c>
      <c r="H4" s="459">
        <f>ROUND(VLOOKUP($B4, $K$11:$S$23, COLUMNS($K$11:R$11), FALSE),  0)</f>
        <v>10000</v>
      </c>
      <c r="I4" s="459">
        <f>ROUND(VLOOKUP($B4, $K$11:$S$23, COLUMNS($K$11:S$11), FALSE),  0)</f>
        <v>10000</v>
      </c>
      <c r="J4" s="338"/>
      <c r="K4" s="334"/>
      <c r="L4" s="335"/>
      <c r="M4" s="336"/>
      <c r="N4" s="336"/>
      <c r="O4" s="336"/>
      <c r="P4" s="336"/>
      <c r="Q4" s="337"/>
      <c r="R4" s="337"/>
      <c r="S4" s="337"/>
      <c r="T4" s="338"/>
      <c r="U4" s="339" t="s">
        <v>561</v>
      </c>
      <c r="V4" s="335"/>
      <c r="W4" s="340"/>
      <c r="X4" s="341"/>
      <c r="Y4" s="340"/>
      <c r="Z4" s="342"/>
      <c r="AA4" s="340"/>
      <c r="AB4" s="342"/>
      <c r="AC4" s="342"/>
      <c r="AE4" s="344" t="s">
        <v>435</v>
      </c>
      <c r="AF4" s="342"/>
      <c r="AG4" s="342"/>
      <c r="AH4" s="342"/>
      <c r="AI4" s="342"/>
      <c r="AJ4" s="343"/>
      <c r="AK4" s="343"/>
      <c r="AL4" s="343"/>
      <c r="AM4" s="343"/>
      <c r="AN4" s="343"/>
    </row>
    <row r="5" spans="2:40" x14ac:dyDescent="0.2">
      <c r="B5" s="457">
        <v>2</v>
      </c>
      <c r="C5" s="459">
        <f>ROUND(VLOOKUP($B5, $K$11:$S$23, COLUMNS($K$11:M$11), FALSE),  0)</f>
        <v>968</v>
      </c>
      <c r="D5" s="459">
        <f>ROUND(VLOOKUP($B5, $K$11:$S$23, COLUMNS($K$11:N$11), FALSE),  0)</f>
        <v>929</v>
      </c>
      <c r="E5" s="459">
        <f>ROUND(VLOOKUP($B5, $K$11:$S$23, COLUMNS($K$11:O$11), FALSE),  0)</f>
        <v>890</v>
      </c>
      <c r="F5" s="459">
        <f>ROUND(VLOOKUP($B5, $K$11:$S$23, COLUMNS($K$11:P$11), FALSE),  0)</f>
        <v>869</v>
      </c>
      <c r="G5" s="459">
        <f>ROUND(VLOOKUP($B5, $K$11:$S$23, COLUMNS($K$11:Q$11), FALSE),  0)</f>
        <v>849</v>
      </c>
      <c r="H5" s="459">
        <f>ROUND(VLOOKUP($B5, $K$11:$S$23, COLUMNS($K$11:R$11), FALSE),  0)</f>
        <v>830</v>
      </c>
      <c r="I5" s="459">
        <f>ROUND(VLOOKUP($B5, $K$11:$S$23, COLUMNS($K$11:S$11), FALSE),  0)</f>
        <v>810</v>
      </c>
      <c r="K5" s="350" t="s">
        <v>562</v>
      </c>
      <c r="L5" s="351"/>
      <c r="M5" s="336"/>
      <c r="N5" s="336"/>
      <c r="O5" s="336"/>
      <c r="P5" s="336"/>
      <c r="Q5" s="337"/>
      <c r="R5" s="337"/>
      <c r="S5" s="337"/>
      <c r="U5" s="335"/>
      <c r="V5" s="335"/>
      <c r="W5" s="340"/>
      <c r="X5" s="340"/>
      <c r="Y5" s="340"/>
      <c r="Z5" s="340"/>
      <c r="AA5" s="340"/>
      <c r="AB5" s="340"/>
      <c r="AC5" s="340"/>
      <c r="AE5" s="352" t="s">
        <v>563</v>
      </c>
      <c r="AF5" s="342"/>
      <c r="AG5" s="342"/>
      <c r="AH5" s="342"/>
      <c r="AI5" s="342"/>
      <c r="AJ5" s="343"/>
      <c r="AK5" s="343"/>
      <c r="AL5" s="343"/>
      <c r="AM5" s="343"/>
      <c r="AN5" s="343"/>
    </row>
    <row r="6" spans="2:40" x14ac:dyDescent="0.2">
      <c r="B6" s="457">
        <v>3</v>
      </c>
      <c r="C6" s="459">
        <f>ROUND(VLOOKUP($B6, $K$11:$S$23, COLUMNS($K$11:M$11), FALSE),  0)</f>
        <v>894</v>
      </c>
      <c r="D6" s="459">
        <f>ROUND(VLOOKUP($B6, $K$11:$S$23, COLUMNS($K$11:N$11), FALSE),  0)</f>
        <v>858</v>
      </c>
      <c r="E6" s="459">
        <f>ROUND(VLOOKUP($B6, $K$11:$S$23, COLUMNS($K$11:O$11), FALSE),  0)</f>
        <v>822</v>
      </c>
      <c r="F6" s="459">
        <f>ROUND(VLOOKUP($B6, $K$11:$S$23, COLUMNS($K$11:P$11), FALSE),  0)</f>
        <v>803</v>
      </c>
      <c r="G6" s="459">
        <f>ROUND(VLOOKUP($B6, $K$11:$S$23, COLUMNS($K$11:Q$11), FALSE),  0)</f>
        <v>784</v>
      </c>
      <c r="H6" s="459">
        <f>ROUND(VLOOKUP($B6, $K$11:$S$23, COLUMNS($K$11:R$11), FALSE),  0)</f>
        <v>766</v>
      </c>
      <c r="I6" s="459">
        <f>ROUND(VLOOKUP($B6, $K$11:$S$23, COLUMNS($K$11:S$11), FALSE),  0)</f>
        <v>748</v>
      </c>
      <c r="K6" s="350" t="s">
        <v>564</v>
      </c>
      <c r="L6" s="335"/>
      <c r="M6" s="342"/>
      <c r="N6" s="353"/>
      <c r="O6" s="342"/>
      <c r="P6" s="342"/>
      <c r="Q6" s="354"/>
      <c r="R6" s="342"/>
      <c r="S6" s="342"/>
      <c r="U6" s="350" t="s">
        <v>562</v>
      </c>
      <c r="V6" s="335"/>
      <c r="W6" s="340"/>
      <c r="X6" s="341"/>
      <c r="Y6" s="336"/>
      <c r="Z6" s="336"/>
      <c r="AA6" s="337"/>
      <c r="AB6" s="337"/>
      <c r="AC6" s="337"/>
      <c r="AE6" s="355" t="s">
        <v>565</v>
      </c>
      <c r="AF6" s="342"/>
      <c r="AG6" s="342"/>
      <c r="AH6" s="342"/>
      <c r="AI6" s="342"/>
      <c r="AJ6" s="343"/>
      <c r="AK6" s="343"/>
      <c r="AL6" s="343"/>
      <c r="AM6" s="343"/>
      <c r="AN6" s="343"/>
    </row>
    <row r="7" spans="2:40" x14ac:dyDescent="0.2">
      <c r="B7" s="457">
        <v>4</v>
      </c>
      <c r="C7" s="459">
        <f>ROUND(VLOOKUP($B7, $K$11:$S$23, COLUMNS($K$11:M$11), FALSE),  0)</f>
        <v>733</v>
      </c>
      <c r="D7" s="459">
        <f>ROUND(VLOOKUP($B7, $K$11:$S$23, COLUMNS($K$11:N$11), FALSE),  0)</f>
        <v>703</v>
      </c>
      <c r="E7" s="459">
        <f>ROUND(VLOOKUP($B7, $K$11:$S$23, COLUMNS($K$11:O$11), FALSE),  0)</f>
        <v>674</v>
      </c>
      <c r="F7" s="459">
        <f>ROUND(VLOOKUP($B7, $K$11:$S$23, COLUMNS($K$11:P$11), FALSE),  0)</f>
        <v>658</v>
      </c>
      <c r="G7" s="459">
        <f>ROUND(VLOOKUP($B7, $K$11:$S$23, COLUMNS($K$11:Q$11), FALSE),  0)</f>
        <v>643</v>
      </c>
      <c r="H7" s="459">
        <f>ROUND(VLOOKUP($B7, $K$11:$S$23, COLUMNS($K$11:R$11), FALSE),  0)</f>
        <v>628</v>
      </c>
      <c r="I7" s="459">
        <f>ROUND(VLOOKUP($B7, $K$11:$S$23, COLUMNS($K$11:S$11), FALSE),  0)</f>
        <v>613</v>
      </c>
      <c r="K7" s="334"/>
      <c r="L7" s="356"/>
      <c r="M7" s="342"/>
      <c r="N7" s="353"/>
      <c r="O7" s="342"/>
      <c r="P7" s="342"/>
      <c r="Q7" s="354"/>
      <c r="R7" s="342"/>
      <c r="S7" s="342"/>
      <c r="U7" s="350" t="s">
        <v>566</v>
      </c>
      <c r="V7" s="351"/>
      <c r="W7" s="336"/>
      <c r="X7" s="336"/>
      <c r="Y7" s="340"/>
      <c r="Z7" s="340"/>
      <c r="AA7" s="340"/>
      <c r="AB7" s="340"/>
      <c r="AC7" s="340"/>
      <c r="AE7" s="342"/>
      <c r="AF7" s="342"/>
      <c r="AG7" s="342"/>
      <c r="AH7" s="342"/>
      <c r="AI7" s="342"/>
      <c r="AJ7" s="343"/>
      <c r="AK7" s="343"/>
      <c r="AL7" s="343"/>
      <c r="AM7" s="343"/>
      <c r="AN7" s="343"/>
    </row>
    <row r="8" spans="2:40" x14ac:dyDescent="0.2">
      <c r="B8" s="457">
        <v>5</v>
      </c>
      <c r="C8" s="459">
        <f>ROUND(VLOOKUP($B8, $K$11:$S$23, COLUMNS($K$11:M$11), FALSE),  0)</f>
        <v>515</v>
      </c>
      <c r="D8" s="459">
        <f>ROUND(VLOOKUP($B8, $K$11:$S$23, COLUMNS($K$11:N$11), FALSE),  0)</f>
        <v>494</v>
      </c>
      <c r="E8" s="459">
        <f>ROUND(VLOOKUP($B8, $K$11:$S$23, COLUMNS($K$11:O$11), FALSE),  0)</f>
        <v>473</v>
      </c>
      <c r="F8" s="459">
        <f>ROUND(VLOOKUP($B8, $K$11:$S$23, COLUMNS($K$11:P$11), FALSE),  0)</f>
        <v>462</v>
      </c>
      <c r="G8" s="459">
        <f>ROUND(VLOOKUP($B8, $K$11:$S$23, COLUMNS($K$11:Q$11), FALSE),  0)</f>
        <v>451</v>
      </c>
      <c r="H8" s="459">
        <f>ROUND(VLOOKUP($B8, $K$11:$S$23, COLUMNS($K$11:R$11), FALSE),  0)</f>
        <v>441</v>
      </c>
      <c r="I8" s="459">
        <f>ROUND(VLOOKUP($B8, $K$11:$S$23, COLUMNS($K$11:S$11), FALSE),  0)</f>
        <v>431</v>
      </c>
      <c r="K8" s="334"/>
      <c r="L8" s="335"/>
      <c r="M8" s="342"/>
      <c r="N8" s="353"/>
      <c r="O8" s="342"/>
      <c r="P8" s="342"/>
      <c r="Q8" s="354"/>
      <c r="R8" s="342"/>
      <c r="S8" s="342"/>
      <c r="U8" s="357"/>
      <c r="V8" s="351"/>
      <c r="W8" s="340"/>
      <c r="X8" s="341"/>
      <c r="Y8" s="340"/>
      <c r="Z8" s="342"/>
      <c r="AA8" s="340"/>
      <c r="AB8" s="342"/>
      <c r="AC8" s="342"/>
      <c r="AE8" s="342"/>
      <c r="AF8" s="342"/>
      <c r="AG8" s="342"/>
      <c r="AH8" s="342"/>
      <c r="AI8" s="342"/>
      <c r="AJ8" s="343"/>
      <c r="AK8" s="343"/>
      <c r="AL8" s="343"/>
      <c r="AM8" s="343"/>
      <c r="AN8" s="343"/>
    </row>
    <row r="9" spans="2:40" ht="25.5" x14ac:dyDescent="0.2">
      <c r="B9" s="457">
        <v>6</v>
      </c>
      <c r="C9" s="459">
        <f>ROUND(VLOOKUP($B9, $K$11:$S$23, COLUMNS($K$11:M$11), FALSE),  0)</f>
        <v>412</v>
      </c>
      <c r="D9" s="459">
        <f>ROUND(VLOOKUP($B9, $K$11:$S$23, COLUMNS($K$11:N$11), FALSE),  0)</f>
        <v>395</v>
      </c>
      <c r="E9" s="459">
        <f>ROUND(VLOOKUP($B9, $K$11:$S$23, COLUMNS($K$11:O$11), FALSE),  0)</f>
        <v>378</v>
      </c>
      <c r="F9" s="459">
        <f>ROUND(VLOOKUP($B9, $K$11:$S$23, COLUMNS($K$11:P$11), FALSE),  0)</f>
        <v>370</v>
      </c>
      <c r="G9" s="459">
        <f>ROUND(VLOOKUP($B9, $K$11:$S$23, COLUMNS($K$11:Q$11), FALSE),  0)</f>
        <v>361</v>
      </c>
      <c r="H9" s="459">
        <f>ROUND(VLOOKUP($B9, $K$11:$S$23, COLUMNS($K$11:R$11), FALSE),  0)</f>
        <v>353</v>
      </c>
      <c r="I9" s="459">
        <f>ROUND(VLOOKUP($B9, $K$11:$S$23, COLUMNS($K$11:S$11), FALSE),  0)</f>
        <v>344</v>
      </c>
      <c r="K9" s="358" t="s">
        <v>567</v>
      </c>
      <c r="L9" s="359"/>
      <c r="M9" s="340"/>
      <c r="N9" s="340"/>
      <c r="O9" s="340"/>
      <c r="P9" s="340"/>
      <c r="Q9" s="340"/>
      <c r="R9" s="340"/>
      <c r="S9" s="340"/>
      <c r="U9" s="358" t="s">
        <v>567</v>
      </c>
      <c r="V9" s="359"/>
      <c r="W9" s="340"/>
      <c r="X9" s="340"/>
      <c r="Y9" s="340"/>
      <c r="Z9" s="340"/>
      <c r="AA9" s="340"/>
      <c r="AB9" s="340"/>
      <c r="AC9" s="340"/>
      <c r="AE9" s="360" t="s">
        <v>150</v>
      </c>
      <c r="AF9" s="361" t="s">
        <v>568</v>
      </c>
      <c r="AG9" s="361" t="s">
        <v>569</v>
      </c>
      <c r="AH9" s="361" t="s">
        <v>570</v>
      </c>
      <c r="AI9" s="360" t="s">
        <v>571</v>
      </c>
      <c r="AJ9" s="343"/>
      <c r="AK9" s="343"/>
      <c r="AL9" s="343"/>
      <c r="AM9" s="343"/>
      <c r="AN9" s="343"/>
    </row>
    <row r="10" spans="2:40" x14ac:dyDescent="0.2">
      <c r="B10" s="457">
        <v>7</v>
      </c>
      <c r="C10" s="459">
        <f>ROUND(VLOOKUP($B10, $K$11:$S$23, COLUMNS($K$11:M$11), FALSE),  0)</f>
        <v>300</v>
      </c>
      <c r="D10" s="459">
        <f>ROUND(VLOOKUP($B10, $K$11:$S$23, COLUMNS($K$11:N$11), FALSE),  0)</f>
        <v>300</v>
      </c>
      <c r="E10" s="459">
        <f>ROUND(VLOOKUP($B10, $K$11:$S$23, COLUMNS($K$11:O$11), FALSE),  0)</f>
        <v>300</v>
      </c>
      <c r="F10" s="459">
        <f>ROUND(VLOOKUP($B10, $K$11:$S$23, COLUMNS($K$11:P$11), FALSE),  0)</f>
        <v>300</v>
      </c>
      <c r="G10" s="459">
        <f>ROUND(VLOOKUP($B10, $K$11:$S$23, COLUMNS($K$11:Q$11), FALSE),  0)</f>
        <v>300</v>
      </c>
      <c r="H10" s="459">
        <f>ROUND(VLOOKUP($B10, $K$11:$S$23, COLUMNS($K$11:R$11), FALSE),  0)</f>
        <v>300</v>
      </c>
      <c r="I10" s="459">
        <f>ROUND(VLOOKUP($B10, $K$11:$S$23, COLUMNS($K$11:S$11), FALSE),  0)</f>
        <v>300</v>
      </c>
      <c r="K10" s="334"/>
      <c r="L10" s="335"/>
      <c r="M10" s="342"/>
      <c r="N10" s="353"/>
      <c r="O10" s="342"/>
      <c r="P10" s="342"/>
      <c r="Q10" s="354"/>
      <c r="R10" s="342"/>
      <c r="S10" s="342"/>
      <c r="U10" s="334"/>
      <c r="V10" s="335"/>
      <c r="W10" s="342"/>
      <c r="X10" s="353"/>
      <c r="Y10" s="342"/>
      <c r="Z10" s="342"/>
      <c r="AA10" s="354"/>
      <c r="AB10" s="342"/>
      <c r="AC10" s="342"/>
      <c r="AE10" s="344" t="s">
        <v>572</v>
      </c>
      <c r="AF10" s="362"/>
      <c r="AG10" s="343"/>
      <c r="AH10" s="362"/>
      <c r="AI10" s="362"/>
      <c r="AJ10" s="343"/>
      <c r="AK10" s="343"/>
      <c r="AL10" s="343"/>
      <c r="AM10" s="343"/>
      <c r="AN10" s="343"/>
    </row>
    <row r="11" spans="2:40" x14ac:dyDescent="0.2">
      <c r="B11" s="457">
        <v>12</v>
      </c>
      <c r="C11" s="459">
        <f>ROUND(VLOOKUP($B11, $K$11:$S$23, COLUMNS($K$11:M$11), FALSE),  0)</f>
        <v>1102</v>
      </c>
      <c r="D11" s="459">
        <f>ROUND(VLOOKUP($B11, $K$11:$S$23, COLUMNS($K$11:N$11), FALSE),  0)</f>
        <v>1058</v>
      </c>
      <c r="E11" s="459">
        <f>ROUND(VLOOKUP($B11, $K$11:$S$23, COLUMNS($K$11:O$11), FALSE),  0)</f>
        <v>1025</v>
      </c>
      <c r="F11" s="459">
        <f>ROUND(VLOOKUP($B11, $K$11:$S$23, COLUMNS($K$11:P$11), FALSE),  0)</f>
        <v>1003</v>
      </c>
      <c r="G11" s="459">
        <f>ROUND(VLOOKUP($B11, $K$11:$S$23, COLUMNS($K$11:Q$11), FALSE),  0)</f>
        <v>981</v>
      </c>
      <c r="H11" s="459">
        <f>ROUND(VLOOKUP($B11, $K$11:$S$23, COLUMNS($K$11:R$11), FALSE),  0)</f>
        <v>960</v>
      </c>
      <c r="I11" s="459">
        <f>ROUND(VLOOKUP($B11, $K$11:$S$23, COLUMNS($K$11:S$11), FALSE),  0)</f>
        <v>940</v>
      </c>
      <c r="K11" s="363" t="s">
        <v>403</v>
      </c>
      <c r="L11" s="364" t="s">
        <v>573</v>
      </c>
      <c r="M11" s="365" t="s">
        <v>464</v>
      </c>
      <c r="N11" s="366" t="s">
        <v>465</v>
      </c>
      <c r="O11" s="365" t="s">
        <v>466</v>
      </c>
      <c r="P11" s="366" t="s">
        <v>470</v>
      </c>
      <c r="Q11" s="365" t="s">
        <v>471</v>
      </c>
      <c r="R11" s="366" t="s">
        <v>472</v>
      </c>
      <c r="S11" s="365" t="s">
        <v>473</v>
      </c>
      <c r="U11" s="363" t="s">
        <v>403</v>
      </c>
      <c r="V11" s="364" t="s">
        <v>573</v>
      </c>
      <c r="W11" s="365" t="s">
        <v>464</v>
      </c>
      <c r="X11" s="366" t="s">
        <v>465</v>
      </c>
      <c r="Y11" s="365" t="s">
        <v>466</v>
      </c>
      <c r="Z11" s="366" t="s">
        <v>470</v>
      </c>
      <c r="AA11" s="365" t="s">
        <v>471</v>
      </c>
      <c r="AB11" s="366" t="s">
        <v>472</v>
      </c>
      <c r="AC11" s="365" t="s">
        <v>473</v>
      </c>
      <c r="AE11" s="367">
        <v>2</v>
      </c>
      <c r="AF11" s="368">
        <v>1775</v>
      </c>
      <c r="AG11" s="368">
        <v>2088</v>
      </c>
      <c r="AH11" s="369">
        <f>AG11-AF11</f>
        <v>313</v>
      </c>
      <c r="AI11" s="370">
        <f>AH11 / AF11</f>
        <v>0.17633802816901409</v>
      </c>
      <c r="AJ11" s="343"/>
      <c r="AK11" s="343"/>
      <c r="AL11" s="343"/>
      <c r="AM11" s="343"/>
      <c r="AN11" s="343"/>
    </row>
    <row r="12" spans="2:40" x14ac:dyDescent="0.2">
      <c r="B12" s="457">
        <v>13</v>
      </c>
      <c r="C12" s="459">
        <f>ROUND(VLOOKUP($B12, $K$11:$S$23, COLUMNS($K$11:M$11), FALSE),  0)</f>
        <v>1064</v>
      </c>
      <c r="D12" s="459">
        <f>ROUND(VLOOKUP($B12, $K$11:$S$23, COLUMNS($K$11:N$11), FALSE),  0)</f>
        <v>1021</v>
      </c>
      <c r="E12" s="459">
        <f>ROUND(VLOOKUP($B12, $K$11:$S$23, COLUMNS($K$11:O$11), FALSE),  0)</f>
        <v>990</v>
      </c>
      <c r="F12" s="459">
        <f>ROUND(VLOOKUP($B12, $K$11:$S$23, COLUMNS($K$11:P$11), FALSE),  0)</f>
        <v>968</v>
      </c>
      <c r="G12" s="459">
        <f>ROUND(VLOOKUP($B12, $K$11:$S$23, COLUMNS($K$11:Q$11), FALSE),  0)</f>
        <v>947</v>
      </c>
      <c r="H12" s="459">
        <f>ROUND(VLOOKUP($B12, $K$11:$S$23, COLUMNS($K$11:R$11), FALSE),  0)</f>
        <v>927</v>
      </c>
      <c r="I12" s="459">
        <f>ROUND(VLOOKUP($B12, $K$11:$S$23, COLUMNS($K$11:S$11), FALSE),  0)</f>
        <v>907</v>
      </c>
      <c r="K12" s="357">
        <v>1</v>
      </c>
      <c r="L12" s="371" t="s">
        <v>499</v>
      </c>
      <c r="M12" s="372">
        <v>10000</v>
      </c>
      <c r="N12" s="373">
        <f>M12</f>
        <v>10000</v>
      </c>
      <c r="O12" s="373">
        <f t="shared" ref="O12:S12" si="0">N12</f>
        <v>10000</v>
      </c>
      <c r="P12" s="373">
        <f t="shared" si="0"/>
        <v>10000</v>
      </c>
      <c r="Q12" s="373">
        <f t="shared" si="0"/>
        <v>10000</v>
      </c>
      <c r="R12" s="373">
        <f t="shared" si="0"/>
        <v>10000</v>
      </c>
      <c r="S12" s="373">
        <f t="shared" si="0"/>
        <v>10000</v>
      </c>
      <c r="U12" s="374">
        <v>20</v>
      </c>
      <c r="V12" s="359" t="s">
        <v>537</v>
      </c>
      <c r="W12" s="375">
        <f t="shared" ref="W12:AC13" si="1">W23</f>
        <v>1325.25</v>
      </c>
      <c r="X12" s="375">
        <f t="shared" si="1"/>
        <v>1060.2</v>
      </c>
      <c r="Y12" s="375">
        <f t="shared" si="1"/>
        <v>848.16000000000008</v>
      </c>
      <c r="Z12" s="375">
        <f t="shared" si="1"/>
        <v>848.16000000000008</v>
      </c>
      <c r="AA12" s="375">
        <f t="shared" si="1"/>
        <v>848.16000000000008</v>
      </c>
      <c r="AB12" s="375">
        <f t="shared" si="1"/>
        <v>848.16000000000008</v>
      </c>
      <c r="AC12" s="375">
        <f t="shared" si="1"/>
        <v>848.16000000000008</v>
      </c>
      <c r="AE12" s="367">
        <v>3</v>
      </c>
      <c r="AF12" s="368">
        <v>1717</v>
      </c>
      <c r="AG12" s="368">
        <v>2017</v>
      </c>
      <c r="AH12" s="369">
        <f>AG12-AF12</f>
        <v>300</v>
      </c>
      <c r="AI12" s="370">
        <f>AH12 / AF12</f>
        <v>0.17472335468841002</v>
      </c>
      <c r="AJ12" s="343"/>
      <c r="AK12" s="343"/>
      <c r="AL12" s="343"/>
      <c r="AM12" s="343"/>
      <c r="AN12" s="343"/>
    </row>
    <row r="13" spans="2:40" x14ac:dyDescent="0.2">
      <c r="B13" s="457">
        <v>14</v>
      </c>
      <c r="C13" s="459">
        <f>ROUND(VLOOKUP($B13, $K$11:$S$23, COLUMNS($K$11:M$11), FALSE),  0)</f>
        <v>1026</v>
      </c>
      <c r="D13" s="459">
        <f>ROUND(VLOOKUP($B13, $K$11:$S$23, COLUMNS($K$11:N$11), FALSE),  0)</f>
        <v>985</v>
      </c>
      <c r="E13" s="459">
        <f>ROUND(VLOOKUP($B13, $K$11:$S$23, COLUMNS($K$11:O$11), FALSE),  0)</f>
        <v>954</v>
      </c>
      <c r="F13" s="459">
        <f>ROUND(VLOOKUP($B13, $K$11:$S$23, COLUMNS($K$11:P$11), FALSE),  0)</f>
        <v>934</v>
      </c>
      <c r="G13" s="459">
        <f>ROUND(VLOOKUP($B13, $K$11:$S$23, COLUMNS($K$11:Q$11), FALSE),  0)</f>
        <v>914</v>
      </c>
      <c r="H13" s="459">
        <f>ROUND(VLOOKUP($B13, $K$11:$S$23, COLUMNS($K$11:R$11), FALSE),  0)</f>
        <v>894</v>
      </c>
      <c r="I13" s="459">
        <f>ROUND(VLOOKUP($B13, $K$11:$S$23, COLUMNS($K$11:S$11), FALSE),  0)</f>
        <v>875</v>
      </c>
      <c r="K13" s="357">
        <v>2</v>
      </c>
      <c r="L13" s="359" t="s">
        <v>454</v>
      </c>
      <c r="M13" s="376">
        <f t="shared" ref="M13:P16" si="2">$O34 * M$27 * M$29</f>
        <v>968.24</v>
      </c>
      <c r="N13" s="376">
        <f t="shared" si="2"/>
        <v>929.21399999999994</v>
      </c>
      <c r="O13" s="376">
        <f t="shared" si="2"/>
        <v>890.08920000000001</v>
      </c>
      <c r="P13" s="376">
        <f t="shared" si="2"/>
        <v>869.44</v>
      </c>
      <c r="Q13" s="373">
        <f>P13*P13/O13</f>
        <v>849.26984126984132</v>
      </c>
      <c r="R13" s="373">
        <f>Q13*Q13/P13</f>
        <v>829.56761051999149</v>
      </c>
      <c r="S13" s="373">
        <f>R13*R13/Q13</f>
        <v>810.32245227837996</v>
      </c>
      <c r="U13" s="374">
        <v>21</v>
      </c>
      <c r="V13" s="359" t="s">
        <v>538</v>
      </c>
      <c r="W13" s="375">
        <f t="shared" si="1"/>
        <v>1472.5</v>
      </c>
      <c r="X13" s="375">
        <f t="shared" si="1"/>
        <v>1472.5</v>
      </c>
      <c r="Y13" s="375">
        <f t="shared" si="1"/>
        <v>1472.5</v>
      </c>
      <c r="Z13" s="375">
        <f t="shared" si="1"/>
        <v>1443.05</v>
      </c>
      <c r="AA13" s="375">
        <f t="shared" si="1"/>
        <v>1398.875</v>
      </c>
      <c r="AB13" s="375">
        <f t="shared" si="1"/>
        <v>1339.9750000000001</v>
      </c>
      <c r="AC13" s="375">
        <f t="shared" si="1"/>
        <v>1295.8</v>
      </c>
      <c r="AE13" s="367">
        <v>4</v>
      </c>
      <c r="AF13" s="368">
        <v>1656</v>
      </c>
      <c r="AG13" s="368">
        <v>1950</v>
      </c>
      <c r="AH13" s="369">
        <f>AG13-AF13</f>
        <v>294</v>
      </c>
      <c r="AI13" s="370">
        <f>AH13 / AF13</f>
        <v>0.17753623188405798</v>
      </c>
      <c r="AJ13" s="343"/>
      <c r="AK13" s="343"/>
      <c r="AL13" s="343"/>
      <c r="AM13" s="343"/>
      <c r="AN13" s="343"/>
    </row>
    <row r="14" spans="2:40" x14ac:dyDescent="0.2">
      <c r="B14" s="457">
        <v>15</v>
      </c>
      <c r="C14" s="459">
        <f>ROUND(VLOOKUP($B14, $K$11:$S$23, COLUMNS($K$11:M$11), FALSE),  0)</f>
        <v>988</v>
      </c>
      <c r="D14" s="459">
        <f>ROUND(VLOOKUP($B14, $K$11:$S$23, COLUMNS($K$11:N$11), FALSE),  0)</f>
        <v>948</v>
      </c>
      <c r="E14" s="459">
        <f>ROUND(VLOOKUP($B14, $K$11:$S$23, COLUMNS($K$11:O$11), FALSE),  0)</f>
        <v>919</v>
      </c>
      <c r="F14" s="459">
        <f>ROUND(VLOOKUP($B14, $K$11:$S$23, COLUMNS($K$11:P$11), FALSE),  0)</f>
        <v>899</v>
      </c>
      <c r="G14" s="459">
        <f>ROUND(VLOOKUP($B14, $K$11:$S$23, COLUMNS($K$11:Q$11), FALSE),  0)</f>
        <v>880</v>
      </c>
      <c r="H14" s="459">
        <f>ROUND(VLOOKUP($B14, $K$11:$S$23, COLUMNS($K$11:R$11), FALSE),  0)</f>
        <v>861</v>
      </c>
      <c r="I14" s="459">
        <f>ROUND(VLOOKUP($B14, $K$11:$S$23, COLUMNS($K$11:S$11), FALSE),  0)</f>
        <v>842</v>
      </c>
      <c r="K14" s="357">
        <v>3</v>
      </c>
      <c r="L14" s="359" t="s">
        <v>408</v>
      </c>
      <c r="M14" s="376">
        <f t="shared" si="2"/>
        <v>893.76</v>
      </c>
      <c r="N14" s="376">
        <f t="shared" si="2"/>
        <v>857.73599999999999</v>
      </c>
      <c r="O14" s="376">
        <f t="shared" si="2"/>
        <v>821.62080000000003</v>
      </c>
      <c r="P14" s="376">
        <f t="shared" si="2"/>
        <v>802.56000000000006</v>
      </c>
      <c r="Q14" s="373">
        <f t="shared" ref="Q14:S17" si="3">P14*P14/O14</f>
        <v>783.941391941392</v>
      </c>
      <c r="R14" s="373">
        <f t="shared" si="3"/>
        <v>765.75471740306921</v>
      </c>
      <c r="S14" s="373">
        <f t="shared" si="3"/>
        <v>747.98995594927396</v>
      </c>
      <c r="U14" s="374">
        <v>22</v>
      </c>
      <c r="V14" s="359" t="s">
        <v>539</v>
      </c>
      <c r="W14" s="377">
        <f t="shared" ref="W14:AC18" si="4">($Z48*W$39*W$38 + $AA48)  /  W$38</f>
        <v>1921.9806249999999</v>
      </c>
      <c r="X14" s="377">
        <f t="shared" si="4"/>
        <v>1921.9806249999999</v>
      </c>
      <c r="Y14" s="377">
        <f t="shared" si="4"/>
        <v>1921.9806249999999</v>
      </c>
      <c r="Z14" s="377">
        <f t="shared" si="4"/>
        <v>1883.5410124999999</v>
      </c>
      <c r="AA14" s="377">
        <f t="shared" si="4"/>
        <v>1825.8815937499999</v>
      </c>
      <c r="AB14" s="377">
        <f t="shared" si="4"/>
        <v>1749.00236875</v>
      </c>
      <c r="AC14" s="377">
        <f t="shared" si="4"/>
        <v>1691.34295</v>
      </c>
      <c r="AE14" s="367">
        <v>5</v>
      </c>
      <c r="AF14" s="368">
        <v>1575</v>
      </c>
      <c r="AG14" s="368">
        <v>1855</v>
      </c>
      <c r="AH14" s="369">
        <f>AG14-AF14</f>
        <v>280</v>
      </c>
      <c r="AI14" s="370">
        <f>AH14 / AF14</f>
        <v>0.17777777777777778</v>
      </c>
      <c r="AJ14" s="343"/>
      <c r="AK14" s="343"/>
      <c r="AL14" s="343"/>
      <c r="AM14" s="343"/>
      <c r="AN14" s="343"/>
    </row>
    <row r="15" spans="2:40" x14ac:dyDescent="0.2">
      <c r="B15" s="457">
        <v>20</v>
      </c>
      <c r="C15" s="459">
        <f>ROUND(VLOOKUP($B15, $U$11:$AC$35, COLUMNS($U$11:W$11), FALSE),  0)</f>
        <v>1325</v>
      </c>
      <c r="D15" s="459">
        <f>ROUND(VLOOKUP($B15, $U$11:$AC$35, COLUMNS($U$11:X$11), FALSE),  0)</f>
        <v>1060</v>
      </c>
      <c r="E15" s="459">
        <f>ROUND(VLOOKUP($B15, $U$11:$AC$35, COLUMNS($U$11:Y$11), FALSE),  0)</f>
        <v>848</v>
      </c>
      <c r="F15" s="459">
        <f>ROUND(VLOOKUP($B15, $U$11:$AC$35, COLUMNS($U$11:Z$11), FALSE),  0)</f>
        <v>848</v>
      </c>
      <c r="G15" s="459">
        <f>ROUND(VLOOKUP($B15, $U$11:$AC$35, COLUMNS($U$11:AA$11), FALSE),  0)</f>
        <v>848</v>
      </c>
      <c r="H15" s="459">
        <f>ROUND(VLOOKUP($B15, $U$11:$AC$35, COLUMNS($U$11:AB$11), FALSE),  0)</f>
        <v>848</v>
      </c>
      <c r="I15" s="459">
        <f>ROUND(VLOOKUP($B15, $U$11:$AC$35, COLUMNS($U$11:AC$11), FALSE),  0)</f>
        <v>848</v>
      </c>
      <c r="K15" s="357">
        <v>4</v>
      </c>
      <c r="L15" s="359" t="s">
        <v>420</v>
      </c>
      <c r="M15" s="376">
        <f t="shared" si="2"/>
        <v>733.04</v>
      </c>
      <c r="N15" s="376">
        <f t="shared" si="2"/>
        <v>703.49399999999991</v>
      </c>
      <c r="O15" s="376">
        <f t="shared" si="2"/>
        <v>673.8732</v>
      </c>
      <c r="P15" s="376">
        <f t="shared" si="2"/>
        <v>658.24</v>
      </c>
      <c r="Q15" s="373">
        <f t="shared" si="3"/>
        <v>642.96947496947496</v>
      </c>
      <c r="R15" s="373">
        <f t="shared" si="3"/>
        <v>628.05321120339431</v>
      </c>
      <c r="S15" s="373">
        <f t="shared" si="3"/>
        <v>613.48299018646571</v>
      </c>
      <c r="U15" s="374">
        <v>23</v>
      </c>
      <c r="V15" s="359" t="s">
        <v>540</v>
      </c>
      <c r="W15" s="377">
        <f t="shared" si="4"/>
        <v>1963.7628125000001</v>
      </c>
      <c r="X15" s="377">
        <f t="shared" si="4"/>
        <v>1963.7628125000001</v>
      </c>
      <c r="Y15" s="377">
        <f t="shared" si="4"/>
        <v>1963.7628125000001</v>
      </c>
      <c r="Z15" s="377">
        <f t="shared" si="4"/>
        <v>1924.4875562500001</v>
      </c>
      <c r="AA15" s="377">
        <f t="shared" si="4"/>
        <v>1865.5746718750001</v>
      </c>
      <c r="AB15" s="377">
        <f t="shared" si="4"/>
        <v>1787.0241593750004</v>
      </c>
      <c r="AC15" s="377">
        <f t="shared" si="4"/>
        <v>1728.1112750000004</v>
      </c>
      <c r="AE15" s="378"/>
      <c r="AF15" s="378"/>
      <c r="AG15" s="378"/>
      <c r="AH15" s="378"/>
      <c r="AI15" s="378"/>
      <c r="AJ15" s="343"/>
      <c r="AK15" s="343"/>
      <c r="AL15" s="343"/>
      <c r="AM15" s="343"/>
      <c r="AN15" s="343"/>
    </row>
    <row r="16" spans="2:40" x14ac:dyDescent="0.2">
      <c r="B16" s="457">
        <v>21</v>
      </c>
      <c r="C16" s="459">
        <f>ROUND(VLOOKUP($B16, $U$11:$AC$35, COLUMNS($U$11:W$11), FALSE),  0)</f>
        <v>1473</v>
      </c>
      <c r="D16" s="459">
        <f>ROUND(VLOOKUP($B16, $U$11:$AC$35, COLUMNS($U$11:X$11), FALSE),  0)</f>
        <v>1473</v>
      </c>
      <c r="E16" s="459">
        <f>ROUND(VLOOKUP($B16, $U$11:$AC$35, COLUMNS($U$11:Y$11), FALSE),  0)</f>
        <v>1473</v>
      </c>
      <c r="F16" s="459">
        <f>ROUND(VLOOKUP($B16, $U$11:$AC$35, COLUMNS($U$11:Z$11), FALSE),  0)</f>
        <v>1443</v>
      </c>
      <c r="G16" s="459">
        <f>ROUND(VLOOKUP($B16, $U$11:$AC$35, COLUMNS($U$11:AA$11), FALSE),  0)</f>
        <v>1399</v>
      </c>
      <c r="H16" s="459">
        <f>ROUND(VLOOKUP($B16, $U$11:$AC$35, COLUMNS($U$11:AB$11), FALSE),  0)</f>
        <v>1340</v>
      </c>
      <c r="I16" s="459">
        <f>ROUND(VLOOKUP($B16, $U$11:$AC$35, COLUMNS($U$11:AC$11), FALSE),  0)</f>
        <v>1296</v>
      </c>
      <c r="K16" s="357">
        <v>5</v>
      </c>
      <c r="L16" s="359" t="s">
        <v>421</v>
      </c>
      <c r="M16" s="376">
        <f t="shared" si="2"/>
        <v>514.5</v>
      </c>
      <c r="N16" s="376">
        <f t="shared" si="2"/>
        <v>493.76249999999999</v>
      </c>
      <c r="O16" s="376">
        <f t="shared" si="2"/>
        <v>472.97250000000003</v>
      </c>
      <c r="P16" s="376">
        <f t="shared" si="2"/>
        <v>462</v>
      </c>
      <c r="Q16" s="373">
        <f>P16*P16/O16</f>
        <v>451.28205128205127</v>
      </c>
      <c r="R16" s="373">
        <f>Q16*Q16/P16</f>
        <v>440.81274850505622</v>
      </c>
      <c r="S16" s="373">
        <f t="shared" si="3"/>
        <v>430.58632332606226</v>
      </c>
      <c r="U16" s="374">
        <v>24</v>
      </c>
      <c r="V16" s="359" t="s">
        <v>541</v>
      </c>
      <c r="W16" s="377">
        <f t="shared" si="4"/>
        <v>2663.7628125000001</v>
      </c>
      <c r="X16" s="377">
        <f t="shared" si="4"/>
        <v>2313.7628125000001</v>
      </c>
      <c r="Y16" s="377">
        <f t="shared" si="4"/>
        <v>2197.0961458333336</v>
      </c>
      <c r="Z16" s="377">
        <f t="shared" si="4"/>
        <v>2099.4875562500001</v>
      </c>
      <c r="AA16" s="377">
        <f t="shared" si="4"/>
        <v>2005.5746718750001</v>
      </c>
      <c r="AB16" s="377">
        <f t="shared" si="4"/>
        <v>1903.6908260416669</v>
      </c>
      <c r="AC16" s="377">
        <f t="shared" si="4"/>
        <v>1828.1112750000004</v>
      </c>
      <c r="AE16" s="379" t="s">
        <v>574</v>
      </c>
      <c r="AF16" s="378"/>
      <c r="AG16" s="378"/>
      <c r="AH16" s="378"/>
      <c r="AI16" s="378"/>
      <c r="AJ16" s="343"/>
      <c r="AK16" s="343"/>
      <c r="AL16" s="343"/>
      <c r="AM16" s="343"/>
      <c r="AN16" s="343"/>
    </row>
    <row r="17" spans="2:40" x14ac:dyDescent="0.2">
      <c r="B17" s="457">
        <v>22</v>
      </c>
      <c r="C17" s="459">
        <f>ROUND(VLOOKUP($B17, $U$11:$AC$35, COLUMNS($U$11:W$11), FALSE),  0)</f>
        <v>1922</v>
      </c>
      <c r="D17" s="459">
        <f>ROUND(VLOOKUP($B17, $U$11:$AC$35, COLUMNS($U$11:X$11), FALSE),  0)</f>
        <v>1922</v>
      </c>
      <c r="E17" s="459">
        <f>ROUND(VLOOKUP($B17, $U$11:$AC$35, COLUMNS($U$11:Y$11), FALSE),  0)</f>
        <v>1922</v>
      </c>
      <c r="F17" s="459">
        <f>ROUND(VLOOKUP($B17, $U$11:$AC$35, COLUMNS($U$11:Z$11), FALSE),  0)</f>
        <v>1884</v>
      </c>
      <c r="G17" s="459">
        <f>ROUND(VLOOKUP($B17, $U$11:$AC$35, COLUMNS($U$11:AA$11), FALSE),  0)</f>
        <v>1826</v>
      </c>
      <c r="H17" s="459">
        <f>ROUND(VLOOKUP($B17, $U$11:$AC$35, COLUMNS($U$11:AB$11), FALSE),  0)</f>
        <v>1749</v>
      </c>
      <c r="I17" s="459">
        <f>ROUND(VLOOKUP($B17, $U$11:$AC$35, COLUMNS($U$11:AC$11), FALSE),  0)</f>
        <v>1691</v>
      </c>
      <c r="K17" s="357">
        <v>6</v>
      </c>
      <c r="L17" s="359" t="s">
        <v>159</v>
      </c>
      <c r="M17" s="380">
        <f>M16 * 0.8</f>
        <v>411.6</v>
      </c>
      <c r="N17" s="380">
        <f t="shared" ref="N17:P17" si="5">N16 * 0.8</f>
        <v>395.01</v>
      </c>
      <c r="O17" s="380">
        <f t="shared" si="5"/>
        <v>378.37800000000004</v>
      </c>
      <c r="P17" s="380">
        <f t="shared" si="5"/>
        <v>369.6</v>
      </c>
      <c r="Q17" s="373">
        <f>P17*P17/O17</f>
        <v>361.02564102564099</v>
      </c>
      <c r="R17" s="373">
        <f>Q17*Q17/P17</f>
        <v>352.65019880404486</v>
      </c>
      <c r="S17" s="373">
        <f t="shared" si="3"/>
        <v>344.46905866084961</v>
      </c>
      <c r="U17" s="374">
        <v>25</v>
      </c>
      <c r="V17" s="359" t="s">
        <v>542</v>
      </c>
      <c r="W17" s="377">
        <f t="shared" si="4"/>
        <v>2005.5450000000001</v>
      </c>
      <c r="X17" s="377">
        <f t="shared" si="4"/>
        <v>2005.5450000000001</v>
      </c>
      <c r="Y17" s="377">
        <f t="shared" si="4"/>
        <v>2005.5450000000001</v>
      </c>
      <c r="Z17" s="377">
        <f t="shared" si="4"/>
        <v>1965.4340999999999</v>
      </c>
      <c r="AA17" s="377">
        <f t="shared" si="4"/>
        <v>1905.2677499999998</v>
      </c>
      <c r="AB17" s="377">
        <f t="shared" si="4"/>
        <v>1825.0459500000004</v>
      </c>
      <c r="AC17" s="377">
        <f t="shared" si="4"/>
        <v>1764.8796</v>
      </c>
      <c r="AE17" s="367">
        <v>2</v>
      </c>
      <c r="AF17" s="368">
        <v>1730</v>
      </c>
      <c r="AG17" s="368">
        <v>2100</v>
      </c>
      <c r="AH17" s="369">
        <f>AG17-AF17</f>
        <v>370</v>
      </c>
      <c r="AI17" s="381">
        <f>AH17 / AF17</f>
        <v>0.2138728323699422</v>
      </c>
      <c r="AJ17" s="343"/>
      <c r="AK17" s="343"/>
      <c r="AL17" s="343"/>
      <c r="AM17" s="343"/>
      <c r="AN17" s="343"/>
    </row>
    <row r="18" spans="2:40" x14ac:dyDescent="0.2">
      <c r="B18" s="457">
        <v>23</v>
      </c>
      <c r="C18" s="459">
        <f>ROUND(VLOOKUP($B18, $U$11:$AC$35, COLUMNS($U$11:W$11), FALSE),  0)</f>
        <v>1964</v>
      </c>
      <c r="D18" s="459">
        <f>ROUND(VLOOKUP($B18, $U$11:$AC$35, COLUMNS($U$11:X$11), FALSE),  0)</f>
        <v>1964</v>
      </c>
      <c r="E18" s="459">
        <f>ROUND(VLOOKUP($B18, $U$11:$AC$35, COLUMNS($U$11:Y$11), FALSE),  0)</f>
        <v>1964</v>
      </c>
      <c r="F18" s="459">
        <f>ROUND(VLOOKUP($B18, $U$11:$AC$35, COLUMNS($U$11:Z$11), FALSE),  0)</f>
        <v>1924</v>
      </c>
      <c r="G18" s="459">
        <f>ROUND(VLOOKUP($B18, $U$11:$AC$35, COLUMNS($U$11:AA$11), FALSE),  0)</f>
        <v>1866</v>
      </c>
      <c r="H18" s="459">
        <f>ROUND(VLOOKUP($B18, $U$11:$AC$35, COLUMNS($U$11:AB$11), FALSE),  0)</f>
        <v>1787</v>
      </c>
      <c r="I18" s="459">
        <f>ROUND(VLOOKUP($B18, $U$11:$AC$35, COLUMNS($U$11:AC$11), FALSE),  0)</f>
        <v>1728</v>
      </c>
      <c r="K18" s="357">
        <v>7</v>
      </c>
      <c r="L18" s="359" t="s">
        <v>498</v>
      </c>
      <c r="M18" s="372">
        <v>300</v>
      </c>
      <c r="N18" s="373">
        <f>M18</f>
        <v>300</v>
      </c>
      <c r="O18" s="373">
        <f t="shared" ref="O18:S18" si="6">N18</f>
        <v>300</v>
      </c>
      <c r="P18" s="373">
        <f t="shared" si="6"/>
        <v>300</v>
      </c>
      <c r="Q18" s="373">
        <f t="shared" si="6"/>
        <v>300</v>
      </c>
      <c r="R18" s="373">
        <f t="shared" si="6"/>
        <v>300</v>
      </c>
      <c r="S18" s="373">
        <f t="shared" si="6"/>
        <v>300</v>
      </c>
      <c r="U18" s="374">
        <v>26</v>
      </c>
      <c r="V18" s="359" t="s">
        <v>543</v>
      </c>
      <c r="W18" s="377">
        <f t="shared" si="4"/>
        <v>2705.5450000000001</v>
      </c>
      <c r="X18" s="377">
        <f t="shared" si="4"/>
        <v>2355.5450000000001</v>
      </c>
      <c r="Y18" s="377">
        <f t="shared" si="4"/>
        <v>2238.8783333333336</v>
      </c>
      <c r="Z18" s="377">
        <f t="shared" si="4"/>
        <v>2140.4340999999999</v>
      </c>
      <c r="AA18" s="377">
        <f t="shared" si="4"/>
        <v>2045.2677499999998</v>
      </c>
      <c r="AB18" s="377">
        <f t="shared" si="4"/>
        <v>1941.7126166666669</v>
      </c>
      <c r="AC18" s="377">
        <f t="shared" si="4"/>
        <v>1864.8796</v>
      </c>
      <c r="AE18" s="367">
        <v>3</v>
      </c>
      <c r="AF18" s="368">
        <v>1730</v>
      </c>
      <c r="AG18" s="368">
        <v>2100</v>
      </c>
      <c r="AH18" s="369">
        <f>AG18-AF18</f>
        <v>370</v>
      </c>
      <c r="AI18" s="381">
        <f>AH18 / AF18</f>
        <v>0.2138728323699422</v>
      </c>
      <c r="AJ18" s="343"/>
      <c r="AK18" s="343"/>
      <c r="AL18" s="343"/>
      <c r="AM18" s="343"/>
      <c r="AN18" s="343"/>
    </row>
    <row r="19" spans="2:40" x14ac:dyDescent="0.2">
      <c r="B19" s="457">
        <v>24</v>
      </c>
      <c r="C19" s="459">
        <f>ROUND(VLOOKUP($B19, $U$11:$AC$35, COLUMNS($U$11:W$11), FALSE),  0)</f>
        <v>2664</v>
      </c>
      <c r="D19" s="459">
        <f>ROUND(VLOOKUP($B19, $U$11:$AC$35, COLUMNS($U$11:X$11), FALSE),  0)</f>
        <v>2314</v>
      </c>
      <c r="E19" s="459">
        <f>ROUND(VLOOKUP($B19, $U$11:$AC$35, COLUMNS($U$11:Y$11), FALSE),  0)</f>
        <v>2197</v>
      </c>
      <c r="F19" s="459">
        <f>ROUND(VLOOKUP($B19, $U$11:$AC$35, COLUMNS($U$11:Z$11), FALSE),  0)</f>
        <v>2099</v>
      </c>
      <c r="G19" s="459">
        <f>ROUND(VLOOKUP($B19, $U$11:$AC$35, COLUMNS($U$11:AA$11), FALSE),  0)</f>
        <v>2006</v>
      </c>
      <c r="H19" s="459">
        <f>ROUND(VLOOKUP($B19, $U$11:$AC$35, COLUMNS($U$11:AB$11), FALSE),  0)</f>
        <v>1904</v>
      </c>
      <c r="I19" s="459">
        <f>ROUND(VLOOKUP($B19, $U$11:$AC$35, COLUMNS($U$11:AC$11), FALSE),  0)</f>
        <v>1828</v>
      </c>
      <c r="K19" s="382"/>
      <c r="L19" s="359"/>
      <c r="M19" s="383"/>
      <c r="N19" s="384"/>
      <c r="O19" s="383"/>
      <c r="P19" s="385"/>
      <c r="Q19" s="385"/>
      <c r="R19" s="385"/>
      <c r="S19" s="385"/>
      <c r="U19" s="374">
        <v>27</v>
      </c>
      <c r="V19" s="359" t="s">
        <v>535</v>
      </c>
      <c r="W19" s="375">
        <f>W18</f>
        <v>2705.5450000000001</v>
      </c>
      <c r="X19" s="375">
        <f t="shared" ref="X19:AC19" si="7">X18</f>
        <v>2355.5450000000001</v>
      </c>
      <c r="Y19" s="375">
        <f t="shared" si="7"/>
        <v>2238.8783333333336</v>
      </c>
      <c r="Z19" s="375">
        <f t="shared" si="7"/>
        <v>2140.4340999999999</v>
      </c>
      <c r="AA19" s="375">
        <f t="shared" si="7"/>
        <v>2045.2677499999998</v>
      </c>
      <c r="AB19" s="375">
        <f t="shared" si="7"/>
        <v>1941.7126166666669</v>
      </c>
      <c r="AC19" s="375">
        <f t="shared" si="7"/>
        <v>1864.8796</v>
      </c>
      <c r="AE19" s="367">
        <v>4</v>
      </c>
      <c r="AF19" s="368">
        <v>1696</v>
      </c>
      <c r="AG19" s="368">
        <v>2058</v>
      </c>
      <c r="AH19" s="369">
        <f>AG19-AF19</f>
        <v>362</v>
      </c>
      <c r="AI19" s="381">
        <f>AH19 / AF19</f>
        <v>0.21344339622641509</v>
      </c>
      <c r="AJ19" s="343"/>
      <c r="AK19" s="343"/>
      <c r="AL19" s="343"/>
      <c r="AM19" s="343"/>
      <c r="AN19" s="343"/>
    </row>
    <row r="20" spans="2:40" x14ac:dyDescent="0.2">
      <c r="B20" s="457">
        <v>25</v>
      </c>
      <c r="C20" s="459">
        <f>ROUND(VLOOKUP($B20, $U$11:$AC$35, COLUMNS($U$11:W$11), FALSE),  0)</f>
        <v>2006</v>
      </c>
      <c r="D20" s="459">
        <f>ROUND(VLOOKUP($B20, $U$11:$AC$35, COLUMNS($U$11:X$11), FALSE),  0)</f>
        <v>2006</v>
      </c>
      <c r="E20" s="459">
        <f>ROUND(VLOOKUP($B20, $U$11:$AC$35, COLUMNS($U$11:Y$11), FALSE),  0)</f>
        <v>2006</v>
      </c>
      <c r="F20" s="459">
        <f>ROUND(VLOOKUP($B20, $U$11:$AC$35, COLUMNS($U$11:Z$11), FALSE),  0)</f>
        <v>1965</v>
      </c>
      <c r="G20" s="459">
        <f>ROUND(VLOOKUP($B20, $U$11:$AC$35, COLUMNS($U$11:AA$11), FALSE),  0)</f>
        <v>1905</v>
      </c>
      <c r="H20" s="459">
        <f>ROUND(VLOOKUP($B20, $U$11:$AC$35, COLUMNS($U$11:AB$11), FALSE),  0)</f>
        <v>1825</v>
      </c>
      <c r="I20" s="459">
        <f>ROUND(VLOOKUP($B20, $U$11:$AC$35, COLUMNS($U$11:AC$11), FALSE),  0)</f>
        <v>1765</v>
      </c>
      <c r="K20" s="357">
        <v>12</v>
      </c>
      <c r="L20" s="359" t="s">
        <v>478</v>
      </c>
      <c r="M20" s="376">
        <f t="shared" ref="M20:P23" si="8">$O39 * M$28 * M$30</f>
        <v>1102</v>
      </c>
      <c r="N20" s="376">
        <f t="shared" si="8"/>
        <v>1057.92</v>
      </c>
      <c r="O20" s="376">
        <f t="shared" si="8"/>
        <v>1024.8600000000001</v>
      </c>
      <c r="P20" s="376">
        <f t="shared" si="8"/>
        <v>1002.82</v>
      </c>
      <c r="Q20" s="373">
        <f>P20*P20/O20</f>
        <v>981.25397849462365</v>
      </c>
      <c r="R20" s="373">
        <f>Q20*Q20/P20</f>
        <v>960.15174239796499</v>
      </c>
      <c r="S20" s="373">
        <f>R20*R20/Q20</f>
        <v>939.50331783026672</v>
      </c>
      <c r="U20" s="374">
        <v>28</v>
      </c>
      <c r="V20" s="359" t="s">
        <v>544</v>
      </c>
      <c r="W20" s="375">
        <f t="shared" ref="W20:AC21" si="9">W34</f>
        <v>1200</v>
      </c>
      <c r="X20" s="375">
        <f t="shared" si="9"/>
        <v>900</v>
      </c>
      <c r="Y20" s="375">
        <f t="shared" si="9"/>
        <v>600</v>
      </c>
      <c r="Z20" s="375">
        <f t="shared" si="9"/>
        <v>600</v>
      </c>
      <c r="AA20" s="375">
        <f t="shared" si="9"/>
        <v>600</v>
      </c>
      <c r="AB20" s="375">
        <f t="shared" si="9"/>
        <v>600</v>
      </c>
      <c r="AC20" s="375">
        <f t="shared" si="9"/>
        <v>600</v>
      </c>
      <c r="AE20" s="367">
        <v>5</v>
      </c>
      <c r="AF20" s="368">
        <v>1644</v>
      </c>
      <c r="AG20" s="368">
        <v>1995</v>
      </c>
      <c r="AH20" s="369">
        <f>AG20-AF20</f>
        <v>351</v>
      </c>
      <c r="AI20" s="381">
        <f>AH20 / AF20</f>
        <v>0.21350364963503649</v>
      </c>
      <c r="AJ20" s="343"/>
      <c r="AK20" s="343"/>
      <c r="AL20" s="343"/>
      <c r="AM20" s="343"/>
      <c r="AN20" s="343"/>
    </row>
    <row r="21" spans="2:40" x14ac:dyDescent="0.2">
      <c r="B21" s="457">
        <v>26</v>
      </c>
      <c r="C21" s="459">
        <f>ROUND(VLOOKUP($B21, $U$11:$AC$35, COLUMNS($U$11:W$11), FALSE),  0)</f>
        <v>2706</v>
      </c>
      <c r="D21" s="459">
        <f>ROUND(VLOOKUP($B21, $U$11:$AC$35, COLUMNS($U$11:X$11), FALSE),  0)</f>
        <v>2356</v>
      </c>
      <c r="E21" s="459">
        <f>ROUND(VLOOKUP($B21, $U$11:$AC$35, COLUMNS($U$11:Y$11), FALSE),  0)</f>
        <v>2239</v>
      </c>
      <c r="F21" s="459">
        <f>ROUND(VLOOKUP($B21, $U$11:$AC$35, COLUMNS($U$11:Z$11), FALSE),  0)</f>
        <v>2140</v>
      </c>
      <c r="G21" s="459">
        <f>ROUND(VLOOKUP($B21, $U$11:$AC$35, COLUMNS($U$11:AA$11), FALSE),  0)</f>
        <v>2045</v>
      </c>
      <c r="H21" s="459">
        <f>ROUND(VLOOKUP($B21, $U$11:$AC$35, COLUMNS($U$11:AB$11), FALSE),  0)</f>
        <v>1942</v>
      </c>
      <c r="I21" s="459">
        <f>ROUND(VLOOKUP($B21, $U$11:$AC$35, COLUMNS($U$11:AC$11), FALSE),  0)</f>
        <v>1865</v>
      </c>
      <c r="J21" s="386"/>
      <c r="K21" s="357">
        <v>13</v>
      </c>
      <c r="L21" s="359" t="s">
        <v>479</v>
      </c>
      <c r="M21" s="376">
        <f t="shared" si="8"/>
        <v>1064</v>
      </c>
      <c r="N21" s="376">
        <f t="shared" si="8"/>
        <v>1021.4399999999999</v>
      </c>
      <c r="O21" s="376">
        <f t="shared" si="8"/>
        <v>989.5200000000001</v>
      </c>
      <c r="P21" s="376">
        <f t="shared" si="8"/>
        <v>968.24</v>
      </c>
      <c r="Q21" s="373">
        <f t="shared" ref="Q21:S23" si="10">P21*P21/O21</f>
        <v>947.41763440860211</v>
      </c>
      <c r="R21" s="373">
        <f t="shared" si="10"/>
        <v>927.04306162562136</v>
      </c>
      <c r="S21" s="373">
        <f t="shared" si="10"/>
        <v>907.10665169818856</v>
      </c>
      <c r="T21" s="386"/>
      <c r="U21" s="374">
        <v>29</v>
      </c>
      <c r="V21" s="359" t="s">
        <v>545</v>
      </c>
      <c r="W21" s="375">
        <f t="shared" si="9"/>
        <v>893.76</v>
      </c>
      <c r="X21" s="375">
        <f t="shared" si="9"/>
        <v>857.73599999999999</v>
      </c>
      <c r="Y21" s="375">
        <f t="shared" si="9"/>
        <v>821.62080000000003</v>
      </c>
      <c r="Z21" s="375">
        <f t="shared" si="9"/>
        <v>802.56000000000006</v>
      </c>
      <c r="AA21" s="375">
        <f t="shared" si="9"/>
        <v>783.941391941392</v>
      </c>
      <c r="AB21" s="375">
        <f t="shared" si="9"/>
        <v>765.75471740306921</v>
      </c>
      <c r="AC21" s="375">
        <f t="shared" si="9"/>
        <v>747.98995594927396</v>
      </c>
      <c r="AE21" s="343"/>
      <c r="AF21" s="343"/>
      <c r="AG21" s="343"/>
      <c r="AH21" s="343"/>
      <c r="AI21" s="343"/>
      <c r="AJ21" s="343"/>
      <c r="AK21" s="343"/>
      <c r="AL21" s="343"/>
      <c r="AM21" s="343"/>
      <c r="AN21" s="343"/>
    </row>
    <row r="22" spans="2:40" x14ac:dyDescent="0.2">
      <c r="B22" s="457">
        <v>27</v>
      </c>
      <c r="C22" s="459">
        <f>ROUND(VLOOKUP($B22, $U$11:$AC$35, COLUMNS($U$11:W$11), FALSE),  0)</f>
        <v>2706</v>
      </c>
      <c r="D22" s="459">
        <f>ROUND(VLOOKUP($B22, $U$11:$AC$35, COLUMNS($U$11:X$11), FALSE),  0)</f>
        <v>2356</v>
      </c>
      <c r="E22" s="459">
        <f>ROUND(VLOOKUP($B22, $U$11:$AC$35, COLUMNS($U$11:Y$11), FALSE),  0)</f>
        <v>2239</v>
      </c>
      <c r="F22" s="459">
        <f>ROUND(VLOOKUP($B22, $U$11:$AC$35, COLUMNS($U$11:Z$11), FALSE),  0)</f>
        <v>2140</v>
      </c>
      <c r="G22" s="459">
        <f>ROUND(VLOOKUP($B22, $U$11:$AC$35, COLUMNS($U$11:AA$11), FALSE),  0)</f>
        <v>2045</v>
      </c>
      <c r="H22" s="459">
        <f>ROUND(VLOOKUP($B22, $U$11:$AC$35, COLUMNS($U$11:AB$11), FALSE),  0)</f>
        <v>1942</v>
      </c>
      <c r="I22" s="459">
        <f>ROUND(VLOOKUP($B22, $U$11:$AC$35, COLUMNS($U$11:AC$11), FALSE),  0)</f>
        <v>1865</v>
      </c>
      <c r="J22" s="386"/>
      <c r="K22" s="357">
        <v>14</v>
      </c>
      <c r="L22" s="359" t="s">
        <v>480</v>
      </c>
      <c r="M22" s="376">
        <f t="shared" si="8"/>
        <v>1026</v>
      </c>
      <c r="N22" s="376">
        <f t="shared" si="8"/>
        <v>984.95999999999992</v>
      </c>
      <c r="O22" s="376">
        <f t="shared" si="8"/>
        <v>954.18000000000006</v>
      </c>
      <c r="P22" s="376">
        <f t="shared" si="8"/>
        <v>933.66000000000008</v>
      </c>
      <c r="Q22" s="373">
        <f t="shared" si="10"/>
        <v>913.58129032258068</v>
      </c>
      <c r="R22" s="373">
        <f t="shared" si="10"/>
        <v>893.93438085327784</v>
      </c>
      <c r="S22" s="373">
        <f t="shared" si="10"/>
        <v>874.7099855661105</v>
      </c>
      <c r="T22" s="386"/>
      <c r="U22" s="335"/>
      <c r="V22" s="335"/>
      <c r="W22" s="342"/>
      <c r="X22" s="342"/>
      <c r="Y22" s="342"/>
      <c r="Z22" s="342"/>
      <c r="AA22" s="342"/>
      <c r="AB22" s="342"/>
      <c r="AC22" s="342"/>
      <c r="AE22" s="343"/>
      <c r="AF22" s="343"/>
      <c r="AG22" s="343"/>
      <c r="AH22" s="343"/>
      <c r="AI22" s="343"/>
      <c r="AJ22" s="343"/>
      <c r="AK22" s="343"/>
      <c r="AL22" s="343"/>
      <c r="AM22" s="343"/>
      <c r="AN22" s="343"/>
    </row>
    <row r="23" spans="2:40" x14ac:dyDescent="0.2">
      <c r="B23" s="457">
        <v>28</v>
      </c>
      <c r="C23" s="459">
        <f>ROUND(VLOOKUP($B23, $U$11:$AC$35, COLUMNS($U$11:W$11), FALSE),  0)</f>
        <v>1200</v>
      </c>
      <c r="D23" s="459">
        <f>ROUND(VLOOKUP($B23, $U$11:$AC$35, COLUMNS($U$11:X$11), FALSE),  0)</f>
        <v>900</v>
      </c>
      <c r="E23" s="459">
        <f>ROUND(VLOOKUP($B23, $U$11:$AC$35, COLUMNS($U$11:Y$11), FALSE),  0)</f>
        <v>600</v>
      </c>
      <c r="F23" s="459">
        <f>ROUND(VLOOKUP($B23, $U$11:$AC$35, COLUMNS($U$11:Z$11), FALSE),  0)</f>
        <v>600</v>
      </c>
      <c r="G23" s="459">
        <f>ROUND(VLOOKUP($B23, $U$11:$AC$35, COLUMNS($U$11:AA$11), FALSE),  0)</f>
        <v>600</v>
      </c>
      <c r="H23" s="459">
        <f>ROUND(VLOOKUP($B23, $U$11:$AC$35, COLUMNS($U$11:AB$11), FALSE),  0)</f>
        <v>600</v>
      </c>
      <c r="I23" s="459">
        <f>ROUND(VLOOKUP($B23, $U$11:$AC$35, COLUMNS($U$11:AC$11), FALSE),  0)</f>
        <v>600</v>
      </c>
      <c r="J23" s="386"/>
      <c r="K23" s="357">
        <v>15</v>
      </c>
      <c r="L23" s="359" t="s">
        <v>481</v>
      </c>
      <c r="M23" s="376">
        <f t="shared" si="8"/>
        <v>988</v>
      </c>
      <c r="N23" s="376">
        <f t="shared" si="8"/>
        <v>948.48</v>
      </c>
      <c r="O23" s="376">
        <f t="shared" si="8"/>
        <v>918.84</v>
      </c>
      <c r="P23" s="376">
        <f t="shared" si="8"/>
        <v>899.08</v>
      </c>
      <c r="Q23" s="373">
        <f t="shared" si="10"/>
        <v>879.74494623655914</v>
      </c>
      <c r="R23" s="373">
        <f t="shared" si="10"/>
        <v>860.8257000809341</v>
      </c>
      <c r="S23" s="373">
        <f t="shared" si="10"/>
        <v>842.31331943403211</v>
      </c>
      <c r="T23" s="386"/>
      <c r="U23" s="357">
        <v>30</v>
      </c>
      <c r="V23" s="359" t="s">
        <v>497</v>
      </c>
      <c r="W23" s="376">
        <f t="shared" ref="W23:W30" si="11">($Y46*W$39*W$38 + $AA46)  /  W$38</f>
        <v>1325.25</v>
      </c>
      <c r="X23" s="380">
        <f>W23*0.8</f>
        <v>1060.2</v>
      </c>
      <c r="Y23" s="380">
        <f>X23*0.8</f>
        <v>848.16000000000008</v>
      </c>
      <c r="Z23" s="373">
        <f>Y23</f>
        <v>848.16000000000008</v>
      </c>
      <c r="AA23" s="373">
        <f>Z23</f>
        <v>848.16000000000008</v>
      </c>
      <c r="AB23" s="373">
        <f>AA23</f>
        <v>848.16000000000008</v>
      </c>
      <c r="AC23" s="373">
        <f>AB23</f>
        <v>848.16000000000008</v>
      </c>
      <c r="AE23" s="342"/>
      <c r="AF23" s="342"/>
      <c r="AG23" s="342"/>
      <c r="AH23" s="342"/>
      <c r="AI23" s="342"/>
      <c r="AJ23" s="343"/>
      <c r="AK23" s="343"/>
      <c r="AL23" s="343"/>
      <c r="AM23" s="343"/>
      <c r="AN23" s="343"/>
    </row>
    <row r="24" spans="2:40" x14ac:dyDescent="0.2">
      <c r="B24" s="457">
        <v>29</v>
      </c>
      <c r="C24" s="459">
        <f>ROUND(VLOOKUP($B24, $U$11:$AC$35, COLUMNS($U$11:W$11), FALSE),  0)</f>
        <v>894</v>
      </c>
      <c r="D24" s="459">
        <f>ROUND(VLOOKUP($B24, $U$11:$AC$35, COLUMNS($U$11:X$11), FALSE),  0)</f>
        <v>858</v>
      </c>
      <c r="E24" s="459">
        <f>ROUND(VLOOKUP($B24, $U$11:$AC$35, COLUMNS($U$11:Y$11), FALSE),  0)</f>
        <v>822</v>
      </c>
      <c r="F24" s="459">
        <f>ROUND(VLOOKUP($B24, $U$11:$AC$35, COLUMNS($U$11:Z$11), FALSE),  0)</f>
        <v>803</v>
      </c>
      <c r="G24" s="459">
        <f>ROUND(VLOOKUP($B24, $U$11:$AC$35, COLUMNS($U$11:AA$11), FALSE),  0)</f>
        <v>784</v>
      </c>
      <c r="H24" s="459">
        <f>ROUND(VLOOKUP($B24, $U$11:$AC$35, COLUMNS($U$11:AB$11), FALSE),  0)</f>
        <v>766</v>
      </c>
      <c r="I24" s="459">
        <f>ROUND(VLOOKUP($B24, $U$11:$AC$35, COLUMNS($U$11:AC$11), FALSE),  0)</f>
        <v>748</v>
      </c>
      <c r="J24" s="386"/>
      <c r="K24" s="357"/>
      <c r="L24" s="359"/>
      <c r="M24" s="340"/>
      <c r="N24" s="387"/>
      <c r="O24" s="340"/>
      <c r="P24" s="340"/>
      <c r="Q24" s="349"/>
      <c r="R24" s="340"/>
      <c r="S24" s="340"/>
      <c r="T24" s="386"/>
      <c r="U24" s="388">
        <v>31</v>
      </c>
      <c r="V24" s="389" t="s">
        <v>491</v>
      </c>
      <c r="W24" s="390">
        <f t="shared" si="11"/>
        <v>1472.5</v>
      </c>
      <c r="X24" s="390">
        <f t="shared" ref="X24:AC30" si="12">($Y47*X$39*X$38 + $AA47)  /  X$38</f>
        <v>1472.5</v>
      </c>
      <c r="Y24" s="390">
        <f t="shared" si="12"/>
        <v>1472.5</v>
      </c>
      <c r="Z24" s="390">
        <f t="shared" si="12"/>
        <v>1443.05</v>
      </c>
      <c r="AA24" s="390">
        <f t="shared" si="12"/>
        <v>1398.875</v>
      </c>
      <c r="AB24" s="390">
        <f t="shared" si="12"/>
        <v>1339.9750000000001</v>
      </c>
      <c r="AC24" s="390">
        <f t="shared" si="12"/>
        <v>1295.8</v>
      </c>
      <c r="AE24" s="391" t="s">
        <v>575</v>
      </c>
      <c r="AF24" s="392"/>
      <c r="AG24" s="392"/>
      <c r="AH24" s="392"/>
      <c r="AI24" s="392"/>
      <c r="AJ24" s="343"/>
      <c r="AK24" s="343"/>
      <c r="AL24" s="343"/>
      <c r="AM24" s="343"/>
      <c r="AN24" s="343"/>
    </row>
    <row r="25" spans="2:40" x14ac:dyDescent="0.2">
      <c r="B25" s="457">
        <v>30</v>
      </c>
      <c r="C25" s="459">
        <f>ROUND(VLOOKUP($B25, $U$11:$AC$35, COLUMNS($U$11:W$11), FALSE),  0)</f>
        <v>1325</v>
      </c>
      <c r="D25" s="459">
        <f>ROUND(VLOOKUP($B25, $U$11:$AC$35, COLUMNS($U$11:X$11), FALSE),  0)</f>
        <v>1060</v>
      </c>
      <c r="E25" s="459">
        <f>ROUND(VLOOKUP($B25, $U$11:$AC$35, COLUMNS($U$11:Y$11), FALSE),  0)</f>
        <v>848</v>
      </c>
      <c r="F25" s="459">
        <f>ROUND(VLOOKUP($B25, $U$11:$AC$35, COLUMNS($U$11:Z$11), FALSE),  0)</f>
        <v>848</v>
      </c>
      <c r="G25" s="459">
        <f>ROUND(VLOOKUP($B25, $U$11:$AC$35, COLUMNS($U$11:AA$11), FALSE),  0)</f>
        <v>848</v>
      </c>
      <c r="H25" s="459">
        <f>ROUND(VLOOKUP($B25, $U$11:$AC$35, COLUMNS($U$11:AB$11), FALSE),  0)</f>
        <v>848</v>
      </c>
      <c r="I25" s="459">
        <f>ROUND(VLOOKUP($B25, $U$11:$AC$35, COLUMNS($U$11:AC$11), FALSE),  0)</f>
        <v>848</v>
      </c>
      <c r="J25" s="386"/>
      <c r="K25" s="334"/>
      <c r="L25" s="356"/>
      <c r="M25" s="387"/>
      <c r="N25" s="393"/>
      <c r="O25" s="393"/>
      <c r="P25" s="393"/>
      <c r="Q25" s="354"/>
      <c r="R25" s="342"/>
      <c r="S25" s="342"/>
      <c r="T25" s="386"/>
      <c r="U25" s="357">
        <v>32</v>
      </c>
      <c r="V25" s="359" t="s">
        <v>494</v>
      </c>
      <c r="W25" s="376">
        <f t="shared" si="11"/>
        <v>1693.375</v>
      </c>
      <c r="X25" s="376">
        <f t="shared" si="12"/>
        <v>1693.375</v>
      </c>
      <c r="Y25" s="376">
        <f t="shared" si="12"/>
        <v>1693.375</v>
      </c>
      <c r="Z25" s="376">
        <f t="shared" si="12"/>
        <v>1659.5074999999999</v>
      </c>
      <c r="AA25" s="376">
        <f t="shared" si="12"/>
        <v>1608.70625</v>
      </c>
      <c r="AB25" s="376">
        <f t="shared" si="12"/>
        <v>1540.9712499999998</v>
      </c>
      <c r="AC25" s="376">
        <f t="shared" si="12"/>
        <v>1490.17</v>
      </c>
      <c r="AE25" s="394" t="s">
        <v>150</v>
      </c>
      <c r="AF25" s="394" t="s">
        <v>572</v>
      </c>
      <c r="AG25" s="394" t="s">
        <v>576</v>
      </c>
      <c r="AH25" s="394" t="s">
        <v>570</v>
      </c>
      <c r="AI25" s="394" t="s">
        <v>571</v>
      </c>
      <c r="AJ25" s="343"/>
      <c r="AK25" s="343"/>
      <c r="AL25" s="343"/>
      <c r="AM25" s="343"/>
      <c r="AN25" s="343"/>
    </row>
    <row r="26" spans="2:40" x14ac:dyDescent="0.2">
      <c r="B26" s="457">
        <v>31</v>
      </c>
      <c r="C26" s="459">
        <f>ROUND(VLOOKUP($B26, $U$11:$AC$35, COLUMNS($U$11:W$11), FALSE),  0)</f>
        <v>1473</v>
      </c>
      <c r="D26" s="459">
        <f>ROUND(VLOOKUP($B26, $U$11:$AC$35, COLUMNS($U$11:X$11), FALSE),  0)</f>
        <v>1473</v>
      </c>
      <c r="E26" s="459">
        <f>ROUND(VLOOKUP($B26, $U$11:$AC$35, COLUMNS($U$11:Y$11), FALSE),  0)</f>
        <v>1473</v>
      </c>
      <c r="F26" s="459">
        <f>ROUND(VLOOKUP($B26, $U$11:$AC$35, COLUMNS($U$11:Z$11), FALSE),  0)</f>
        <v>1443</v>
      </c>
      <c r="G26" s="459">
        <f>ROUND(VLOOKUP($B26, $U$11:$AC$35, COLUMNS($U$11:AA$11), FALSE),  0)</f>
        <v>1399</v>
      </c>
      <c r="H26" s="459">
        <f>ROUND(VLOOKUP($B26, $U$11:$AC$35, COLUMNS($U$11:AB$11), FALSE),  0)</f>
        <v>1340</v>
      </c>
      <c r="I26" s="459">
        <f>ROUND(VLOOKUP($B26, $U$11:$AC$35, COLUMNS($U$11:AC$11), FALSE),  0)</f>
        <v>1296</v>
      </c>
      <c r="J26" s="386"/>
      <c r="K26" s="334"/>
      <c r="L26" s="335" t="s">
        <v>150</v>
      </c>
      <c r="M26" s="395">
        <v>1</v>
      </c>
      <c r="N26" s="395">
        <v>2</v>
      </c>
      <c r="O26" s="395">
        <v>3</v>
      </c>
      <c r="P26" s="395">
        <v>4</v>
      </c>
      <c r="Q26" s="396"/>
      <c r="R26" s="396"/>
      <c r="S26" s="396"/>
      <c r="T26" s="386"/>
      <c r="U26" s="357">
        <v>33</v>
      </c>
      <c r="V26" s="359" t="s">
        <v>496</v>
      </c>
      <c r="W26" s="376">
        <f t="shared" si="11"/>
        <v>1730.1875</v>
      </c>
      <c r="X26" s="376">
        <f t="shared" si="12"/>
        <v>1730.1875</v>
      </c>
      <c r="Y26" s="376">
        <f t="shared" si="12"/>
        <v>1730.1875</v>
      </c>
      <c r="Z26" s="376">
        <f t="shared" si="12"/>
        <v>1695.58375</v>
      </c>
      <c r="AA26" s="376">
        <f t="shared" si="12"/>
        <v>1643.6781249999999</v>
      </c>
      <c r="AB26" s="376">
        <f t="shared" si="12"/>
        <v>1574.4706250000002</v>
      </c>
      <c r="AC26" s="376">
        <f t="shared" si="12"/>
        <v>1522.5650000000001</v>
      </c>
      <c r="AE26" s="397">
        <v>2</v>
      </c>
      <c r="AF26" s="398">
        <f>AF11</f>
        <v>1775</v>
      </c>
      <c r="AG26" s="398">
        <f>AF17</f>
        <v>1730</v>
      </c>
      <c r="AH26" s="398">
        <f>AG26-AF26</f>
        <v>-45</v>
      </c>
      <c r="AI26" s="399">
        <f>AH26/AF26</f>
        <v>-2.5352112676056339E-2</v>
      </c>
      <c r="AJ26" s="343"/>
      <c r="AK26" s="343"/>
      <c r="AL26" s="343"/>
      <c r="AM26" s="343"/>
      <c r="AN26" s="343"/>
    </row>
    <row r="27" spans="2:40" x14ac:dyDescent="0.2">
      <c r="B27" s="457">
        <v>32</v>
      </c>
      <c r="C27" s="459">
        <f>ROUND(VLOOKUP($B27, $U$11:$AC$35, COLUMNS($U$11:W$11), FALSE),  0)</f>
        <v>1693</v>
      </c>
      <c r="D27" s="459">
        <f>ROUND(VLOOKUP($B27, $U$11:$AC$35, COLUMNS($U$11:X$11), FALSE),  0)</f>
        <v>1693</v>
      </c>
      <c r="E27" s="459">
        <f>ROUND(VLOOKUP($B27, $U$11:$AC$35, COLUMNS($U$11:Y$11), FALSE),  0)</f>
        <v>1693</v>
      </c>
      <c r="F27" s="459">
        <f>ROUND(VLOOKUP($B27, $U$11:$AC$35, COLUMNS($U$11:Z$11), FALSE),  0)</f>
        <v>1660</v>
      </c>
      <c r="G27" s="459">
        <f>ROUND(VLOOKUP($B27, $U$11:$AC$35, COLUMNS($U$11:AA$11), FALSE),  0)</f>
        <v>1609</v>
      </c>
      <c r="H27" s="459">
        <f>ROUND(VLOOKUP($B27, $U$11:$AC$35, COLUMNS($U$11:AB$11), FALSE),  0)</f>
        <v>1541</v>
      </c>
      <c r="I27" s="459">
        <f>ROUND(VLOOKUP($B27, $U$11:$AC$35, COLUMNS($U$11:AC$11), FALSE),  0)</f>
        <v>1490</v>
      </c>
      <c r="J27" s="386"/>
      <c r="K27" s="334"/>
      <c r="L27" s="335" t="s">
        <v>577</v>
      </c>
      <c r="M27" s="400">
        <v>0.98</v>
      </c>
      <c r="N27" s="400">
        <v>0.99</v>
      </c>
      <c r="O27" s="400">
        <v>0.99</v>
      </c>
      <c r="P27" s="400">
        <v>1</v>
      </c>
      <c r="Q27" s="396"/>
      <c r="R27" s="396"/>
      <c r="S27" s="396"/>
      <c r="T27" s="386"/>
      <c r="U27" s="357">
        <v>34</v>
      </c>
      <c r="V27" s="359" t="s">
        <v>495</v>
      </c>
      <c r="W27" s="376">
        <f t="shared" si="11"/>
        <v>2430.1875</v>
      </c>
      <c r="X27" s="376">
        <f t="shared" si="12"/>
        <v>2080.1875</v>
      </c>
      <c r="Y27" s="376">
        <f t="shared" si="12"/>
        <v>1963.5208333333333</v>
      </c>
      <c r="Z27" s="376">
        <f t="shared" si="12"/>
        <v>1870.58375</v>
      </c>
      <c r="AA27" s="376">
        <f t="shared" si="12"/>
        <v>1783.6781249999999</v>
      </c>
      <c r="AB27" s="376">
        <f t="shared" si="12"/>
        <v>1691.1372916666669</v>
      </c>
      <c r="AC27" s="376">
        <f t="shared" si="12"/>
        <v>1622.5650000000001</v>
      </c>
      <c r="AE27" s="397">
        <v>3</v>
      </c>
      <c r="AF27" s="398">
        <f>AF12</f>
        <v>1717</v>
      </c>
      <c r="AG27" s="398">
        <f>AF18</f>
        <v>1730</v>
      </c>
      <c r="AH27" s="398">
        <f>AG27-AF27</f>
        <v>13</v>
      </c>
      <c r="AI27" s="399">
        <f>AH27/AF27</f>
        <v>7.5713453698311008E-3</v>
      </c>
      <c r="AJ27" s="343"/>
      <c r="AK27" s="343"/>
      <c r="AL27" s="343"/>
      <c r="AM27" s="343"/>
      <c r="AN27" s="343"/>
    </row>
    <row r="28" spans="2:40" x14ac:dyDescent="0.2">
      <c r="B28" s="457">
        <v>33</v>
      </c>
      <c r="C28" s="459">
        <f>ROUND(VLOOKUP($B28, $U$11:$AC$35, COLUMNS($U$11:W$11), FALSE),  0)</f>
        <v>1730</v>
      </c>
      <c r="D28" s="459">
        <f>ROUND(VLOOKUP($B28, $U$11:$AC$35, COLUMNS($U$11:X$11), FALSE),  0)</f>
        <v>1730</v>
      </c>
      <c r="E28" s="459">
        <f>ROUND(VLOOKUP($B28, $U$11:$AC$35, COLUMNS($U$11:Y$11), FALSE),  0)</f>
        <v>1730</v>
      </c>
      <c r="F28" s="459">
        <f>ROUND(VLOOKUP($B28, $U$11:$AC$35, COLUMNS($U$11:Z$11), FALSE),  0)</f>
        <v>1696</v>
      </c>
      <c r="G28" s="459">
        <f>ROUND(VLOOKUP($B28, $U$11:$AC$35, COLUMNS($U$11:AA$11), FALSE),  0)</f>
        <v>1644</v>
      </c>
      <c r="H28" s="459">
        <f>ROUND(VLOOKUP($B28, $U$11:$AC$35, COLUMNS($U$11:AB$11), FALSE),  0)</f>
        <v>1574</v>
      </c>
      <c r="I28" s="459">
        <f>ROUND(VLOOKUP($B28, $U$11:$AC$35, COLUMNS($U$11:AC$11), FALSE),  0)</f>
        <v>1523</v>
      </c>
      <c r="J28" s="386"/>
      <c r="K28" s="334"/>
      <c r="L28" s="335" t="s">
        <v>578</v>
      </c>
      <c r="M28" s="400">
        <v>1</v>
      </c>
      <c r="N28" s="400">
        <v>1</v>
      </c>
      <c r="O28" s="400">
        <v>1</v>
      </c>
      <c r="P28" s="400">
        <v>1</v>
      </c>
      <c r="Q28" s="396"/>
      <c r="R28" s="396"/>
      <c r="S28" s="396"/>
      <c r="T28" s="386"/>
      <c r="U28" s="357">
        <v>35</v>
      </c>
      <c r="V28" s="359" t="s">
        <v>501</v>
      </c>
      <c r="W28" s="376">
        <f t="shared" si="11"/>
        <v>1767</v>
      </c>
      <c r="X28" s="376">
        <f t="shared" si="12"/>
        <v>1767</v>
      </c>
      <c r="Y28" s="376">
        <f t="shared" si="12"/>
        <v>1767</v>
      </c>
      <c r="Z28" s="376">
        <f t="shared" si="12"/>
        <v>1731.66</v>
      </c>
      <c r="AA28" s="376">
        <f t="shared" si="12"/>
        <v>1678.65</v>
      </c>
      <c r="AB28" s="376">
        <f t="shared" si="12"/>
        <v>1607.97</v>
      </c>
      <c r="AC28" s="376">
        <f t="shared" si="12"/>
        <v>1554.9600000000003</v>
      </c>
      <c r="AE28" s="397">
        <v>4</v>
      </c>
      <c r="AF28" s="398">
        <f>AF13</f>
        <v>1656</v>
      </c>
      <c r="AG28" s="398">
        <f>AF19</f>
        <v>1696</v>
      </c>
      <c r="AH28" s="398">
        <f>AG28-AF28</f>
        <v>40</v>
      </c>
      <c r="AI28" s="399">
        <f>AH28/AF28</f>
        <v>2.4154589371980676E-2</v>
      </c>
      <c r="AJ28" s="343"/>
      <c r="AK28" s="343"/>
      <c r="AL28" s="343"/>
      <c r="AM28" s="343"/>
      <c r="AN28" s="343"/>
    </row>
    <row r="29" spans="2:40" x14ac:dyDescent="0.2">
      <c r="B29" s="457">
        <v>34</v>
      </c>
      <c r="C29" s="459">
        <f>ROUND(VLOOKUP($B29, $U$11:$AC$35, COLUMNS($U$11:W$11), FALSE),  0)</f>
        <v>2430</v>
      </c>
      <c r="D29" s="459">
        <f>ROUND(VLOOKUP($B29, $U$11:$AC$35, COLUMNS($U$11:X$11), FALSE),  0)</f>
        <v>2080</v>
      </c>
      <c r="E29" s="459">
        <f>ROUND(VLOOKUP($B29, $U$11:$AC$35, COLUMNS($U$11:Y$11), FALSE),  0)</f>
        <v>1964</v>
      </c>
      <c r="F29" s="459">
        <f>ROUND(VLOOKUP($B29, $U$11:$AC$35, COLUMNS($U$11:Z$11), FALSE),  0)</f>
        <v>1871</v>
      </c>
      <c r="G29" s="459">
        <f>ROUND(VLOOKUP($B29, $U$11:$AC$35, COLUMNS($U$11:AA$11), FALSE),  0)</f>
        <v>1784</v>
      </c>
      <c r="H29" s="459">
        <f>ROUND(VLOOKUP($B29, $U$11:$AC$35, COLUMNS($U$11:AB$11), FALSE),  0)</f>
        <v>1691</v>
      </c>
      <c r="I29" s="459">
        <f>ROUND(VLOOKUP($B29, $U$11:$AC$35, COLUMNS($U$11:AC$11), FALSE),  0)</f>
        <v>1623</v>
      </c>
      <c r="J29" s="386"/>
      <c r="K29" s="334"/>
      <c r="L29" s="335" t="s">
        <v>579</v>
      </c>
      <c r="M29" s="400">
        <v>1</v>
      </c>
      <c r="N29" s="400">
        <v>0.95</v>
      </c>
      <c r="O29" s="400">
        <v>0.91</v>
      </c>
      <c r="P29" s="400">
        <v>0.88</v>
      </c>
      <c r="Q29" s="396"/>
      <c r="R29" s="396"/>
      <c r="S29" s="396"/>
      <c r="T29" s="386"/>
      <c r="U29" s="357">
        <v>36</v>
      </c>
      <c r="V29" s="359" t="s">
        <v>500</v>
      </c>
      <c r="W29" s="376">
        <f t="shared" si="11"/>
        <v>2467</v>
      </c>
      <c r="X29" s="376">
        <f t="shared" si="12"/>
        <v>2117</v>
      </c>
      <c r="Y29" s="376">
        <f t="shared" si="12"/>
        <v>2000.3333333333333</v>
      </c>
      <c r="Z29" s="376">
        <f t="shared" si="12"/>
        <v>1906.66</v>
      </c>
      <c r="AA29" s="376">
        <f t="shared" si="12"/>
        <v>1818.65</v>
      </c>
      <c r="AB29" s="376">
        <f t="shared" si="12"/>
        <v>1724.6366666666665</v>
      </c>
      <c r="AC29" s="376">
        <f t="shared" si="12"/>
        <v>1654.9600000000003</v>
      </c>
      <c r="AE29" s="397">
        <v>5</v>
      </c>
      <c r="AF29" s="398">
        <f>AF14</f>
        <v>1575</v>
      </c>
      <c r="AG29" s="398">
        <f>AF20</f>
        <v>1644</v>
      </c>
      <c r="AH29" s="398">
        <f>AG29-AF29</f>
        <v>69</v>
      </c>
      <c r="AI29" s="399">
        <f>AH29/AF29</f>
        <v>4.3809523809523812E-2</v>
      </c>
      <c r="AJ29" s="343"/>
      <c r="AK29" s="343"/>
      <c r="AL29" s="343"/>
      <c r="AM29" s="343"/>
      <c r="AN29" s="343"/>
    </row>
    <row r="30" spans="2:40" x14ac:dyDescent="0.2">
      <c r="B30" s="457">
        <v>35</v>
      </c>
      <c r="C30" s="459">
        <f>ROUND(VLOOKUP($B30, $U$11:$AC$35, COLUMNS($U$11:W$11), FALSE),  0)</f>
        <v>1767</v>
      </c>
      <c r="D30" s="459">
        <f>ROUND(VLOOKUP($B30, $U$11:$AC$35, COLUMNS($U$11:X$11), FALSE),  0)</f>
        <v>1767</v>
      </c>
      <c r="E30" s="459">
        <f>ROUND(VLOOKUP($B30, $U$11:$AC$35, COLUMNS($U$11:Y$11), FALSE),  0)</f>
        <v>1767</v>
      </c>
      <c r="F30" s="459">
        <f>ROUND(VLOOKUP($B30, $U$11:$AC$35, COLUMNS($U$11:Z$11), FALSE),  0)</f>
        <v>1732</v>
      </c>
      <c r="G30" s="459">
        <f>ROUND(VLOOKUP($B30, $U$11:$AC$35, COLUMNS($U$11:AA$11), FALSE),  0)</f>
        <v>1679</v>
      </c>
      <c r="H30" s="459">
        <f>ROUND(VLOOKUP($B30, $U$11:$AC$35, COLUMNS($U$11:AB$11), FALSE),  0)</f>
        <v>1608</v>
      </c>
      <c r="I30" s="459">
        <f>ROUND(VLOOKUP($B30, $U$11:$AC$35, COLUMNS($U$11:AC$11), FALSE),  0)</f>
        <v>1555</v>
      </c>
      <c r="J30" s="386"/>
      <c r="K30" s="334"/>
      <c r="L30" s="335" t="s">
        <v>580</v>
      </c>
      <c r="M30" s="400">
        <v>1</v>
      </c>
      <c r="N30" s="400">
        <v>0.96</v>
      </c>
      <c r="O30" s="400">
        <v>0.93</v>
      </c>
      <c r="P30" s="400">
        <v>0.91</v>
      </c>
      <c r="Q30" s="396"/>
      <c r="R30" s="396"/>
      <c r="S30" s="396"/>
      <c r="T30" s="386"/>
      <c r="U30" s="401">
        <v>37</v>
      </c>
      <c r="V30" s="402" t="s">
        <v>489</v>
      </c>
      <c r="W30" s="403">
        <f t="shared" si="11"/>
        <v>1767</v>
      </c>
      <c r="X30" s="403">
        <f t="shared" si="12"/>
        <v>1767</v>
      </c>
      <c r="Y30" s="403">
        <f t="shared" si="12"/>
        <v>1767</v>
      </c>
      <c r="Z30" s="403">
        <f t="shared" si="12"/>
        <v>1731.66</v>
      </c>
      <c r="AA30" s="403">
        <f t="shared" si="12"/>
        <v>1678.65</v>
      </c>
      <c r="AB30" s="403">
        <f t="shared" si="12"/>
        <v>1607.97</v>
      </c>
      <c r="AC30" s="403">
        <f t="shared" si="12"/>
        <v>1554.9600000000003</v>
      </c>
      <c r="AE30" s="392"/>
      <c r="AF30" s="392"/>
      <c r="AG30" s="392"/>
      <c r="AH30" s="392"/>
      <c r="AI30" s="392"/>
      <c r="AJ30" s="343"/>
      <c r="AK30" s="343"/>
      <c r="AL30" s="343"/>
      <c r="AM30" s="343"/>
      <c r="AN30" s="343"/>
    </row>
    <row r="31" spans="2:40" x14ac:dyDescent="0.2">
      <c r="B31" s="457">
        <v>36</v>
      </c>
      <c r="C31" s="459">
        <f>ROUND(VLOOKUP($B31, $U$11:$AC$35, COLUMNS($U$11:W$11), FALSE),  0)</f>
        <v>2467</v>
      </c>
      <c r="D31" s="459">
        <f>ROUND(VLOOKUP($B31, $U$11:$AC$35, COLUMNS($U$11:X$11), FALSE),  0)</f>
        <v>2117</v>
      </c>
      <c r="E31" s="459">
        <f>ROUND(VLOOKUP($B31, $U$11:$AC$35, COLUMNS($U$11:Y$11), FALSE),  0)</f>
        <v>2000</v>
      </c>
      <c r="F31" s="459">
        <f>ROUND(VLOOKUP($B31, $U$11:$AC$35, COLUMNS($U$11:Z$11), FALSE),  0)</f>
        <v>1907</v>
      </c>
      <c r="G31" s="459">
        <f>ROUND(VLOOKUP($B31, $U$11:$AC$35, COLUMNS($U$11:AA$11), FALSE),  0)</f>
        <v>1819</v>
      </c>
      <c r="H31" s="459">
        <f>ROUND(VLOOKUP($B31, $U$11:$AC$35, COLUMNS($U$11:AB$11), FALSE),  0)</f>
        <v>1725</v>
      </c>
      <c r="I31" s="459">
        <f>ROUND(VLOOKUP($B31, $U$11:$AC$35, COLUMNS($U$11:AC$11), FALSE),  0)</f>
        <v>1655</v>
      </c>
      <c r="J31" s="386"/>
      <c r="K31" s="334"/>
      <c r="L31" s="335"/>
      <c r="M31" s="342"/>
      <c r="N31" s="353"/>
      <c r="O31" s="342"/>
      <c r="P31" s="342"/>
      <c r="Q31" s="354"/>
      <c r="R31" s="342"/>
      <c r="S31" s="342"/>
      <c r="T31" s="386"/>
      <c r="U31" s="357">
        <v>38</v>
      </c>
      <c r="V31" s="359" t="s">
        <v>490</v>
      </c>
      <c r="W31" s="373">
        <f>W30</f>
        <v>1767</v>
      </c>
      <c r="X31" s="373">
        <f t="shared" ref="X31:AC32" si="13">X30</f>
        <v>1767</v>
      </c>
      <c r="Y31" s="373">
        <f t="shared" si="13"/>
        <v>1767</v>
      </c>
      <c r="Z31" s="373">
        <f t="shared" si="13"/>
        <v>1731.66</v>
      </c>
      <c r="AA31" s="373">
        <f t="shared" si="13"/>
        <v>1678.65</v>
      </c>
      <c r="AB31" s="373">
        <f t="shared" si="13"/>
        <v>1607.97</v>
      </c>
      <c r="AC31" s="373">
        <f t="shared" si="13"/>
        <v>1554.9600000000003</v>
      </c>
      <c r="AE31" s="391" t="s">
        <v>569</v>
      </c>
      <c r="AF31" s="392"/>
      <c r="AG31" s="392"/>
      <c r="AH31" s="392"/>
      <c r="AI31" s="392"/>
      <c r="AJ31" s="343"/>
      <c r="AK31" s="343"/>
      <c r="AL31" s="343"/>
      <c r="AM31" s="343"/>
      <c r="AN31" s="343"/>
    </row>
    <row r="32" spans="2:40" x14ac:dyDescent="0.2">
      <c r="B32" s="457">
        <v>37</v>
      </c>
      <c r="C32" s="459">
        <f>ROUND(VLOOKUP($B32, $U$11:$AC$35, COLUMNS($U$11:W$11), FALSE),  0)</f>
        <v>1767</v>
      </c>
      <c r="D32" s="459">
        <f>ROUND(VLOOKUP($B32, $U$11:$AC$35, COLUMNS($U$11:X$11), FALSE),  0)</f>
        <v>1767</v>
      </c>
      <c r="E32" s="459">
        <f>ROUND(VLOOKUP($B32, $U$11:$AC$35, COLUMNS($U$11:Y$11), FALSE),  0)</f>
        <v>1767</v>
      </c>
      <c r="F32" s="459">
        <f>ROUND(VLOOKUP($B32, $U$11:$AC$35, COLUMNS($U$11:Z$11), FALSE),  0)</f>
        <v>1732</v>
      </c>
      <c r="G32" s="459">
        <f>ROUND(VLOOKUP($B32, $U$11:$AC$35, COLUMNS($U$11:AA$11), FALSE),  0)</f>
        <v>1679</v>
      </c>
      <c r="H32" s="459">
        <f>ROUND(VLOOKUP($B32, $U$11:$AC$35, COLUMNS($U$11:AB$11), FALSE),  0)</f>
        <v>1608</v>
      </c>
      <c r="I32" s="459">
        <f>ROUND(VLOOKUP($B32, $U$11:$AC$35, COLUMNS($U$11:AC$11), FALSE),  0)</f>
        <v>1555</v>
      </c>
      <c r="J32" s="386"/>
      <c r="K32" s="334"/>
      <c r="L32" s="335"/>
      <c r="M32" s="342"/>
      <c r="N32" s="353"/>
      <c r="O32" s="342"/>
      <c r="P32" s="342"/>
      <c r="Q32" s="354"/>
      <c r="R32" s="342"/>
      <c r="S32" s="342"/>
      <c r="T32" s="386"/>
      <c r="U32" s="357">
        <v>39</v>
      </c>
      <c r="V32" s="359" t="s">
        <v>488</v>
      </c>
      <c r="W32" s="373">
        <f>W31</f>
        <v>1767</v>
      </c>
      <c r="X32" s="373">
        <f t="shared" si="13"/>
        <v>1767</v>
      </c>
      <c r="Y32" s="373">
        <f t="shared" si="13"/>
        <v>1767</v>
      </c>
      <c r="Z32" s="373">
        <f t="shared" si="13"/>
        <v>1731.66</v>
      </c>
      <c r="AA32" s="373">
        <f t="shared" si="13"/>
        <v>1678.65</v>
      </c>
      <c r="AB32" s="373">
        <f t="shared" si="13"/>
        <v>1607.97</v>
      </c>
      <c r="AC32" s="373">
        <f t="shared" si="13"/>
        <v>1554.9600000000003</v>
      </c>
      <c r="AE32" s="394" t="s">
        <v>150</v>
      </c>
      <c r="AF32" s="394" t="s">
        <v>572</v>
      </c>
      <c r="AG32" s="394" t="s">
        <v>576</v>
      </c>
      <c r="AH32" s="394" t="s">
        <v>570</v>
      </c>
      <c r="AI32" s="394" t="s">
        <v>571</v>
      </c>
      <c r="AJ32" s="342"/>
      <c r="AK32" s="342"/>
      <c r="AL32" s="342"/>
      <c r="AM32" s="342"/>
      <c r="AN32" s="342"/>
    </row>
    <row r="33" spans="2:40" ht="25.5" x14ac:dyDescent="0.2">
      <c r="B33" s="457">
        <v>38</v>
      </c>
      <c r="C33" s="459">
        <f>ROUND(VLOOKUP($B33, $U$11:$AC$35, COLUMNS($U$11:W$11), FALSE),  0)</f>
        <v>1767</v>
      </c>
      <c r="D33" s="459">
        <f>ROUND(VLOOKUP($B33, $U$11:$AC$35, COLUMNS($U$11:X$11), FALSE),  0)</f>
        <v>1767</v>
      </c>
      <c r="E33" s="459">
        <f>ROUND(VLOOKUP($B33, $U$11:$AC$35, COLUMNS($U$11:Y$11), FALSE),  0)</f>
        <v>1767</v>
      </c>
      <c r="F33" s="459">
        <f>ROUND(VLOOKUP($B33, $U$11:$AC$35, COLUMNS($U$11:Z$11), FALSE),  0)</f>
        <v>1732</v>
      </c>
      <c r="G33" s="459">
        <f>ROUND(VLOOKUP($B33, $U$11:$AC$35, COLUMNS($U$11:AA$11), FALSE),  0)</f>
        <v>1679</v>
      </c>
      <c r="H33" s="459">
        <f>ROUND(VLOOKUP($B33, $U$11:$AC$35, COLUMNS($U$11:AB$11), FALSE),  0)</f>
        <v>1608</v>
      </c>
      <c r="I33" s="459">
        <f>ROUND(VLOOKUP($B33, $U$11:$AC$35, COLUMNS($U$11:AC$11), FALSE),  0)</f>
        <v>1555</v>
      </c>
      <c r="J33" s="386"/>
      <c r="K33" s="363" t="s">
        <v>403</v>
      </c>
      <c r="L33" s="364" t="s">
        <v>573</v>
      </c>
      <c r="M33" s="404" t="s">
        <v>581</v>
      </c>
      <c r="N33" s="404" t="s">
        <v>582</v>
      </c>
      <c r="O33" s="404" t="s">
        <v>583</v>
      </c>
      <c r="P33" s="354"/>
      <c r="Q33" s="342"/>
      <c r="R33" s="342"/>
      <c r="S33" s="342"/>
      <c r="T33" s="386"/>
      <c r="U33" s="357">
        <v>40</v>
      </c>
      <c r="V33" s="359" t="s">
        <v>431</v>
      </c>
      <c r="W33" s="380">
        <f t="shared" ref="W33:AC33" si="14">AVERAGE(W16,W18)</f>
        <v>2684.6539062500001</v>
      </c>
      <c r="X33" s="380">
        <f t="shared" si="14"/>
        <v>2334.6539062500001</v>
      </c>
      <c r="Y33" s="380">
        <f t="shared" si="14"/>
        <v>2217.9872395833336</v>
      </c>
      <c r="Z33" s="380">
        <f t="shared" si="14"/>
        <v>2119.9608281250003</v>
      </c>
      <c r="AA33" s="380">
        <f t="shared" si="14"/>
        <v>2025.4212109374998</v>
      </c>
      <c r="AB33" s="380">
        <f t="shared" si="14"/>
        <v>1922.7017213541669</v>
      </c>
      <c r="AC33" s="380">
        <f t="shared" si="14"/>
        <v>1846.4954375000002</v>
      </c>
      <c r="AE33" s="397">
        <v>2</v>
      </c>
      <c r="AF33" s="398">
        <f>AG11</f>
        <v>2088</v>
      </c>
      <c r="AG33" s="398">
        <f>AG17</f>
        <v>2100</v>
      </c>
      <c r="AH33" s="398">
        <f>AG33-AF33</f>
        <v>12</v>
      </c>
      <c r="AI33" s="399">
        <f>AH33/AF33</f>
        <v>5.7471264367816091E-3</v>
      </c>
      <c r="AJ33" s="342"/>
      <c r="AK33" s="342"/>
      <c r="AL33" s="342"/>
      <c r="AM33" s="342"/>
      <c r="AN33" s="342"/>
    </row>
    <row r="34" spans="2:40" x14ac:dyDescent="0.2">
      <c r="B34" s="457">
        <v>39</v>
      </c>
      <c r="C34" s="459">
        <f>ROUND(VLOOKUP($B34, $U$11:$AC$35, COLUMNS($U$11:W$11), FALSE),  0)</f>
        <v>1767</v>
      </c>
      <c r="D34" s="459">
        <f>ROUND(VLOOKUP($B34, $U$11:$AC$35, COLUMNS($U$11:X$11), FALSE),  0)</f>
        <v>1767</v>
      </c>
      <c r="E34" s="459">
        <f>ROUND(VLOOKUP($B34, $U$11:$AC$35, COLUMNS($U$11:Y$11), FALSE),  0)</f>
        <v>1767</v>
      </c>
      <c r="F34" s="459">
        <f>ROUND(VLOOKUP($B34, $U$11:$AC$35, COLUMNS($U$11:Z$11), FALSE),  0)</f>
        <v>1732</v>
      </c>
      <c r="G34" s="459">
        <f>ROUND(VLOOKUP($B34, $U$11:$AC$35, COLUMNS($U$11:AA$11), FALSE),  0)</f>
        <v>1679</v>
      </c>
      <c r="H34" s="459">
        <f>ROUND(VLOOKUP($B34, $U$11:$AC$35, COLUMNS($U$11:AB$11), FALSE),  0)</f>
        <v>1608</v>
      </c>
      <c r="I34" s="459">
        <f>ROUND(VLOOKUP($B34, $U$11:$AC$35, COLUMNS($U$11:AC$11), FALSE),  0)</f>
        <v>1555</v>
      </c>
      <c r="J34" s="386"/>
      <c r="K34" s="357">
        <v>2</v>
      </c>
      <c r="L34" s="356" t="s">
        <v>454</v>
      </c>
      <c r="M34" s="405">
        <v>1900</v>
      </c>
      <c r="N34" s="400">
        <v>0.52</v>
      </c>
      <c r="O34" s="406">
        <f>M34 * N34</f>
        <v>988</v>
      </c>
      <c r="P34" s="354"/>
      <c r="Q34" s="342"/>
      <c r="R34" s="342"/>
      <c r="S34" s="342"/>
      <c r="T34" s="386"/>
      <c r="U34" s="357">
        <v>41</v>
      </c>
      <c r="V34" s="359" t="s">
        <v>428</v>
      </c>
      <c r="W34" s="372">
        <v>1200</v>
      </c>
      <c r="X34" s="372">
        <v>900</v>
      </c>
      <c r="Y34" s="372">
        <v>600</v>
      </c>
      <c r="Z34" s="373">
        <f>Y34</f>
        <v>600</v>
      </c>
      <c r="AA34" s="373">
        <f t="shared" ref="AA34:AC34" si="15">Z34</f>
        <v>600</v>
      </c>
      <c r="AB34" s="373">
        <f t="shared" si="15"/>
        <v>600</v>
      </c>
      <c r="AC34" s="373">
        <f t="shared" si="15"/>
        <v>600</v>
      </c>
      <c r="AE34" s="397">
        <v>3</v>
      </c>
      <c r="AF34" s="398">
        <f>AG12</f>
        <v>2017</v>
      </c>
      <c r="AG34" s="398">
        <f>AG18</f>
        <v>2100</v>
      </c>
      <c r="AH34" s="398">
        <f>AG34-AF34</f>
        <v>83</v>
      </c>
      <c r="AI34" s="399">
        <f>AH34/AF34</f>
        <v>4.1150223103619238E-2</v>
      </c>
      <c r="AJ34" s="342"/>
      <c r="AK34" s="342"/>
      <c r="AL34" s="342"/>
      <c r="AM34" s="342"/>
      <c r="AN34" s="342"/>
    </row>
    <row r="35" spans="2:40" x14ac:dyDescent="0.2">
      <c r="B35" s="457">
        <v>40</v>
      </c>
      <c r="C35" s="459">
        <f>ROUND(VLOOKUP($B35, $U$11:$AC$35, COLUMNS($U$11:W$11), FALSE),  0)</f>
        <v>2685</v>
      </c>
      <c r="D35" s="459">
        <f>ROUND(VLOOKUP($B35, $U$11:$AC$35, COLUMNS($U$11:X$11), FALSE),  0)</f>
        <v>2335</v>
      </c>
      <c r="E35" s="459">
        <f>ROUND(VLOOKUP($B35, $U$11:$AC$35, COLUMNS($U$11:Y$11), FALSE),  0)</f>
        <v>2218</v>
      </c>
      <c r="F35" s="459">
        <f>ROUND(VLOOKUP($B35, $U$11:$AC$35, COLUMNS($U$11:Z$11), FALSE),  0)</f>
        <v>2120</v>
      </c>
      <c r="G35" s="459">
        <f>ROUND(VLOOKUP($B35, $U$11:$AC$35, COLUMNS($U$11:AA$11), FALSE),  0)</f>
        <v>2025</v>
      </c>
      <c r="H35" s="459">
        <f>ROUND(VLOOKUP($B35, $U$11:$AC$35, COLUMNS($U$11:AB$11), FALSE),  0)</f>
        <v>1923</v>
      </c>
      <c r="I35" s="459">
        <f>ROUND(VLOOKUP($B35, $U$11:$AC$35, COLUMNS($U$11:AC$11), FALSE),  0)</f>
        <v>1846</v>
      </c>
      <c r="J35" s="386"/>
      <c r="K35" s="357">
        <v>3</v>
      </c>
      <c r="L35" s="356" t="s">
        <v>408</v>
      </c>
      <c r="M35" s="405">
        <v>1900</v>
      </c>
      <c r="N35" s="400">
        <v>0.48</v>
      </c>
      <c r="O35" s="406">
        <f t="shared" ref="O35:O42" si="16">M35 * N35</f>
        <v>912</v>
      </c>
      <c r="P35" s="354"/>
      <c r="Q35" s="342"/>
      <c r="R35" s="342"/>
      <c r="S35" s="342"/>
      <c r="T35" s="386"/>
      <c r="U35" s="357">
        <v>42</v>
      </c>
      <c r="V35" s="359" t="s">
        <v>429</v>
      </c>
      <c r="W35" s="376">
        <f t="shared" ref="W35:AC35" si="17">M14</f>
        <v>893.76</v>
      </c>
      <c r="X35" s="376">
        <f t="shared" si="17"/>
        <v>857.73599999999999</v>
      </c>
      <c r="Y35" s="376">
        <f t="shared" si="17"/>
        <v>821.62080000000003</v>
      </c>
      <c r="Z35" s="376">
        <f t="shared" si="17"/>
        <v>802.56000000000006</v>
      </c>
      <c r="AA35" s="376">
        <f t="shared" si="17"/>
        <v>783.941391941392</v>
      </c>
      <c r="AB35" s="376">
        <f t="shared" si="17"/>
        <v>765.75471740306921</v>
      </c>
      <c r="AC35" s="376">
        <f t="shared" si="17"/>
        <v>747.98995594927396</v>
      </c>
      <c r="AE35" s="397">
        <v>4</v>
      </c>
      <c r="AF35" s="398">
        <f>AG13</f>
        <v>1950</v>
      </c>
      <c r="AG35" s="398">
        <f>AG19</f>
        <v>2058</v>
      </c>
      <c r="AH35" s="398">
        <f>AG35-AF35</f>
        <v>108</v>
      </c>
      <c r="AI35" s="399">
        <f>AH35/AF35</f>
        <v>5.5384615384615386E-2</v>
      </c>
      <c r="AJ35" s="342"/>
      <c r="AK35" s="342"/>
      <c r="AL35" s="342"/>
      <c r="AM35" s="342"/>
      <c r="AN35" s="342"/>
    </row>
    <row r="36" spans="2:40" x14ac:dyDescent="0.2">
      <c r="B36" s="457">
        <v>41</v>
      </c>
      <c r="C36" s="459">
        <f>ROUND(VLOOKUP($B36, $U$11:$AC$35, COLUMNS($U$11:W$11), FALSE),  0)</f>
        <v>1200</v>
      </c>
      <c r="D36" s="459">
        <f>ROUND(VLOOKUP($B36, $U$11:$AC$35, COLUMNS($U$11:X$11), FALSE),  0)</f>
        <v>900</v>
      </c>
      <c r="E36" s="459">
        <f>ROUND(VLOOKUP($B36, $U$11:$AC$35, COLUMNS($U$11:Y$11), FALSE),  0)</f>
        <v>600</v>
      </c>
      <c r="F36" s="459">
        <f>ROUND(VLOOKUP($B36, $U$11:$AC$35, COLUMNS($U$11:Z$11), FALSE),  0)</f>
        <v>600</v>
      </c>
      <c r="G36" s="459">
        <f>ROUND(VLOOKUP($B36, $U$11:$AC$35, COLUMNS($U$11:AA$11), FALSE),  0)</f>
        <v>600</v>
      </c>
      <c r="H36" s="459">
        <f>ROUND(VLOOKUP($B36, $U$11:$AC$35, COLUMNS($U$11:AB$11), FALSE),  0)</f>
        <v>600</v>
      </c>
      <c r="I36" s="459">
        <f>ROUND(VLOOKUP($B36, $U$11:$AC$35, COLUMNS($U$11:AC$11), FALSE),  0)</f>
        <v>600</v>
      </c>
      <c r="J36" s="386"/>
      <c r="K36" s="357">
        <v>4</v>
      </c>
      <c r="L36" s="356" t="s">
        <v>420</v>
      </c>
      <c r="M36" s="405">
        <v>1700</v>
      </c>
      <c r="N36" s="400">
        <v>0.44</v>
      </c>
      <c r="O36" s="406">
        <f t="shared" si="16"/>
        <v>748</v>
      </c>
      <c r="P36" s="354"/>
      <c r="Q36" s="342"/>
      <c r="R36" s="342"/>
      <c r="S36" s="342"/>
      <c r="T36" s="386"/>
      <c r="U36" s="357"/>
      <c r="V36" s="359"/>
      <c r="W36" s="340"/>
      <c r="X36" s="340"/>
      <c r="Y36" s="340"/>
      <c r="Z36" s="340"/>
      <c r="AA36" s="340"/>
      <c r="AB36" s="340"/>
      <c r="AC36" s="340"/>
      <c r="AE36" s="397">
        <v>5</v>
      </c>
      <c r="AF36" s="398">
        <f>AG14</f>
        <v>1855</v>
      </c>
      <c r="AG36" s="398">
        <f>AG20</f>
        <v>1995</v>
      </c>
      <c r="AH36" s="398">
        <f>AG36-AF36</f>
        <v>140</v>
      </c>
      <c r="AI36" s="399">
        <f>AH36/AF36</f>
        <v>7.5471698113207544E-2</v>
      </c>
      <c r="AJ36" s="342"/>
      <c r="AK36" s="342"/>
      <c r="AL36" s="342"/>
      <c r="AM36" s="342"/>
      <c r="AN36" s="342"/>
    </row>
    <row r="37" spans="2:40" x14ac:dyDescent="0.2">
      <c r="B37" s="457">
        <v>42</v>
      </c>
      <c r="C37" s="459">
        <f>ROUND(VLOOKUP($B37, $U$11:$AC$35, COLUMNS($U$11:W$11), FALSE),  0)</f>
        <v>894</v>
      </c>
      <c r="D37" s="459">
        <f>ROUND(VLOOKUP($B37, $U$11:$AC$35, COLUMNS($U$11:X$11), FALSE),  0)</f>
        <v>858</v>
      </c>
      <c r="E37" s="459">
        <f>ROUND(VLOOKUP($B37, $U$11:$AC$35, COLUMNS($U$11:Y$11), FALSE),  0)</f>
        <v>822</v>
      </c>
      <c r="F37" s="459">
        <f>ROUND(VLOOKUP($B37, $U$11:$AC$35, COLUMNS($U$11:Z$11), FALSE),  0)</f>
        <v>803</v>
      </c>
      <c r="G37" s="459">
        <f>ROUND(VLOOKUP($B37, $U$11:$AC$35, COLUMNS($U$11:AA$11), FALSE),  0)</f>
        <v>784</v>
      </c>
      <c r="H37" s="459">
        <f>ROUND(VLOOKUP($B37, $U$11:$AC$35, COLUMNS($U$11:AB$11), FALSE),  0)</f>
        <v>766</v>
      </c>
      <c r="I37" s="459">
        <f>ROUND(VLOOKUP($B37, $U$11:$AC$35, COLUMNS($U$11:AC$11), FALSE),  0)</f>
        <v>748</v>
      </c>
      <c r="J37" s="386"/>
      <c r="K37" s="357">
        <v>5</v>
      </c>
      <c r="L37" s="356" t="s">
        <v>421</v>
      </c>
      <c r="M37" s="405">
        <v>1500</v>
      </c>
      <c r="N37" s="400">
        <v>0.35</v>
      </c>
      <c r="O37" s="406">
        <f t="shared" si="16"/>
        <v>525</v>
      </c>
      <c r="P37" s="354"/>
      <c r="Q37" s="342"/>
      <c r="R37" s="342"/>
      <c r="S37" s="342"/>
      <c r="T37" s="386"/>
      <c r="U37" s="334"/>
      <c r="V37" s="335"/>
      <c r="W37" s="342"/>
      <c r="X37" s="353"/>
      <c r="Y37" s="342"/>
      <c r="Z37" s="342"/>
      <c r="AA37" s="354"/>
      <c r="AB37" s="342"/>
      <c r="AC37" s="342"/>
      <c r="AE37" s="342"/>
      <c r="AF37" s="342"/>
      <c r="AG37" s="342"/>
      <c r="AH37" s="342"/>
      <c r="AI37" s="342"/>
      <c r="AJ37" s="342"/>
      <c r="AK37" s="342"/>
      <c r="AL37" s="342"/>
      <c r="AM37" s="342"/>
      <c r="AN37" s="342"/>
    </row>
    <row r="38" spans="2:40" x14ac:dyDescent="0.2">
      <c r="J38" s="386"/>
      <c r="K38" s="334"/>
      <c r="L38" s="356"/>
      <c r="M38" s="407"/>
      <c r="N38" s="387"/>
      <c r="O38" s="393"/>
      <c r="P38" s="393"/>
      <c r="Q38" s="354"/>
      <c r="R38" s="342"/>
      <c r="S38" s="342"/>
      <c r="T38" s="386"/>
      <c r="U38" s="334"/>
      <c r="V38" s="335" t="s">
        <v>150</v>
      </c>
      <c r="W38" s="395">
        <v>1</v>
      </c>
      <c r="X38" s="395">
        <v>2</v>
      </c>
      <c r="Y38" s="395">
        <v>3</v>
      </c>
      <c r="Z38" s="395">
        <v>4</v>
      </c>
      <c r="AA38" s="395">
        <v>5</v>
      </c>
      <c r="AB38" s="395">
        <v>6</v>
      </c>
      <c r="AC38" s="395">
        <v>7</v>
      </c>
      <c r="AE38" s="342"/>
      <c r="AF38" s="342"/>
      <c r="AG38" s="342"/>
      <c r="AH38" s="342"/>
      <c r="AI38" s="342"/>
      <c r="AJ38" s="342"/>
      <c r="AK38" s="342"/>
      <c r="AL38" s="342"/>
      <c r="AM38" s="342"/>
      <c r="AN38" s="342"/>
    </row>
    <row r="39" spans="2:40" x14ac:dyDescent="0.2">
      <c r="J39" s="386"/>
      <c r="K39" s="357">
        <v>12</v>
      </c>
      <c r="L39" s="359" t="s">
        <v>478</v>
      </c>
      <c r="M39" s="405">
        <v>1900</v>
      </c>
      <c r="N39" s="400">
        <v>0.57999999999999996</v>
      </c>
      <c r="O39" s="406">
        <f t="shared" si="16"/>
        <v>1102</v>
      </c>
      <c r="P39" s="354"/>
      <c r="Q39" s="342"/>
      <c r="R39" s="342"/>
      <c r="S39" s="342"/>
      <c r="T39" s="386"/>
      <c r="U39" s="334"/>
      <c r="V39" s="335" t="s">
        <v>584</v>
      </c>
      <c r="W39" s="400">
        <v>1</v>
      </c>
      <c r="X39" s="400">
        <v>1</v>
      </c>
      <c r="Y39" s="400">
        <v>1</v>
      </c>
      <c r="Z39" s="400">
        <v>0.98</v>
      </c>
      <c r="AA39" s="400">
        <v>0.95</v>
      </c>
      <c r="AB39" s="400">
        <v>0.91</v>
      </c>
      <c r="AC39" s="400">
        <v>0.88</v>
      </c>
      <c r="AE39" s="342"/>
      <c r="AF39" s="342"/>
      <c r="AG39" s="342"/>
      <c r="AH39" s="342"/>
      <c r="AI39" s="342"/>
      <c r="AJ39" s="342"/>
      <c r="AK39" s="342"/>
      <c r="AL39" s="342"/>
      <c r="AM39" s="342"/>
      <c r="AN39" s="342"/>
    </row>
    <row r="40" spans="2:40" x14ac:dyDescent="0.2">
      <c r="J40" s="386"/>
      <c r="K40" s="357">
        <v>13</v>
      </c>
      <c r="L40" s="359" t="s">
        <v>479</v>
      </c>
      <c r="M40" s="405">
        <v>1900</v>
      </c>
      <c r="N40" s="400">
        <v>0.56000000000000005</v>
      </c>
      <c r="O40" s="406">
        <f t="shared" si="16"/>
        <v>1064</v>
      </c>
      <c r="P40" s="354"/>
      <c r="Q40" s="342"/>
      <c r="R40" s="342"/>
      <c r="S40" s="342"/>
      <c r="T40" s="386"/>
      <c r="U40" s="357"/>
      <c r="V40" s="359"/>
      <c r="W40" s="342"/>
      <c r="X40" s="353"/>
      <c r="Y40" s="342"/>
      <c r="Z40" s="342"/>
      <c r="AA40" s="354"/>
      <c r="AB40" s="342"/>
      <c r="AC40" s="342"/>
      <c r="AE40" s="342"/>
      <c r="AF40" s="342"/>
      <c r="AG40" s="342"/>
      <c r="AH40" s="342"/>
      <c r="AI40" s="342"/>
      <c r="AJ40" s="342"/>
      <c r="AK40" s="342"/>
      <c r="AL40" s="342"/>
      <c r="AM40" s="342"/>
      <c r="AN40" s="342"/>
    </row>
    <row r="41" spans="2:40" x14ac:dyDescent="0.2">
      <c r="J41" s="386"/>
      <c r="K41" s="357">
        <v>14</v>
      </c>
      <c r="L41" s="359" t="s">
        <v>480</v>
      </c>
      <c r="M41" s="405">
        <v>1900</v>
      </c>
      <c r="N41" s="400">
        <v>0.54</v>
      </c>
      <c r="O41" s="406">
        <f t="shared" si="16"/>
        <v>1026</v>
      </c>
      <c r="P41" s="354"/>
      <c r="Q41" s="342"/>
      <c r="R41" s="342"/>
      <c r="S41" s="342"/>
      <c r="T41" s="386"/>
      <c r="U41" s="334"/>
      <c r="V41" s="335"/>
      <c r="W41" s="342"/>
      <c r="X41" s="353"/>
      <c r="Y41" s="342"/>
      <c r="Z41" s="342"/>
      <c r="AA41" s="354"/>
      <c r="AB41" s="342"/>
      <c r="AC41" s="342"/>
      <c r="AE41" s="342"/>
      <c r="AF41" s="342"/>
      <c r="AG41" s="342"/>
      <c r="AH41" s="342"/>
      <c r="AI41" s="342"/>
      <c r="AJ41" s="342"/>
      <c r="AK41" s="342"/>
      <c r="AL41" s="342"/>
      <c r="AM41" s="342"/>
      <c r="AN41" s="342"/>
    </row>
    <row r="42" spans="2:40" x14ac:dyDescent="0.2">
      <c r="J42" s="386"/>
      <c r="K42" s="357">
        <v>15</v>
      </c>
      <c r="L42" s="359" t="s">
        <v>481</v>
      </c>
      <c r="M42" s="405">
        <v>1900</v>
      </c>
      <c r="N42" s="400">
        <v>0.52</v>
      </c>
      <c r="O42" s="406">
        <f t="shared" si="16"/>
        <v>988</v>
      </c>
      <c r="P42" s="354"/>
      <c r="Q42" s="342"/>
      <c r="R42" s="342"/>
      <c r="S42" s="342"/>
      <c r="T42" s="386"/>
      <c r="U42" s="357"/>
      <c r="V42" s="351"/>
      <c r="W42" s="340"/>
      <c r="X42" s="408" t="s">
        <v>534</v>
      </c>
      <c r="Y42" s="408" t="s">
        <v>227</v>
      </c>
      <c r="Z42" s="408" t="s">
        <v>585</v>
      </c>
      <c r="AA42" s="340"/>
      <c r="AB42" s="342"/>
      <c r="AC42" s="342"/>
      <c r="AE42" s="342"/>
      <c r="AF42" s="342"/>
      <c r="AG42" s="342"/>
      <c r="AH42" s="342"/>
      <c r="AI42" s="342"/>
      <c r="AJ42" s="342"/>
      <c r="AK42" s="342"/>
      <c r="AL42" s="342"/>
      <c r="AM42" s="342"/>
      <c r="AN42" s="342"/>
    </row>
    <row r="43" spans="2:40" x14ac:dyDescent="0.2">
      <c r="J43" s="386"/>
      <c r="K43" s="334"/>
      <c r="L43" s="334"/>
      <c r="M43" s="334"/>
      <c r="N43" s="334"/>
      <c r="O43" s="334"/>
      <c r="P43" s="334"/>
      <c r="Q43" s="334"/>
      <c r="R43" s="334"/>
      <c r="S43" s="334"/>
      <c r="T43" s="386"/>
      <c r="U43" s="357"/>
      <c r="V43" s="351"/>
      <c r="W43" s="340"/>
      <c r="X43" s="395">
        <v>0.77500000000000002</v>
      </c>
      <c r="Y43" s="395">
        <v>0.95</v>
      </c>
      <c r="Z43" s="469">
        <v>1.135</v>
      </c>
      <c r="AA43" s="340"/>
      <c r="AB43" s="342"/>
      <c r="AC43" s="342"/>
      <c r="AE43" s="342"/>
      <c r="AF43" s="342"/>
      <c r="AG43" s="342"/>
      <c r="AH43" s="342"/>
      <c r="AI43" s="342"/>
      <c r="AJ43" s="342"/>
      <c r="AK43" s="342"/>
      <c r="AL43" s="342"/>
      <c r="AM43" s="342"/>
      <c r="AN43" s="342"/>
    </row>
    <row r="44" spans="2:40" x14ac:dyDescent="0.2">
      <c r="J44" s="386"/>
      <c r="K44" s="334"/>
      <c r="L44" s="334"/>
      <c r="M44" s="334"/>
      <c r="N44" s="334"/>
      <c r="O44" s="334"/>
      <c r="P44" s="334"/>
      <c r="Q44" s="334"/>
      <c r="R44" s="334"/>
      <c r="S44" s="334"/>
      <c r="T44" s="386"/>
      <c r="U44" s="357"/>
      <c r="V44" s="351"/>
      <c r="W44" s="340"/>
      <c r="X44" s="341"/>
      <c r="Y44" s="340"/>
      <c r="Z44" s="342"/>
      <c r="AA44" s="340"/>
      <c r="AB44" s="342"/>
      <c r="AC44" s="342"/>
      <c r="AE44" s="342"/>
      <c r="AF44" s="342"/>
      <c r="AG44" s="342"/>
      <c r="AH44" s="342"/>
      <c r="AI44" s="342"/>
      <c r="AJ44" s="342"/>
      <c r="AK44" s="342"/>
      <c r="AL44" s="342"/>
      <c r="AM44" s="342"/>
      <c r="AN44" s="342"/>
    </row>
    <row r="45" spans="2:40" ht="38.25" x14ac:dyDescent="0.2">
      <c r="J45" s="386"/>
      <c r="T45" s="386"/>
      <c r="U45" s="363" t="s">
        <v>403</v>
      </c>
      <c r="V45" s="364" t="s">
        <v>573</v>
      </c>
      <c r="W45" s="404" t="s">
        <v>586</v>
      </c>
      <c r="X45" s="404" t="s">
        <v>587</v>
      </c>
      <c r="Y45" s="404" t="s">
        <v>588</v>
      </c>
      <c r="Z45" s="404" t="s">
        <v>589</v>
      </c>
      <c r="AA45" s="404" t="s">
        <v>590</v>
      </c>
      <c r="AB45" s="404"/>
      <c r="AC45" s="342"/>
      <c r="AE45" s="342"/>
      <c r="AF45" s="342"/>
      <c r="AG45" s="342"/>
      <c r="AH45" s="342"/>
      <c r="AI45" s="342"/>
      <c r="AJ45" s="342"/>
      <c r="AK45" s="342"/>
      <c r="AL45" s="342"/>
      <c r="AM45" s="342"/>
      <c r="AN45" s="342"/>
    </row>
    <row r="46" spans="2:40" x14ac:dyDescent="0.2">
      <c r="J46" s="386"/>
      <c r="K46" s="334"/>
      <c r="L46" s="359"/>
      <c r="M46" s="365">
        <v>1</v>
      </c>
      <c r="N46" s="365">
        <v>2</v>
      </c>
      <c r="O46" s="365">
        <v>3</v>
      </c>
      <c r="P46" s="365">
        <v>4</v>
      </c>
      <c r="Q46" s="413">
        <v>5</v>
      </c>
      <c r="R46" s="342"/>
      <c r="S46" s="342"/>
      <c r="T46" s="386"/>
      <c r="U46" s="357">
        <v>30</v>
      </c>
      <c r="V46" s="359" t="s">
        <v>497</v>
      </c>
      <c r="W46" s="405">
        <v>1800</v>
      </c>
      <c r="X46" s="414">
        <f t="shared" ref="X46:Y56" si="18">W46 * X$43</f>
        <v>1395</v>
      </c>
      <c r="Y46" s="406">
        <f t="shared" si="18"/>
        <v>1325.25</v>
      </c>
      <c r="Z46" s="415"/>
      <c r="AA46" s="416"/>
      <c r="AB46" s="342"/>
      <c r="AC46" s="342"/>
      <c r="AE46" s="342"/>
      <c r="AF46" s="342"/>
      <c r="AG46" s="342"/>
      <c r="AH46" s="342"/>
      <c r="AI46" s="342"/>
      <c r="AJ46" s="342"/>
      <c r="AK46" s="342"/>
      <c r="AL46" s="342"/>
      <c r="AM46" s="342"/>
      <c r="AN46" s="342"/>
    </row>
    <row r="47" spans="2:40" x14ac:dyDescent="0.2">
      <c r="J47" s="386"/>
      <c r="K47" s="334"/>
      <c r="L47" s="335"/>
      <c r="M47" s="365" t="s">
        <v>261</v>
      </c>
      <c r="N47" s="365" t="s">
        <v>161</v>
      </c>
      <c r="O47" s="365" t="s">
        <v>4</v>
      </c>
      <c r="P47" s="365" t="s">
        <v>3</v>
      </c>
      <c r="Q47" s="413" t="s">
        <v>160</v>
      </c>
      <c r="R47" s="342"/>
      <c r="S47" s="342"/>
      <c r="T47" s="386"/>
      <c r="U47" s="388">
        <v>31</v>
      </c>
      <c r="V47" s="389" t="s">
        <v>491</v>
      </c>
      <c r="W47" s="417">
        <v>2000</v>
      </c>
      <c r="X47" s="418">
        <f t="shared" si="18"/>
        <v>1550</v>
      </c>
      <c r="Y47" s="419">
        <f t="shared" si="18"/>
        <v>1472.5</v>
      </c>
      <c r="Z47" s="420"/>
      <c r="AA47" s="421"/>
      <c r="AB47" s="342"/>
      <c r="AC47" s="342"/>
      <c r="AE47" s="342"/>
      <c r="AF47" s="342"/>
      <c r="AG47" s="342"/>
      <c r="AH47" s="342"/>
      <c r="AI47" s="342"/>
      <c r="AJ47" s="342"/>
      <c r="AK47" s="342"/>
      <c r="AL47" s="342"/>
      <c r="AM47" s="342"/>
      <c r="AN47" s="342"/>
    </row>
    <row r="48" spans="2:40" x14ac:dyDescent="0.2">
      <c r="J48" s="386"/>
      <c r="K48" s="334"/>
      <c r="L48" s="351" t="s">
        <v>591</v>
      </c>
      <c r="M48" s="400">
        <v>1.1000000000000001</v>
      </c>
      <c r="N48" s="400">
        <v>1.05</v>
      </c>
      <c r="O48" s="400">
        <v>1</v>
      </c>
      <c r="P48" s="400">
        <v>0.95</v>
      </c>
      <c r="Q48" s="400">
        <v>0.9</v>
      </c>
      <c r="R48" s="342"/>
      <c r="S48" s="342"/>
      <c r="T48" s="386"/>
      <c r="U48" s="357">
        <v>32</v>
      </c>
      <c r="V48" s="359" t="s">
        <v>494</v>
      </c>
      <c r="W48" s="405">
        <v>2300</v>
      </c>
      <c r="X48" s="414">
        <f t="shared" si="18"/>
        <v>1782.5</v>
      </c>
      <c r="Y48" s="406">
        <f t="shared" si="18"/>
        <v>1693.375</v>
      </c>
      <c r="Z48" s="406">
        <f>Y48 * Z$43</f>
        <v>1921.9806249999999</v>
      </c>
      <c r="AA48" s="416"/>
      <c r="AB48" s="342"/>
      <c r="AC48" s="342"/>
      <c r="AE48" s="342"/>
      <c r="AF48" s="342"/>
      <c r="AG48" s="342"/>
      <c r="AH48" s="342"/>
      <c r="AI48" s="342"/>
      <c r="AJ48" s="342"/>
      <c r="AK48" s="342"/>
      <c r="AL48" s="342"/>
      <c r="AM48" s="342"/>
      <c r="AN48" s="342"/>
    </row>
    <row r="49" spans="10:40" x14ac:dyDescent="0.2">
      <c r="J49" s="386"/>
      <c r="K49" s="334"/>
      <c r="L49" s="335" t="s">
        <v>592</v>
      </c>
      <c r="M49" s="342"/>
      <c r="N49" s="342"/>
      <c r="O49" s="342"/>
      <c r="P49" s="342"/>
      <c r="Q49" s="342"/>
      <c r="R49" s="342"/>
      <c r="S49" s="342"/>
      <c r="T49" s="386"/>
      <c r="U49" s="357">
        <v>33</v>
      </c>
      <c r="V49" s="359" t="s">
        <v>496</v>
      </c>
      <c r="W49" s="405">
        <v>2350</v>
      </c>
      <c r="X49" s="414">
        <f t="shared" si="18"/>
        <v>1821.25</v>
      </c>
      <c r="Y49" s="406">
        <f t="shared" si="18"/>
        <v>1730.1875</v>
      </c>
      <c r="Z49" s="406">
        <f>Y49 * Z$43</f>
        <v>1963.7628125000001</v>
      </c>
      <c r="AA49" s="416"/>
      <c r="AB49" s="342"/>
      <c r="AC49" s="342"/>
      <c r="AE49" s="342"/>
      <c r="AF49" s="342"/>
      <c r="AG49" s="342"/>
      <c r="AH49" s="342"/>
      <c r="AI49" s="342"/>
      <c r="AJ49" s="342"/>
      <c r="AK49" s="342"/>
      <c r="AL49" s="342"/>
      <c r="AM49" s="342"/>
      <c r="AN49" s="342"/>
    </row>
    <row r="50" spans="10:40" x14ac:dyDescent="0.2">
      <c r="J50" s="422"/>
      <c r="L50" s="409"/>
      <c r="M50" s="411"/>
      <c r="O50" s="411"/>
      <c r="P50" s="411"/>
      <c r="Q50" s="411"/>
      <c r="R50" s="411"/>
      <c r="S50" s="411"/>
      <c r="T50" s="422"/>
      <c r="U50" s="357">
        <v>34</v>
      </c>
      <c r="V50" s="359" t="s">
        <v>495</v>
      </c>
      <c r="W50" s="423">
        <f>W49</f>
        <v>2350</v>
      </c>
      <c r="X50" s="414">
        <f t="shared" si="18"/>
        <v>1821.25</v>
      </c>
      <c r="Y50" s="406">
        <f t="shared" si="18"/>
        <v>1730.1875</v>
      </c>
      <c r="Z50" s="406">
        <f>Y50 * Z$43</f>
        <v>1963.7628125000001</v>
      </c>
      <c r="AA50" s="416">
        <v>700</v>
      </c>
      <c r="AB50" s="342"/>
      <c r="AC50" s="342"/>
      <c r="AE50" s="342"/>
      <c r="AF50" s="342"/>
      <c r="AG50" s="342"/>
      <c r="AH50" s="342"/>
      <c r="AI50" s="342"/>
      <c r="AJ50" s="342"/>
      <c r="AK50" s="342"/>
      <c r="AL50" s="342"/>
      <c r="AM50" s="342"/>
      <c r="AN50" s="342"/>
    </row>
    <row r="51" spans="10:40" x14ac:dyDescent="0.2">
      <c r="J51" s="422"/>
      <c r="L51" s="409"/>
      <c r="M51" s="411"/>
      <c r="O51" s="411"/>
      <c r="P51" s="411"/>
      <c r="Q51" s="411"/>
      <c r="R51" s="411"/>
      <c r="S51" s="411"/>
      <c r="T51" s="422"/>
      <c r="U51" s="357">
        <v>35</v>
      </c>
      <c r="V51" s="359" t="s">
        <v>501</v>
      </c>
      <c r="W51" s="405">
        <v>2400</v>
      </c>
      <c r="X51" s="414">
        <f t="shared" si="18"/>
        <v>1860</v>
      </c>
      <c r="Y51" s="406">
        <f t="shared" si="18"/>
        <v>1767</v>
      </c>
      <c r="Z51" s="406">
        <f>Y51 * Z$43</f>
        <v>2005.5450000000001</v>
      </c>
      <c r="AA51" s="416"/>
      <c r="AB51" s="342"/>
      <c r="AC51" s="342"/>
      <c r="AE51" s="342"/>
      <c r="AF51" s="342"/>
      <c r="AG51" s="342"/>
      <c r="AH51" s="342"/>
      <c r="AI51" s="342"/>
      <c r="AJ51" s="342"/>
      <c r="AK51" s="342"/>
      <c r="AL51" s="342"/>
      <c r="AM51" s="342"/>
      <c r="AN51" s="342"/>
    </row>
    <row r="52" spans="10:40" x14ac:dyDescent="0.2">
      <c r="K52" s="431" t="s">
        <v>593</v>
      </c>
      <c r="L52" s="432"/>
      <c r="M52" s="433"/>
      <c r="N52" s="434"/>
      <c r="O52" s="433"/>
      <c r="P52" s="433"/>
      <c r="Q52" s="435"/>
      <c r="R52" s="433"/>
      <c r="S52" s="433"/>
      <c r="U52" s="357">
        <v>36</v>
      </c>
      <c r="V52" s="359" t="s">
        <v>500</v>
      </c>
      <c r="W52" s="423">
        <f>W51</f>
        <v>2400</v>
      </c>
      <c r="X52" s="414">
        <f t="shared" si="18"/>
        <v>1860</v>
      </c>
      <c r="Y52" s="406">
        <f t="shared" si="18"/>
        <v>1767</v>
      </c>
      <c r="Z52" s="406">
        <f>Y52 * Z$43</f>
        <v>2005.5450000000001</v>
      </c>
      <c r="AA52" s="416">
        <v>700</v>
      </c>
      <c r="AB52" s="342"/>
      <c r="AC52" s="342"/>
      <c r="AE52" s="342"/>
      <c r="AF52" s="342"/>
      <c r="AG52" s="342"/>
      <c r="AH52" s="342"/>
      <c r="AI52" s="342"/>
      <c r="AJ52" s="342"/>
      <c r="AK52" s="342"/>
      <c r="AL52" s="342"/>
      <c r="AM52" s="342"/>
      <c r="AN52" s="342"/>
    </row>
    <row r="53" spans="10:40" x14ac:dyDescent="0.2">
      <c r="K53" s="344" t="s">
        <v>594</v>
      </c>
      <c r="L53" s="343"/>
      <c r="M53" s="343"/>
      <c r="N53" s="343"/>
      <c r="O53" s="343"/>
      <c r="P53" s="343"/>
      <c r="Q53" s="343"/>
      <c r="R53" s="343"/>
      <c r="S53" s="343"/>
      <c r="U53" s="401">
        <v>37</v>
      </c>
      <c r="V53" s="402" t="s">
        <v>489</v>
      </c>
      <c r="W53" s="424">
        <v>2400</v>
      </c>
      <c r="X53" s="425">
        <f t="shared" si="18"/>
        <v>1860</v>
      </c>
      <c r="Y53" s="426">
        <f t="shared" si="18"/>
        <v>1767</v>
      </c>
      <c r="Z53" s="427"/>
      <c r="AA53" s="428"/>
      <c r="AB53" s="342"/>
      <c r="AC53" s="342"/>
      <c r="AE53" s="342"/>
      <c r="AF53" s="342"/>
      <c r="AG53" s="342"/>
      <c r="AH53" s="342"/>
      <c r="AI53" s="342"/>
      <c r="AJ53" s="342"/>
      <c r="AK53" s="342"/>
      <c r="AL53" s="342"/>
      <c r="AM53" s="342"/>
      <c r="AN53" s="342"/>
    </row>
    <row r="54" spans="10:40" x14ac:dyDescent="0.2">
      <c r="K54" s="436"/>
      <c r="L54" s="437"/>
      <c r="M54" s="437"/>
      <c r="N54" s="438"/>
      <c r="O54" s="437"/>
      <c r="P54" s="439" t="s">
        <v>467</v>
      </c>
      <c r="Q54" s="440"/>
      <c r="R54" s="437"/>
      <c r="S54" s="437"/>
      <c r="U54" s="357">
        <v>38</v>
      </c>
      <c r="V54" s="359" t="s">
        <v>490</v>
      </c>
      <c r="W54" s="405">
        <v>2400</v>
      </c>
      <c r="X54" s="414">
        <f t="shared" si="18"/>
        <v>1860</v>
      </c>
      <c r="Y54" s="406">
        <f t="shared" si="18"/>
        <v>1767</v>
      </c>
      <c r="Z54" s="415"/>
      <c r="AA54" s="416"/>
      <c r="AB54" s="342"/>
      <c r="AC54" s="342"/>
      <c r="AE54" s="342"/>
      <c r="AF54" s="342"/>
      <c r="AG54" s="342"/>
      <c r="AH54" s="342"/>
      <c r="AI54" s="342"/>
      <c r="AJ54" s="342"/>
      <c r="AK54" s="342"/>
      <c r="AL54" s="342"/>
      <c r="AM54" s="342"/>
      <c r="AN54" s="342"/>
    </row>
    <row r="55" spans="10:40" x14ac:dyDescent="0.2">
      <c r="K55" s="436"/>
      <c r="L55" s="437"/>
      <c r="M55" s="441" t="s">
        <v>464</v>
      </c>
      <c r="N55" s="442" t="s">
        <v>465</v>
      </c>
      <c r="O55" s="441" t="s">
        <v>466</v>
      </c>
      <c r="P55" s="442" t="s">
        <v>470</v>
      </c>
      <c r="Q55" s="441" t="s">
        <v>471</v>
      </c>
      <c r="R55" s="442" t="s">
        <v>472</v>
      </c>
      <c r="S55" s="441" t="s">
        <v>473</v>
      </c>
      <c r="U55" s="357">
        <v>39</v>
      </c>
      <c r="V55" s="359" t="s">
        <v>488</v>
      </c>
      <c r="W55" s="405">
        <v>2400</v>
      </c>
      <c r="X55" s="414">
        <f t="shared" si="18"/>
        <v>1860</v>
      </c>
      <c r="Y55" s="406">
        <f t="shared" si="18"/>
        <v>1767</v>
      </c>
      <c r="Z55" s="415"/>
      <c r="AA55" s="416"/>
      <c r="AB55" s="342"/>
      <c r="AC55" s="342"/>
      <c r="AE55" s="342"/>
      <c r="AF55" s="342"/>
      <c r="AG55" s="342"/>
      <c r="AH55" s="342"/>
      <c r="AI55" s="342"/>
      <c r="AJ55" s="342"/>
      <c r="AK55" s="342"/>
      <c r="AL55" s="342"/>
      <c r="AM55" s="342"/>
      <c r="AN55" s="342"/>
    </row>
    <row r="56" spans="10:40" x14ac:dyDescent="0.2">
      <c r="K56" s="357">
        <v>1</v>
      </c>
      <c r="L56" s="371" t="s">
        <v>499</v>
      </c>
      <c r="M56" s="444">
        <f>M12</f>
        <v>10000</v>
      </c>
      <c r="N56" s="444">
        <f t="shared" ref="N56:S56" si="19">N12</f>
        <v>10000</v>
      </c>
      <c r="O56" s="444">
        <f t="shared" si="19"/>
        <v>10000</v>
      </c>
      <c r="P56" s="444">
        <f t="shared" si="19"/>
        <v>10000</v>
      </c>
      <c r="Q56" s="444">
        <f t="shared" si="19"/>
        <v>10000</v>
      </c>
      <c r="R56" s="444">
        <f t="shared" si="19"/>
        <v>10000</v>
      </c>
      <c r="S56" s="444">
        <f t="shared" si="19"/>
        <v>10000</v>
      </c>
      <c r="U56" s="357">
        <v>40</v>
      </c>
      <c r="V56" s="359" t="s">
        <v>431</v>
      </c>
      <c r="W56" s="405">
        <v>2400</v>
      </c>
      <c r="X56" s="414">
        <f t="shared" si="18"/>
        <v>1860</v>
      </c>
      <c r="Y56" s="406">
        <f t="shared" si="18"/>
        <v>1767</v>
      </c>
      <c r="Z56" s="415"/>
      <c r="AA56" s="416"/>
      <c r="AB56" s="342"/>
      <c r="AC56" s="342"/>
      <c r="AE56" s="342"/>
      <c r="AF56" s="342"/>
      <c r="AG56" s="342"/>
      <c r="AH56" s="342"/>
      <c r="AI56" s="342"/>
      <c r="AJ56" s="342"/>
      <c r="AK56" s="342"/>
      <c r="AL56" s="342"/>
      <c r="AM56" s="342"/>
      <c r="AN56" s="342"/>
    </row>
    <row r="57" spans="10:40" x14ac:dyDescent="0.2">
      <c r="K57" s="357">
        <v>2</v>
      </c>
      <c r="L57" s="359" t="s">
        <v>454</v>
      </c>
      <c r="M57" s="444">
        <f t="shared" ref="M57:S57" si="20">M13</f>
        <v>968.24</v>
      </c>
      <c r="N57" s="444">
        <f t="shared" si="20"/>
        <v>929.21399999999994</v>
      </c>
      <c r="O57" s="444">
        <f t="shared" si="20"/>
        <v>890.08920000000001</v>
      </c>
      <c r="P57" s="444">
        <f t="shared" si="20"/>
        <v>869.44</v>
      </c>
      <c r="Q57" s="444">
        <f t="shared" si="20"/>
        <v>849.26984126984132</v>
      </c>
      <c r="R57" s="444">
        <f t="shared" si="20"/>
        <v>829.56761051999149</v>
      </c>
      <c r="S57" s="444">
        <f t="shared" si="20"/>
        <v>810.32245227837996</v>
      </c>
      <c r="U57" s="334"/>
      <c r="V57" s="429"/>
      <c r="W57" s="430"/>
      <c r="X57" s="430"/>
      <c r="Y57" s="430"/>
      <c r="Z57" s="430"/>
      <c r="AA57" s="430"/>
      <c r="AB57" s="430"/>
      <c r="AC57" s="430"/>
      <c r="AE57" s="342"/>
      <c r="AF57" s="342"/>
      <c r="AG57" s="342"/>
      <c r="AH57" s="342"/>
      <c r="AI57" s="342"/>
      <c r="AJ57" s="342"/>
      <c r="AK57" s="342"/>
      <c r="AL57" s="342"/>
      <c r="AM57" s="342"/>
      <c r="AN57" s="342"/>
    </row>
    <row r="58" spans="10:40" x14ac:dyDescent="0.2">
      <c r="K58" s="357">
        <v>3</v>
      </c>
      <c r="L58" s="359" t="s">
        <v>408</v>
      </c>
      <c r="M58" s="444">
        <f t="shared" ref="M58:S58" si="21">M14</f>
        <v>893.76</v>
      </c>
      <c r="N58" s="444">
        <f t="shared" si="21"/>
        <v>857.73599999999999</v>
      </c>
      <c r="O58" s="444">
        <f t="shared" si="21"/>
        <v>821.62080000000003</v>
      </c>
      <c r="P58" s="444">
        <f t="shared" si="21"/>
        <v>802.56000000000006</v>
      </c>
      <c r="Q58" s="444">
        <f t="shared" si="21"/>
        <v>783.941391941392</v>
      </c>
      <c r="R58" s="444">
        <f t="shared" si="21"/>
        <v>765.75471740306921</v>
      </c>
      <c r="S58" s="444">
        <f t="shared" si="21"/>
        <v>747.98995594927396</v>
      </c>
      <c r="U58" s="334"/>
      <c r="V58" s="335"/>
      <c r="W58" s="342"/>
      <c r="X58" s="353"/>
      <c r="Y58" s="342"/>
      <c r="Z58" s="342"/>
      <c r="AA58" s="354"/>
      <c r="AB58" s="342"/>
      <c r="AC58" s="342"/>
      <c r="AE58" s="342"/>
      <c r="AF58" s="342"/>
      <c r="AG58" s="342"/>
      <c r="AH58" s="342"/>
      <c r="AI58" s="342"/>
      <c r="AJ58" s="342"/>
      <c r="AK58" s="342"/>
      <c r="AL58" s="342"/>
      <c r="AM58" s="342"/>
      <c r="AN58" s="342"/>
    </row>
    <row r="59" spans="10:40" x14ac:dyDescent="0.2">
      <c r="K59" s="357">
        <v>4</v>
      </c>
      <c r="L59" s="359" t="s">
        <v>420</v>
      </c>
      <c r="M59" s="444">
        <f t="shared" ref="M59:S59" si="22">M15</f>
        <v>733.04</v>
      </c>
      <c r="N59" s="444">
        <f t="shared" si="22"/>
        <v>703.49399999999991</v>
      </c>
      <c r="O59" s="444">
        <f t="shared" si="22"/>
        <v>673.8732</v>
      </c>
      <c r="P59" s="444">
        <f t="shared" si="22"/>
        <v>658.24</v>
      </c>
      <c r="Q59" s="444">
        <f t="shared" si="22"/>
        <v>642.96947496947496</v>
      </c>
      <c r="R59" s="444">
        <f t="shared" si="22"/>
        <v>628.05321120339431</v>
      </c>
      <c r="S59" s="444">
        <f t="shared" si="22"/>
        <v>613.48299018646571</v>
      </c>
      <c r="U59" s="431" t="s">
        <v>593</v>
      </c>
      <c r="V59" s="432"/>
      <c r="W59" s="433"/>
      <c r="X59" s="434"/>
      <c r="Y59" s="433"/>
      <c r="Z59" s="433"/>
      <c r="AA59" s="435"/>
      <c r="AB59" s="433"/>
      <c r="AC59" s="433"/>
      <c r="AE59" s="342"/>
      <c r="AF59" s="342"/>
      <c r="AG59" s="342"/>
      <c r="AH59" s="342"/>
      <c r="AI59" s="342"/>
      <c r="AJ59" s="342"/>
      <c r="AK59" s="342"/>
      <c r="AL59" s="342"/>
      <c r="AM59" s="342"/>
      <c r="AN59" s="342"/>
    </row>
    <row r="60" spans="10:40" x14ac:dyDescent="0.2">
      <c r="K60" s="357">
        <v>5</v>
      </c>
      <c r="L60" s="359" t="s">
        <v>421</v>
      </c>
      <c r="M60" s="444">
        <f t="shared" ref="M60:S60" si="23">M16</f>
        <v>514.5</v>
      </c>
      <c r="N60" s="444">
        <f t="shared" si="23"/>
        <v>493.76249999999999</v>
      </c>
      <c r="O60" s="444">
        <f t="shared" si="23"/>
        <v>472.97250000000003</v>
      </c>
      <c r="P60" s="444">
        <f t="shared" si="23"/>
        <v>462</v>
      </c>
      <c r="Q60" s="444">
        <f t="shared" si="23"/>
        <v>451.28205128205127</v>
      </c>
      <c r="R60" s="444">
        <f t="shared" si="23"/>
        <v>440.81274850505622</v>
      </c>
      <c r="S60" s="444">
        <f t="shared" si="23"/>
        <v>430.58632332606226</v>
      </c>
      <c r="U60" s="344" t="s">
        <v>594</v>
      </c>
      <c r="V60" s="343"/>
      <c r="W60" s="343"/>
      <c r="X60" s="343"/>
      <c r="Y60" s="343"/>
      <c r="Z60" s="343"/>
      <c r="AA60" s="343"/>
      <c r="AB60" s="343"/>
      <c r="AC60" s="343"/>
      <c r="AE60" s="342"/>
      <c r="AF60" s="342"/>
      <c r="AG60" s="342"/>
      <c r="AH60" s="342"/>
      <c r="AI60" s="342"/>
      <c r="AJ60" s="342"/>
      <c r="AK60" s="342"/>
      <c r="AL60" s="342"/>
      <c r="AM60" s="342"/>
      <c r="AN60" s="342"/>
    </row>
    <row r="61" spans="10:40" x14ac:dyDescent="0.2">
      <c r="K61" s="357">
        <v>6</v>
      </c>
      <c r="L61" s="359" t="s">
        <v>159</v>
      </c>
      <c r="M61" s="444">
        <f t="shared" ref="M61:S61" si="24">M17</f>
        <v>411.6</v>
      </c>
      <c r="N61" s="444">
        <f t="shared" si="24"/>
        <v>395.01</v>
      </c>
      <c r="O61" s="444">
        <f t="shared" si="24"/>
        <v>378.37800000000004</v>
      </c>
      <c r="P61" s="444">
        <f t="shared" si="24"/>
        <v>369.6</v>
      </c>
      <c r="Q61" s="444">
        <f t="shared" si="24"/>
        <v>361.02564102564099</v>
      </c>
      <c r="R61" s="444">
        <f t="shared" si="24"/>
        <v>352.65019880404486</v>
      </c>
      <c r="S61" s="444">
        <f t="shared" si="24"/>
        <v>344.46905866084961</v>
      </c>
      <c r="U61" s="436"/>
      <c r="V61" s="437"/>
      <c r="W61" s="437"/>
      <c r="X61" s="438"/>
      <c r="Y61" s="437"/>
      <c r="Z61" s="439" t="s">
        <v>467</v>
      </c>
      <c r="AA61" s="440"/>
      <c r="AB61" s="437"/>
      <c r="AC61" s="437"/>
      <c r="AE61" s="342"/>
      <c r="AF61" s="342"/>
      <c r="AG61" s="342"/>
      <c r="AH61" s="342"/>
      <c r="AI61" s="342"/>
      <c r="AJ61" s="342"/>
      <c r="AK61" s="342"/>
      <c r="AL61" s="342"/>
      <c r="AM61" s="342"/>
      <c r="AN61" s="342"/>
    </row>
    <row r="62" spans="10:40" x14ac:dyDescent="0.2">
      <c r="K62" s="357">
        <v>7</v>
      </c>
      <c r="L62" s="359" t="s">
        <v>498</v>
      </c>
      <c r="M62" s="444">
        <f t="shared" ref="M62:S62" si="25">M18</f>
        <v>300</v>
      </c>
      <c r="N62" s="444">
        <f t="shared" si="25"/>
        <v>300</v>
      </c>
      <c r="O62" s="444">
        <f t="shared" si="25"/>
        <v>300</v>
      </c>
      <c r="P62" s="444">
        <f t="shared" si="25"/>
        <v>300</v>
      </c>
      <c r="Q62" s="444">
        <f t="shared" si="25"/>
        <v>300</v>
      </c>
      <c r="R62" s="444">
        <f t="shared" si="25"/>
        <v>300</v>
      </c>
      <c r="S62" s="444">
        <f t="shared" si="25"/>
        <v>300</v>
      </c>
      <c r="U62" s="436"/>
      <c r="V62" s="437"/>
      <c r="W62" s="441" t="s">
        <v>464</v>
      </c>
      <c r="X62" s="442" t="s">
        <v>465</v>
      </c>
      <c r="Y62" s="441" t="s">
        <v>466</v>
      </c>
      <c r="Z62" s="442" t="s">
        <v>470</v>
      </c>
      <c r="AA62" s="441" t="s">
        <v>471</v>
      </c>
      <c r="AB62" s="442" t="s">
        <v>472</v>
      </c>
      <c r="AC62" s="441" t="s">
        <v>473</v>
      </c>
      <c r="AE62" s="342"/>
      <c r="AF62" s="342"/>
      <c r="AG62" s="342"/>
      <c r="AH62" s="342"/>
      <c r="AI62" s="342"/>
      <c r="AJ62" s="342"/>
      <c r="AK62" s="342"/>
      <c r="AL62" s="342"/>
      <c r="AM62" s="342"/>
      <c r="AN62" s="342"/>
    </row>
    <row r="63" spans="10:40" x14ac:dyDescent="0.2">
      <c r="K63" s="382"/>
      <c r="L63" s="359"/>
      <c r="M63" s="359"/>
      <c r="N63" s="359"/>
      <c r="O63" s="359"/>
      <c r="P63" s="359"/>
      <c r="Q63" s="359"/>
      <c r="R63" s="359"/>
      <c r="S63" s="359"/>
      <c r="U63" s="443">
        <v>22</v>
      </c>
      <c r="V63" s="437" t="s">
        <v>539</v>
      </c>
      <c r="W63" s="444">
        <f t="shared" ref="W63:AC67" si="26">W14</f>
        <v>1921.9806249999999</v>
      </c>
      <c r="X63" s="444">
        <f t="shared" si="26"/>
        <v>1921.9806249999999</v>
      </c>
      <c r="Y63" s="444">
        <f t="shared" si="26"/>
        <v>1921.9806249999999</v>
      </c>
      <c r="Z63" s="444">
        <f t="shared" si="26"/>
        <v>1883.5410124999999</v>
      </c>
      <c r="AA63" s="444">
        <f t="shared" si="26"/>
        <v>1825.8815937499999</v>
      </c>
      <c r="AB63" s="444">
        <f t="shared" si="26"/>
        <v>1749.00236875</v>
      </c>
      <c r="AC63" s="444">
        <f t="shared" si="26"/>
        <v>1691.34295</v>
      </c>
      <c r="AE63" s="342"/>
      <c r="AF63" s="342"/>
      <c r="AG63" s="342"/>
      <c r="AH63" s="342"/>
      <c r="AI63" s="342"/>
      <c r="AJ63" s="342"/>
      <c r="AK63" s="342"/>
      <c r="AL63" s="342"/>
      <c r="AM63" s="342"/>
      <c r="AN63" s="342"/>
    </row>
    <row r="64" spans="10:40" x14ac:dyDescent="0.2">
      <c r="K64" s="357">
        <v>12</v>
      </c>
      <c r="L64" s="359" t="s">
        <v>478</v>
      </c>
      <c r="M64" s="444">
        <f t="shared" ref="M64:S64" si="27">M20</f>
        <v>1102</v>
      </c>
      <c r="N64" s="444">
        <f t="shared" si="27"/>
        <v>1057.92</v>
      </c>
      <c r="O64" s="444">
        <f t="shared" si="27"/>
        <v>1024.8600000000001</v>
      </c>
      <c r="P64" s="444">
        <f t="shared" si="27"/>
        <v>1002.82</v>
      </c>
      <c r="Q64" s="444">
        <f t="shared" si="27"/>
        <v>981.25397849462365</v>
      </c>
      <c r="R64" s="444">
        <f t="shared" si="27"/>
        <v>960.15174239796499</v>
      </c>
      <c r="S64" s="444">
        <f t="shared" si="27"/>
        <v>939.50331783026672</v>
      </c>
      <c r="U64" s="443">
        <v>23</v>
      </c>
      <c r="V64" s="437" t="s">
        <v>540</v>
      </c>
      <c r="W64" s="444">
        <f t="shared" si="26"/>
        <v>1963.7628125000001</v>
      </c>
      <c r="X64" s="444">
        <f t="shared" si="26"/>
        <v>1963.7628125000001</v>
      </c>
      <c r="Y64" s="444">
        <f t="shared" si="26"/>
        <v>1963.7628125000001</v>
      </c>
      <c r="Z64" s="444">
        <f t="shared" si="26"/>
        <v>1924.4875562500001</v>
      </c>
      <c r="AA64" s="444">
        <f t="shared" si="26"/>
        <v>1865.5746718750001</v>
      </c>
      <c r="AB64" s="444">
        <f t="shared" si="26"/>
        <v>1787.0241593750004</v>
      </c>
      <c r="AC64" s="444">
        <f t="shared" si="26"/>
        <v>1728.1112750000004</v>
      </c>
      <c r="AE64" s="342"/>
      <c r="AF64" s="342"/>
      <c r="AG64" s="342"/>
      <c r="AH64" s="342"/>
      <c r="AI64" s="342"/>
      <c r="AJ64" s="342"/>
      <c r="AK64" s="342"/>
      <c r="AL64" s="342"/>
      <c r="AM64" s="342"/>
      <c r="AN64" s="342"/>
    </row>
    <row r="65" spans="10:40" x14ac:dyDescent="0.2">
      <c r="K65" s="357">
        <v>13</v>
      </c>
      <c r="L65" s="359" t="s">
        <v>479</v>
      </c>
      <c r="M65" s="444">
        <f t="shared" ref="M65:S65" si="28">M21</f>
        <v>1064</v>
      </c>
      <c r="N65" s="444">
        <f t="shared" si="28"/>
        <v>1021.4399999999999</v>
      </c>
      <c r="O65" s="444">
        <f t="shared" si="28"/>
        <v>989.5200000000001</v>
      </c>
      <c r="P65" s="444">
        <f t="shared" si="28"/>
        <v>968.24</v>
      </c>
      <c r="Q65" s="444">
        <f t="shared" si="28"/>
        <v>947.41763440860211</v>
      </c>
      <c r="R65" s="444">
        <f t="shared" si="28"/>
        <v>927.04306162562136</v>
      </c>
      <c r="S65" s="444">
        <f t="shared" si="28"/>
        <v>907.10665169818856</v>
      </c>
      <c r="U65" s="443">
        <v>24</v>
      </c>
      <c r="V65" s="437" t="s">
        <v>541</v>
      </c>
      <c r="W65" s="444">
        <f t="shared" si="26"/>
        <v>2663.7628125000001</v>
      </c>
      <c r="X65" s="444">
        <f t="shared" si="26"/>
        <v>2313.7628125000001</v>
      </c>
      <c r="Y65" s="444">
        <f t="shared" si="26"/>
        <v>2197.0961458333336</v>
      </c>
      <c r="Z65" s="444">
        <f t="shared" si="26"/>
        <v>2099.4875562500001</v>
      </c>
      <c r="AA65" s="444">
        <f t="shared" si="26"/>
        <v>2005.5746718750001</v>
      </c>
      <c r="AB65" s="444">
        <f t="shared" si="26"/>
        <v>1903.6908260416669</v>
      </c>
      <c r="AC65" s="444">
        <f t="shared" si="26"/>
        <v>1828.1112750000004</v>
      </c>
      <c r="AE65" s="342"/>
      <c r="AF65" s="342"/>
      <c r="AG65" s="342"/>
      <c r="AH65" s="342"/>
      <c r="AI65" s="342"/>
      <c r="AJ65" s="342"/>
      <c r="AK65" s="342"/>
      <c r="AL65" s="342"/>
      <c r="AM65" s="342"/>
      <c r="AN65" s="342"/>
    </row>
    <row r="66" spans="10:40" x14ac:dyDescent="0.2">
      <c r="K66" s="357">
        <v>14</v>
      </c>
      <c r="L66" s="359" t="s">
        <v>480</v>
      </c>
      <c r="M66" s="444">
        <f t="shared" ref="M66:S66" si="29">M22</f>
        <v>1026</v>
      </c>
      <c r="N66" s="444">
        <f t="shared" si="29"/>
        <v>984.95999999999992</v>
      </c>
      <c r="O66" s="444">
        <f t="shared" si="29"/>
        <v>954.18000000000006</v>
      </c>
      <c r="P66" s="444">
        <f t="shared" si="29"/>
        <v>933.66000000000008</v>
      </c>
      <c r="Q66" s="444">
        <f t="shared" si="29"/>
        <v>913.58129032258068</v>
      </c>
      <c r="R66" s="444">
        <f t="shared" si="29"/>
        <v>893.93438085327784</v>
      </c>
      <c r="S66" s="444">
        <f t="shared" si="29"/>
        <v>874.7099855661105</v>
      </c>
      <c r="U66" s="443">
        <v>25</v>
      </c>
      <c r="V66" s="437" t="s">
        <v>542</v>
      </c>
      <c r="W66" s="444">
        <f t="shared" si="26"/>
        <v>2005.5450000000001</v>
      </c>
      <c r="X66" s="444">
        <f t="shared" si="26"/>
        <v>2005.5450000000001</v>
      </c>
      <c r="Y66" s="444">
        <f t="shared" si="26"/>
        <v>2005.5450000000001</v>
      </c>
      <c r="Z66" s="444">
        <f t="shared" si="26"/>
        <v>1965.4340999999999</v>
      </c>
      <c r="AA66" s="444">
        <f t="shared" si="26"/>
        <v>1905.2677499999998</v>
      </c>
      <c r="AB66" s="444">
        <f t="shared" si="26"/>
        <v>1825.0459500000004</v>
      </c>
      <c r="AC66" s="444">
        <f t="shared" si="26"/>
        <v>1764.8796</v>
      </c>
      <c r="AE66" s="342"/>
      <c r="AF66" s="342"/>
      <c r="AG66" s="342"/>
      <c r="AH66" s="342"/>
      <c r="AI66" s="342"/>
      <c r="AJ66" s="342"/>
      <c r="AK66" s="342"/>
      <c r="AL66" s="342"/>
      <c r="AM66" s="342"/>
      <c r="AN66" s="342"/>
    </row>
    <row r="67" spans="10:40" x14ac:dyDescent="0.2">
      <c r="K67" s="357">
        <v>15</v>
      </c>
      <c r="L67" s="359" t="s">
        <v>481</v>
      </c>
      <c r="M67" s="444">
        <f t="shared" ref="M67:S67" si="30">M23</f>
        <v>988</v>
      </c>
      <c r="N67" s="444">
        <f t="shared" si="30"/>
        <v>948.48</v>
      </c>
      <c r="O67" s="444">
        <f t="shared" si="30"/>
        <v>918.84</v>
      </c>
      <c r="P67" s="444">
        <f t="shared" si="30"/>
        <v>899.08</v>
      </c>
      <c r="Q67" s="444">
        <f t="shared" si="30"/>
        <v>879.74494623655914</v>
      </c>
      <c r="R67" s="444">
        <f t="shared" si="30"/>
        <v>860.8257000809341</v>
      </c>
      <c r="S67" s="444">
        <f t="shared" si="30"/>
        <v>842.31331943403211</v>
      </c>
      <c r="U67" s="443">
        <v>26</v>
      </c>
      <c r="V67" s="437" t="s">
        <v>543</v>
      </c>
      <c r="W67" s="444">
        <f t="shared" si="26"/>
        <v>2705.5450000000001</v>
      </c>
      <c r="X67" s="444">
        <f t="shared" si="26"/>
        <v>2355.5450000000001</v>
      </c>
      <c r="Y67" s="444">
        <f t="shared" si="26"/>
        <v>2238.8783333333336</v>
      </c>
      <c r="Z67" s="444">
        <f t="shared" si="26"/>
        <v>2140.4340999999999</v>
      </c>
      <c r="AA67" s="444">
        <f t="shared" si="26"/>
        <v>2045.2677499999998</v>
      </c>
      <c r="AB67" s="444">
        <f t="shared" si="26"/>
        <v>1941.7126166666669</v>
      </c>
      <c r="AC67" s="444">
        <f t="shared" si="26"/>
        <v>1864.8796</v>
      </c>
      <c r="AE67" s="342"/>
      <c r="AF67" s="342"/>
      <c r="AG67" s="342"/>
      <c r="AH67" s="342"/>
      <c r="AI67" s="342"/>
      <c r="AJ67" s="342"/>
      <c r="AK67" s="342"/>
      <c r="AL67" s="342"/>
      <c r="AM67" s="342"/>
      <c r="AN67" s="342"/>
    </row>
    <row r="68" spans="10:40" x14ac:dyDescent="0.2">
      <c r="K68" s="334"/>
      <c r="L68" s="334"/>
      <c r="M68" s="353"/>
      <c r="N68" s="353"/>
      <c r="O68" s="353"/>
      <c r="P68" s="353"/>
      <c r="Q68" s="353"/>
      <c r="R68" s="353"/>
      <c r="S68" s="353"/>
      <c r="U68" s="341"/>
      <c r="V68" s="340"/>
      <c r="W68" s="445"/>
      <c r="X68" s="445"/>
      <c r="Y68" s="445"/>
      <c r="Z68" s="445"/>
      <c r="AA68" s="445"/>
      <c r="AB68" s="445"/>
      <c r="AC68" s="445"/>
      <c r="AE68" s="342"/>
      <c r="AF68" s="342"/>
      <c r="AG68" s="342"/>
      <c r="AH68" s="342"/>
      <c r="AI68" s="342"/>
      <c r="AJ68" s="342"/>
      <c r="AK68" s="342"/>
      <c r="AL68" s="342"/>
      <c r="AM68" s="342"/>
      <c r="AN68" s="342"/>
    </row>
    <row r="69" spans="10:40" x14ac:dyDescent="0.2">
      <c r="K69" s="344" t="s">
        <v>595</v>
      </c>
      <c r="L69" s="343"/>
      <c r="M69" s="343"/>
      <c r="N69" s="343"/>
      <c r="O69" s="343"/>
      <c r="P69" s="343"/>
      <c r="Q69" s="343"/>
      <c r="R69" s="343"/>
      <c r="S69" s="343"/>
      <c r="U69" s="341">
        <v>32</v>
      </c>
      <c r="V69" s="340" t="s">
        <v>494</v>
      </c>
      <c r="W69" s="444">
        <f t="shared" ref="W69:AC73" si="31">W25</f>
        <v>1693.375</v>
      </c>
      <c r="X69" s="444">
        <f t="shared" si="31"/>
        <v>1693.375</v>
      </c>
      <c r="Y69" s="444">
        <f t="shared" si="31"/>
        <v>1693.375</v>
      </c>
      <c r="Z69" s="444">
        <f t="shared" si="31"/>
        <v>1659.5074999999999</v>
      </c>
      <c r="AA69" s="444">
        <f t="shared" si="31"/>
        <v>1608.70625</v>
      </c>
      <c r="AB69" s="444">
        <f t="shared" si="31"/>
        <v>1540.9712499999998</v>
      </c>
      <c r="AC69" s="444">
        <f t="shared" si="31"/>
        <v>1490.17</v>
      </c>
      <c r="AE69" s="342"/>
      <c r="AF69" s="342"/>
      <c r="AG69" s="342"/>
      <c r="AH69" s="342"/>
      <c r="AI69" s="342"/>
      <c r="AJ69" s="342"/>
      <c r="AK69" s="342"/>
      <c r="AL69" s="342"/>
      <c r="AM69" s="342"/>
      <c r="AN69" s="342"/>
    </row>
    <row r="70" spans="10:40" x14ac:dyDescent="0.2">
      <c r="K70" s="436"/>
      <c r="L70" s="437"/>
      <c r="M70" s="437"/>
      <c r="N70" s="438"/>
      <c r="O70" s="437"/>
      <c r="P70" s="439" t="s">
        <v>467</v>
      </c>
      <c r="Q70" s="440"/>
      <c r="R70" s="437"/>
      <c r="S70" s="437"/>
      <c r="U70" s="341">
        <v>33</v>
      </c>
      <c r="V70" s="340" t="s">
        <v>496</v>
      </c>
      <c r="W70" s="444">
        <f t="shared" si="31"/>
        <v>1730.1875</v>
      </c>
      <c r="X70" s="444">
        <f t="shared" si="31"/>
        <v>1730.1875</v>
      </c>
      <c r="Y70" s="444">
        <f t="shared" si="31"/>
        <v>1730.1875</v>
      </c>
      <c r="Z70" s="444">
        <f t="shared" si="31"/>
        <v>1695.58375</v>
      </c>
      <c r="AA70" s="444">
        <f t="shared" si="31"/>
        <v>1643.6781249999999</v>
      </c>
      <c r="AB70" s="444">
        <f t="shared" si="31"/>
        <v>1574.4706250000002</v>
      </c>
      <c r="AC70" s="444">
        <f t="shared" si="31"/>
        <v>1522.5650000000001</v>
      </c>
      <c r="AE70" s="342"/>
      <c r="AF70" s="342"/>
      <c r="AG70" s="342"/>
      <c r="AH70" s="342"/>
      <c r="AI70" s="342"/>
      <c r="AJ70" s="342"/>
      <c r="AK70" s="342"/>
      <c r="AL70" s="342"/>
      <c r="AM70" s="342"/>
      <c r="AN70" s="342"/>
    </row>
    <row r="71" spans="10:40" x14ac:dyDescent="0.2">
      <c r="K71" s="436"/>
      <c r="L71" s="437"/>
      <c r="M71" s="441" t="s">
        <v>464</v>
      </c>
      <c r="N71" s="442" t="s">
        <v>465</v>
      </c>
      <c r="O71" s="441" t="s">
        <v>466</v>
      </c>
      <c r="P71" s="442" t="s">
        <v>470</v>
      </c>
      <c r="Q71" s="441" t="s">
        <v>471</v>
      </c>
      <c r="R71" s="442" t="s">
        <v>472</v>
      </c>
      <c r="S71" s="441" t="s">
        <v>473</v>
      </c>
      <c r="U71" s="341">
        <v>34</v>
      </c>
      <c r="V71" s="340" t="s">
        <v>495</v>
      </c>
      <c r="W71" s="444">
        <f t="shared" si="31"/>
        <v>2430.1875</v>
      </c>
      <c r="X71" s="444">
        <f t="shared" si="31"/>
        <v>2080.1875</v>
      </c>
      <c r="Y71" s="444">
        <f t="shared" si="31"/>
        <v>1963.5208333333333</v>
      </c>
      <c r="Z71" s="444">
        <f t="shared" si="31"/>
        <v>1870.58375</v>
      </c>
      <c r="AA71" s="444">
        <f t="shared" si="31"/>
        <v>1783.6781249999999</v>
      </c>
      <c r="AB71" s="444">
        <f t="shared" si="31"/>
        <v>1691.1372916666669</v>
      </c>
      <c r="AC71" s="444">
        <f t="shared" si="31"/>
        <v>1622.5650000000001</v>
      </c>
      <c r="AE71" s="342"/>
      <c r="AF71" s="342"/>
      <c r="AG71" s="342"/>
      <c r="AH71" s="342"/>
      <c r="AI71" s="342"/>
      <c r="AJ71" s="342"/>
      <c r="AK71" s="342"/>
      <c r="AL71" s="342"/>
      <c r="AM71" s="342"/>
      <c r="AN71" s="342"/>
    </row>
    <row r="72" spans="10:40" x14ac:dyDescent="0.2">
      <c r="K72" s="357">
        <v>1</v>
      </c>
      <c r="L72" s="371" t="s">
        <v>499</v>
      </c>
      <c r="M72" s="447">
        <v>10000</v>
      </c>
      <c r="N72" s="447">
        <v>10000</v>
      </c>
      <c r="O72" s="447">
        <v>10000</v>
      </c>
      <c r="P72" s="447">
        <v>10000</v>
      </c>
      <c r="Q72" s="447">
        <v>10000</v>
      </c>
      <c r="R72" s="447">
        <v>10000</v>
      </c>
      <c r="S72" s="447">
        <v>10000</v>
      </c>
      <c r="U72" s="341">
        <v>35</v>
      </c>
      <c r="V72" s="340" t="s">
        <v>501</v>
      </c>
      <c r="W72" s="444">
        <f t="shared" si="31"/>
        <v>1767</v>
      </c>
      <c r="X72" s="444">
        <f t="shared" si="31"/>
        <v>1767</v>
      </c>
      <c r="Y72" s="444">
        <f t="shared" si="31"/>
        <v>1767</v>
      </c>
      <c r="Z72" s="444">
        <f t="shared" si="31"/>
        <v>1731.66</v>
      </c>
      <c r="AA72" s="444">
        <f t="shared" si="31"/>
        <v>1678.65</v>
      </c>
      <c r="AB72" s="444">
        <f t="shared" si="31"/>
        <v>1607.97</v>
      </c>
      <c r="AC72" s="444">
        <f t="shared" si="31"/>
        <v>1554.9600000000003</v>
      </c>
      <c r="AE72" s="342"/>
      <c r="AF72" s="342"/>
      <c r="AG72" s="342"/>
      <c r="AH72" s="342"/>
      <c r="AI72" s="342"/>
      <c r="AJ72" s="342"/>
      <c r="AK72" s="342"/>
      <c r="AL72" s="342"/>
      <c r="AM72" s="342"/>
      <c r="AN72" s="342"/>
    </row>
    <row r="73" spans="10:40" x14ac:dyDescent="0.2">
      <c r="K73" s="357">
        <v>2</v>
      </c>
      <c r="L73" s="359" t="s">
        <v>454</v>
      </c>
      <c r="M73" s="447">
        <v>968.24</v>
      </c>
      <c r="N73" s="447">
        <v>929.21399999999994</v>
      </c>
      <c r="O73" s="447">
        <v>890.08920000000001</v>
      </c>
      <c r="P73" s="447">
        <v>869.44</v>
      </c>
      <c r="Q73" s="447">
        <v>849.26984126984132</v>
      </c>
      <c r="R73" s="447">
        <v>829.56761051999149</v>
      </c>
      <c r="S73" s="447">
        <v>810.32245227837996</v>
      </c>
      <c r="U73" s="341">
        <v>36</v>
      </c>
      <c r="V73" s="340" t="s">
        <v>500</v>
      </c>
      <c r="W73" s="444">
        <f t="shared" si="31"/>
        <v>2467</v>
      </c>
      <c r="X73" s="444">
        <f t="shared" si="31"/>
        <v>2117</v>
      </c>
      <c r="Y73" s="444">
        <f t="shared" si="31"/>
        <v>2000.3333333333333</v>
      </c>
      <c r="Z73" s="444">
        <f t="shared" si="31"/>
        <v>1906.66</v>
      </c>
      <c r="AA73" s="444">
        <f t="shared" si="31"/>
        <v>1818.65</v>
      </c>
      <c r="AB73" s="444">
        <f t="shared" si="31"/>
        <v>1724.6366666666665</v>
      </c>
      <c r="AC73" s="444">
        <f t="shared" si="31"/>
        <v>1654.9600000000003</v>
      </c>
      <c r="AE73" s="342"/>
      <c r="AF73" s="342"/>
      <c r="AG73" s="342"/>
      <c r="AH73" s="342"/>
      <c r="AI73" s="342"/>
      <c r="AJ73" s="342"/>
      <c r="AK73" s="342"/>
      <c r="AL73" s="342"/>
      <c r="AM73" s="342"/>
      <c r="AN73" s="342"/>
    </row>
    <row r="74" spans="10:40" x14ac:dyDescent="0.2">
      <c r="K74" s="357">
        <v>3</v>
      </c>
      <c r="L74" s="359" t="s">
        <v>408</v>
      </c>
      <c r="M74" s="447">
        <v>893.76</v>
      </c>
      <c r="N74" s="447">
        <v>857.73599999999988</v>
      </c>
      <c r="O74" s="447">
        <v>821.62080000000003</v>
      </c>
      <c r="P74" s="447">
        <v>802.56</v>
      </c>
      <c r="Q74" s="447">
        <v>783.94139194139177</v>
      </c>
      <c r="R74" s="447">
        <v>765.75471740306875</v>
      </c>
      <c r="S74" s="447">
        <v>747.98995594927328</v>
      </c>
      <c r="U74" s="436"/>
      <c r="V74" s="436"/>
      <c r="W74" s="436"/>
      <c r="X74" s="436"/>
      <c r="Y74" s="436"/>
      <c r="Z74" s="436"/>
      <c r="AA74" s="436"/>
      <c r="AB74" s="436"/>
      <c r="AC74" s="436"/>
      <c r="AE74" s="342"/>
      <c r="AF74" s="342"/>
      <c r="AG74" s="342"/>
      <c r="AH74" s="342"/>
      <c r="AI74" s="342"/>
      <c r="AJ74" s="342"/>
      <c r="AK74" s="342"/>
      <c r="AL74" s="342"/>
      <c r="AM74" s="342"/>
      <c r="AN74" s="342"/>
    </row>
    <row r="75" spans="10:40" x14ac:dyDescent="0.2">
      <c r="J75" s="386"/>
      <c r="K75" s="357">
        <v>4</v>
      </c>
      <c r="L75" s="359" t="s">
        <v>420</v>
      </c>
      <c r="M75" s="447">
        <v>748</v>
      </c>
      <c r="N75" s="447">
        <v>710.6</v>
      </c>
      <c r="O75" s="447">
        <v>680.68</v>
      </c>
      <c r="P75" s="447">
        <v>658.24</v>
      </c>
      <c r="Q75" s="447">
        <v>636.53978021978025</v>
      </c>
      <c r="R75" s="447">
        <v>615.55495230044687</v>
      </c>
      <c r="S75" s="447">
        <v>595.26193189493767</v>
      </c>
      <c r="T75" s="386"/>
      <c r="U75" s="443"/>
      <c r="V75" s="437" t="s">
        <v>539</v>
      </c>
      <c r="W75" s="446">
        <f>W63/W69 - 1</f>
        <v>0.13500000000000001</v>
      </c>
      <c r="X75" s="446">
        <f>X63/X69 - 1</f>
        <v>0.13500000000000001</v>
      </c>
      <c r="Y75" s="446">
        <f t="shared" ref="Y75:AC75" si="32">Y63/Y69 - 1</f>
        <v>0.13500000000000001</v>
      </c>
      <c r="Z75" s="446">
        <f t="shared" si="32"/>
        <v>0.13500000000000001</v>
      </c>
      <c r="AA75" s="446">
        <f t="shared" si="32"/>
        <v>0.13500000000000001</v>
      </c>
      <c r="AB75" s="446">
        <f t="shared" si="32"/>
        <v>0.13500000000000001</v>
      </c>
      <c r="AC75" s="446">
        <f t="shared" si="32"/>
        <v>0.13500000000000001</v>
      </c>
      <c r="AE75" s="342"/>
      <c r="AF75" s="342"/>
      <c r="AG75" s="342"/>
      <c r="AH75" s="342"/>
      <c r="AI75" s="342"/>
      <c r="AJ75" s="342"/>
      <c r="AK75" s="342"/>
      <c r="AL75" s="342"/>
      <c r="AM75" s="342"/>
      <c r="AN75" s="342"/>
    </row>
    <row r="76" spans="10:40" x14ac:dyDescent="0.2">
      <c r="J76" s="386"/>
      <c r="K76" s="357">
        <v>5</v>
      </c>
      <c r="L76" s="359" t="s">
        <v>421</v>
      </c>
      <c r="M76" s="447">
        <v>525</v>
      </c>
      <c r="N76" s="447">
        <v>498.74999999999994</v>
      </c>
      <c r="O76" s="447">
        <v>477.74999999999994</v>
      </c>
      <c r="P76" s="447">
        <v>461.99999999999994</v>
      </c>
      <c r="Q76" s="447">
        <v>446.76923076923072</v>
      </c>
      <c r="R76" s="447">
        <v>432.04057480980549</v>
      </c>
      <c r="S76" s="447">
        <v>417.79747893695475</v>
      </c>
      <c r="T76" s="386"/>
      <c r="U76" s="443"/>
      <c r="V76" s="437" t="s">
        <v>540</v>
      </c>
      <c r="W76" s="446">
        <f t="shared" ref="W76:AC76" si="33">W64/W70 - 1</f>
        <v>0.13500000000000001</v>
      </c>
      <c r="X76" s="446">
        <f t="shared" si="33"/>
        <v>0.13500000000000001</v>
      </c>
      <c r="Y76" s="446">
        <f t="shared" si="33"/>
        <v>0.13500000000000001</v>
      </c>
      <c r="Z76" s="446">
        <f t="shared" si="33"/>
        <v>0.13500000000000001</v>
      </c>
      <c r="AA76" s="446">
        <f t="shared" si="33"/>
        <v>0.13500000000000023</v>
      </c>
      <c r="AB76" s="446">
        <f t="shared" si="33"/>
        <v>0.13500000000000023</v>
      </c>
      <c r="AC76" s="446">
        <f t="shared" si="33"/>
        <v>0.13500000000000023</v>
      </c>
      <c r="AE76" s="342"/>
      <c r="AF76" s="342"/>
      <c r="AG76" s="342"/>
      <c r="AH76" s="342"/>
      <c r="AI76" s="342"/>
      <c r="AJ76" s="342"/>
      <c r="AK76" s="342"/>
      <c r="AL76" s="342"/>
      <c r="AM76" s="342"/>
      <c r="AN76" s="342"/>
    </row>
    <row r="77" spans="10:40" x14ac:dyDescent="0.2">
      <c r="J77" s="386"/>
      <c r="K77" s="357">
        <v>6</v>
      </c>
      <c r="L77" s="359" t="s">
        <v>159</v>
      </c>
      <c r="M77" s="447">
        <v>420</v>
      </c>
      <c r="N77" s="447">
        <v>399</v>
      </c>
      <c r="O77" s="447">
        <v>382.2</v>
      </c>
      <c r="P77" s="447">
        <v>369.59999999999997</v>
      </c>
      <c r="Q77" s="447">
        <v>357.4153846153846</v>
      </c>
      <c r="R77" s="447">
        <v>345.63245984784442</v>
      </c>
      <c r="S77" s="447">
        <v>334.23798314956383</v>
      </c>
      <c r="T77" s="386"/>
      <c r="U77" s="443"/>
      <c r="V77" s="437" t="s">
        <v>541</v>
      </c>
      <c r="W77" s="446">
        <f t="shared" ref="W77:AC77" si="34">W65/W71 - 1</f>
        <v>9.6114111565465565E-2</v>
      </c>
      <c r="X77" s="446">
        <f t="shared" si="34"/>
        <v>0.11228570140912786</v>
      </c>
      <c r="Y77" s="446">
        <f t="shared" si="34"/>
        <v>0.11895738946832335</v>
      </c>
      <c r="Z77" s="446">
        <f t="shared" si="34"/>
        <v>0.12237025273527591</v>
      </c>
      <c r="AA77" s="446">
        <f t="shared" si="34"/>
        <v>0.12440391781729132</v>
      </c>
      <c r="AB77" s="446">
        <f t="shared" si="34"/>
        <v>0.12568674076456676</v>
      </c>
      <c r="AC77" s="446">
        <f t="shared" si="34"/>
        <v>0.126679840252933</v>
      </c>
      <c r="AE77" s="342"/>
      <c r="AF77" s="342"/>
      <c r="AG77" s="342"/>
      <c r="AH77" s="342"/>
      <c r="AI77" s="342"/>
      <c r="AJ77" s="342"/>
      <c r="AK77" s="342"/>
      <c r="AL77" s="342"/>
      <c r="AM77" s="342"/>
      <c r="AN77" s="342"/>
    </row>
    <row r="78" spans="10:40" x14ac:dyDescent="0.2">
      <c r="K78" s="357">
        <v>7</v>
      </c>
      <c r="L78" s="359" t="s">
        <v>498</v>
      </c>
      <c r="M78" s="447">
        <v>300</v>
      </c>
      <c r="N78" s="447">
        <v>300</v>
      </c>
      <c r="O78" s="447">
        <v>300</v>
      </c>
      <c r="P78" s="447">
        <v>300</v>
      </c>
      <c r="Q78" s="447">
        <v>300</v>
      </c>
      <c r="R78" s="447">
        <v>300</v>
      </c>
      <c r="S78" s="447">
        <v>300</v>
      </c>
      <c r="U78" s="443"/>
      <c r="V78" s="437" t="s">
        <v>542</v>
      </c>
      <c r="W78" s="446">
        <f t="shared" ref="W78:AC79" si="35">W66/W72 - 1</f>
        <v>0.13500000000000001</v>
      </c>
      <c r="X78" s="446">
        <f t="shared" si="35"/>
        <v>0.13500000000000001</v>
      </c>
      <c r="Y78" s="446">
        <f t="shared" si="35"/>
        <v>0.13500000000000001</v>
      </c>
      <c r="Z78" s="446">
        <f t="shared" si="35"/>
        <v>0.13500000000000001</v>
      </c>
      <c r="AA78" s="446">
        <f t="shared" si="35"/>
        <v>0.13499999999999979</v>
      </c>
      <c r="AB78" s="446">
        <f t="shared" si="35"/>
        <v>0.13500000000000023</v>
      </c>
      <c r="AC78" s="446">
        <f t="shared" si="35"/>
        <v>0.13499999999999979</v>
      </c>
      <c r="AE78" s="342"/>
      <c r="AF78" s="342"/>
      <c r="AG78" s="342"/>
      <c r="AH78" s="342"/>
      <c r="AI78" s="342"/>
      <c r="AJ78" s="342"/>
      <c r="AK78" s="342"/>
      <c r="AL78" s="342"/>
      <c r="AM78" s="342"/>
      <c r="AN78" s="342"/>
    </row>
    <row r="79" spans="10:40" x14ac:dyDescent="0.2">
      <c r="K79" s="382"/>
      <c r="L79" s="359"/>
      <c r="M79" s="359"/>
      <c r="N79" s="359"/>
      <c r="O79" s="359"/>
      <c r="P79" s="359"/>
      <c r="Q79" s="359"/>
      <c r="R79" s="359"/>
      <c r="S79" s="359"/>
      <c r="U79" s="443"/>
      <c r="V79" s="437" t="s">
        <v>543</v>
      </c>
      <c r="W79" s="446">
        <f t="shared" si="35"/>
        <v>9.6694365626266654E-2</v>
      </c>
      <c r="X79" s="446">
        <f t="shared" si="35"/>
        <v>0.11268068020784128</v>
      </c>
      <c r="Y79" s="446">
        <f t="shared" si="35"/>
        <v>0.11925262456257313</v>
      </c>
      <c r="Z79" s="446">
        <f t="shared" si="35"/>
        <v>0.12260922240986849</v>
      </c>
      <c r="AA79" s="446">
        <f t="shared" si="35"/>
        <v>0.12460767602342382</v>
      </c>
      <c r="AB79" s="446">
        <f t="shared" si="35"/>
        <v>0.12586764168684828</v>
      </c>
      <c r="AC79" s="446">
        <f t="shared" si="35"/>
        <v>0.12684270314690371</v>
      </c>
      <c r="AE79" s="342"/>
      <c r="AF79" s="342"/>
      <c r="AG79" s="342"/>
      <c r="AH79" s="342"/>
      <c r="AI79" s="342"/>
      <c r="AJ79" s="342"/>
      <c r="AK79" s="342"/>
      <c r="AL79" s="342"/>
      <c r="AM79" s="342"/>
      <c r="AN79" s="342"/>
    </row>
    <row r="80" spans="10:40" x14ac:dyDescent="0.2">
      <c r="K80" s="357">
        <v>12</v>
      </c>
      <c r="L80" s="359" t="s">
        <v>478</v>
      </c>
      <c r="M80" s="448">
        <v>1102</v>
      </c>
      <c r="N80" s="448">
        <v>1057.9199999999998</v>
      </c>
      <c r="O80" s="448">
        <v>1024.8599999999999</v>
      </c>
      <c r="P80" s="448">
        <v>1002.8199999999999</v>
      </c>
      <c r="Q80" s="448">
        <v>981.25397849462354</v>
      </c>
      <c r="R80" s="448">
        <v>960.15174239796499</v>
      </c>
      <c r="S80" s="448">
        <v>939.50331783026684</v>
      </c>
      <c r="U80" s="334"/>
      <c r="V80" s="334"/>
      <c r="W80" s="353"/>
      <c r="X80" s="353"/>
      <c r="Y80" s="353"/>
      <c r="Z80" s="353"/>
      <c r="AA80" s="353"/>
      <c r="AB80" s="353"/>
      <c r="AC80" s="353"/>
      <c r="AE80" s="342"/>
      <c r="AF80" s="342"/>
      <c r="AG80" s="342"/>
      <c r="AH80" s="342"/>
      <c r="AI80" s="342"/>
      <c r="AJ80" s="342"/>
      <c r="AK80" s="342"/>
      <c r="AL80" s="342"/>
      <c r="AM80" s="342"/>
      <c r="AN80" s="342"/>
    </row>
    <row r="81" spans="10:40" x14ac:dyDescent="0.2">
      <c r="J81" s="386"/>
      <c r="K81" s="357">
        <v>13</v>
      </c>
      <c r="L81" s="359" t="s">
        <v>479</v>
      </c>
      <c r="M81" s="448">
        <v>1064</v>
      </c>
      <c r="N81" s="448">
        <v>1021.44</v>
      </c>
      <c r="O81" s="448">
        <v>989.5200000000001</v>
      </c>
      <c r="P81" s="448">
        <v>968.24000000000012</v>
      </c>
      <c r="Q81" s="448">
        <v>947.41763440860223</v>
      </c>
      <c r="R81" s="448">
        <v>927.04306162562148</v>
      </c>
      <c r="S81" s="448">
        <v>907.10665169818867</v>
      </c>
      <c r="T81" s="386"/>
      <c r="U81" s="344" t="s">
        <v>595</v>
      </c>
      <c r="V81" s="343"/>
      <c r="W81" s="343"/>
      <c r="X81" s="343"/>
      <c r="Y81" s="343"/>
      <c r="Z81" s="343"/>
      <c r="AA81" s="343"/>
      <c r="AB81" s="343"/>
      <c r="AC81" s="343"/>
      <c r="AE81" s="342"/>
      <c r="AF81" s="342"/>
      <c r="AG81" s="342"/>
      <c r="AH81" s="342"/>
      <c r="AI81" s="342"/>
      <c r="AJ81" s="342"/>
      <c r="AK81" s="342"/>
      <c r="AL81" s="342"/>
      <c r="AM81" s="342"/>
      <c r="AN81" s="342"/>
    </row>
    <row r="82" spans="10:40" x14ac:dyDescent="0.2">
      <c r="J82" s="386"/>
      <c r="K82" s="357">
        <v>14</v>
      </c>
      <c r="L82" s="359" t="s">
        <v>480</v>
      </c>
      <c r="M82" s="447">
        <v>1026</v>
      </c>
      <c r="N82" s="447">
        <v>984.96</v>
      </c>
      <c r="O82" s="447">
        <v>954.18000000000006</v>
      </c>
      <c r="P82" s="447">
        <v>933.66000000000008</v>
      </c>
      <c r="Q82" s="447">
        <v>913.58129032258068</v>
      </c>
      <c r="R82" s="447">
        <v>893.93438085327784</v>
      </c>
      <c r="S82" s="447">
        <v>874.7099855661105</v>
      </c>
      <c r="T82" s="386"/>
      <c r="U82" s="436"/>
      <c r="V82" s="437"/>
      <c r="W82" s="437"/>
      <c r="X82" s="438"/>
      <c r="Y82" s="437"/>
      <c r="Z82" s="439" t="s">
        <v>467</v>
      </c>
      <c r="AA82" s="440"/>
      <c r="AB82" s="437"/>
      <c r="AC82" s="437"/>
      <c r="AE82" s="342"/>
      <c r="AF82" s="342"/>
      <c r="AG82" s="342"/>
      <c r="AH82" s="342"/>
      <c r="AI82" s="342"/>
      <c r="AJ82" s="342"/>
      <c r="AK82" s="342"/>
      <c r="AL82" s="342"/>
      <c r="AM82" s="342"/>
      <c r="AN82" s="342"/>
    </row>
    <row r="83" spans="10:40" x14ac:dyDescent="0.2">
      <c r="J83" s="386"/>
      <c r="K83" s="357">
        <v>15</v>
      </c>
      <c r="L83" s="359" t="s">
        <v>481</v>
      </c>
      <c r="M83" s="447">
        <v>988</v>
      </c>
      <c r="N83" s="447">
        <v>948.48</v>
      </c>
      <c r="O83" s="447">
        <v>918.84</v>
      </c>
      <c r="P83" s="447">
        <v>899.08</v>
      </c>
      <c r="Q83" s="447">
        <v>879.74494623655914</v>
      </c>
      <c r="R83" s="447">
        <v>860.8257000809341</v>
      </c>
      <c r="S83" s="447">
        <v>842.31331943403211</v>
      </c>
      <c r="T83" s="386"/>
      <c r="U83" s="436"/>
      <c r="V83" s="437"/>
      <c r="W83" s="441" t="s">
        <v>464</v>
      </c>
      <c r="X83" s="442" t="s">
        <v>465</v>
      </c>
      <c r="Y83" s="441" t="s">
        <v>466</v>
      </c>
      <c r="Z83" s="442" t="s">
        <v>470</v>
      </c>
      <c r="AA83" s="441" t="s">
        <v>471</v>
      </c>
      <c r="AB83" s="442" t="s">
        <v>472</v>
      </c>
      <c r="AC83" s="441" t="s">
        <v>473</v>
      </c>
      <c r="AE83" s="342"/>
      <c r="AF83" s="342"/>
      <c r="AG83" s="342"/>
      <c r="AH83" s="342"/>
      <c r="AI83" s="342"/>
      <c r="AJ83" s="342"/>
      <c r="AK83" s="342"/>
      <c r="AL83" s="342"/>
      <c r="AM83" s="342"/>
      <c r="AN83" s="342"/>
    </row>
    <row r="84" spans="10:40" ht="13.5" customHeight="1" x14ac:dyDescent="0.2">
      <c r="J84" s="386"/>
      <c r="K84" s="334"/>
      <c r="L84" s="334"/>
      <c r="M84" s="353"/>
      <c r="N84" s="353"/>
      <c r="O84" s="353"/>
      <c r="P84" s="353"/>
      <c r="Q84" s="353"/>
      <c r="R84" s="353"/>
      <c r="S84" s="353"/>
      <c r="T84" s="386"/>
      <c r="U84" s="443">
        <v>22</v>
      </c>
      <c r="V84" s="437" t="s">
        <v>539</v>
      </c>
      <c r="W84" s="447">
        <v>2100</v>
      </c>
      <c r="X84" s="447">
        <v>2100</v>
      </c>
      <c r="Y84" s="447">
        <v>2100</v>
      </c>
      <c r="Z84" s="447">
        <v>2058</v>
      </c>
      <c r="AA84" s="447">
        <v>1995</v>
      </c>
      <c r="AB84" s="447">
        <v>1911</v>
      </c>
      <c r="AC84" s="447">
        <v>1848</v>
      </c>
      <c r="AE84" s="342"/>
      <c r="AF84" s="342"/>
      <c r="AG84" s="342"/>
      <c r="AH84" s="342"/>
      <c r="AI84" s="342"/>
      <c r="AJ84" s="342"/>
      <c r="AK84" s="342"/>
      <c r="AL84" s="342"/>
      <c r="AM84" s="342"/>
      <c r="AN84" s="342"/>
    </row>
    <row r="85" spans="10:40" ht="13.5" customHeight="1" x14ac:dyDescent="0.2">
      <c r="J85" s="386"/>
      <c r="K85" s="344" t="s">
        <v>570</v>
      </c>
      <c r="L85" s="343"/>
      <c r="M85" s="343"/>
      <c r="N85" s="343"/>
      <c r="O85" s="343"/>
      <c r="P85" s="343"/>
      <c r="Q85" s="343"/>
      <c r="R85" s="343"/>
      <c r="S85" s="343"/>
      <c r="T85" s="386"/>
      <c r="U85" s="443">
        <v>23</v>
      </c>
      <c r="V85" s="437" t="s">
        <v>540</v>
      </c>
      <c r="W85" s="447">
        <v>2100</v>
      </c>
      <c r="X85" s="447">
        <v>2100</v>
      </c>
      <c r="Y85" s="447">
        <v>2100</v>
      </c>
      <c r="Z85" s="447">
        <v>2058</v>
      </c>
      <c r="AA85" s="447">
        <v>1995</v>
      </c>
      <c r="AB85" s="447">
        <v>1911</v>
      </c>
      <c r="AC85" s="447">
        <v>1848</v>
      </c>
      <c r="AE85" s="342"/>
      <c r="AF85" s="342"/>
      <c r="AG85" s="342"/>
      <c r="AH85" s="342"/>
      <c r="AI85" s="342"/>
      <c r="AJ85" s="342"/>
      <c r="AK85" s="342"/>
      <c r="AL85" s="342"/>
      <c r="AM85" s="342"/>
      <c r="AN85" s="342"/>
    </row>
    <row r="86" spans="10:40" x14ac:dyDescent="0.2">
      <c r="J86" s="386"/>
      <c r="K86" s="436"/>
      <c r="L86" s="437"/>
      <c r="M86" s="437"/>
      <c r="N86" s="438"/>
      <c r="O86" s="437"/>
      <c r="P86" s="439" t="s">
        <v>467</v>
      </c>
      <c r="Q86" s="440"/>
      <c r="R86" s="437"/>
      <c r="S86" s="437"/>
      <c r="T86" s="386"/>
      <c r="U86" s="443">
        <v>24</v>
      </c>
      <c r="V86" s="437" t="s">
        <v>541</v>
      </c>
      <c r="W86" s="447">
        <v>2450</v>
      </c>
      <c r="X86" s="447">
        <v>2450</v>
      </c>
      <c r="Y86" s="447">
        <v>2333.3333333333335</v>
      </c>
      <c r="Z86" s="447">
        <v>2233</v>
      </c>
      <c r="AA86" s="447">
        <v>2135</v>
      </c>
      <c r="AB86" s="447">
        <v>2027.6666666666667</v>
      </c>
      <c r="AC86" s="447">
        <v>1948</v>
      </c>
      <c r="AE86" s="342"/>
      <c r="AF86" s="342"/>
      <c r="AG86" s="342"/>
      <c r="AH86" s="342"/>
      <c r="AI86" s="342"/>
      <c r="AJ86" s="342"/>
      <c r="AK86" s="342"/>
      <c r="AL86" s="342"/>
      <c r="AM86" s="342"/>
      <c r="AN86" s="342"/>
    </row>
    <row r="87" spans="10:40" ht="13.9" customHeight="1" x14ac:dyDescent="0.2">
      <c r="J87" s="386"/>
      <c r="K87" s="436"/>
      <c r="L87" s="437"/>
      <c r="M87" s="441" t="s">
        <v>464</v>
      </c>
      <c r="N87" s="442" t="s">
        <v>465</v>
      </c>
      <c r="O87" s="441" t="s">
        <v>466</v>
      </c>
      <c r="P87" s="442" t="s">
        <v>470</v>
      </c>
      <c r="Q87" s="441" t="s">
        <v>471</v>
      </c>
      <c r="R87" s="442" t="s">
        <v>472</v>
      </c>
      <c r="S87" s="441" t="s">
        <v>473</v>
      </c>
      <c r="T87" s="386"/>
      <c r="U87" s="443">
        <v>25</v>
      </c>
      <c r="V87" s="437" t="s">
        <v>542</v>
      </c>
      <c r="W87" s="447">
        <v>2100</v>
      </c>
      <c r="X87" s="447">
        <v>2100</v>
      </c>
      <c r="Y87" s="447">
        <v>2100</v>
      </c>
      <c r="Z87" s="447">
        <v>2058</v>
      </c>
      <c r="AA87" s="447">
        <v>1995</v>
      </c>
      <c r="AB87" s="447">
        <v>1911</v>
      </c>
      <c r="AC87" s="447">
        <v>1848</v>
      </c>
      <c r="AE87" s="342"/>
      <c r="AF87" s="342"/>
      <c r="AG87" s="342"/>
      <c r="AH87" s="342"/>
      <c r="AI87" s="342"/>
      <c r="AJ87" s="342"/>
      <c r="AK87" s="342"/>
      <c r="AL87" s="342"/>
      <c r="AM87" s="342"/>
      <c r="AN87" s="342"/>
    </row>
    <row r="88" spans="10:40" ht="13.9" customHeight="1" x14ac:dyDescent="0.2">
      <c r="J88" s="386"/>
      <c r="K88" s="357">
        <v>1</v>
      </c>
      <c r="L88" s="371" t="s">
        <v>499</v>
      </c>
      <c r="M88" s="450">
        <f>M56 - M72</f>
        <v>0</v>
      </c>
      <c r="N88" s="450">
        <f t="shared" ref="N88:S88" si="36">N56 - N72</f>
        <v>0</v>
      </c>
      <c r="O88" s="450">
        <f t="shared" si="36"/>
        <v>0</v>
      </c>
      <c r="P88" s="450">
        <f t="shared" si="36"/>
        <v>0</v>
      </c>
      <c r="Q88" s="450">
        <f t="shared" si="36"/>
        <v>0</v>
      </c>
      <c r="R88" s="450">
        <f t="shared" si="36"/>
        <v>0</v>
      </c>
      <c r="S88" s="450">
        <f t="shared" si="36"/>
        <v>0</v>
      </c>
      <c r="T88" s="386"/>
      <c r="U88" s="443">
        <v>26</v>
      </c>
      <c r="V88" s="437" t="s">
        <v>543</v>
      </c>
      <c r="W88" s="447">
        <v>2450</v>
      </c>
      <c r="X88" s="447">
        <v>2450</v>
      </c>
      <c r="Y88" s="447">
        <v>2333.3333333333335</v>
      </c>
      <c r="Z88" s="447">
        <v>2233</v>
      </c>
      <c r="AA88" s="447">
        <v>2135</v>
      </c>
      <c r="AB88" s="447">
        <v>2027.6666666666667</v>
      </c>
      <c r="AC88" s="447">
        <v>1948</v>
      </c>
      <c r="AE88" s="342"/>
      <c r="AF88" s="342"/>
      <c r="AG88" s="342"/>
      <c r="AH88" s="342"/>
      <c r="AI88" s="342"/>
      <c r="AJ88" s="342"/>
      <c r="AK88" s="342"/>
      <c r="AL88" s="342"/>
      <c r="AM88" s="342"/>
      <c r="AN88" s="342"/>
    </row>
    <row r="89" spans="10:40" x14ac:dyDescent="0.2">
      <c r="J89" s="386"/>
      <c r="K89" s="357">
        <v>2</v>
      </c>
      <c r="L89" s="359" t="s">
        <v>454</v>
      </c>
      <c r="M89" s="450">
        <f t="shared" ref="M89:S89" si="37">M57 - M73</f>
        <v>0</v>
      </c>
      <c r="N89" s="450">
        <f t="shared" si="37"/>
        <v>0</v>
      </c>
      <c r="O89" s="450">
        <f t="shared" si="37"/>
        <v>0</v>
      </c>
      <c r="P89" s="450">
        <f t="shared" si="37"/>
        <v>0</v>
      </c>
      <c r="Q89" s="450">
        <f t="shared" si="37"/>
        <v>0</v>
      </c>
      <c r="R89" s="450">
        <f t="shared" si="37"/>
        <v>0</v>
      </c>
      <c r="S89" s="450">
        <f t="shared" si="37"/>
        <v>0</v>
      </c>
      <c r="T89" s="386"/>
      <c r="U89" s="341"/>
      <c r="V89" s="340"/>
      <c r="W89" s="445"/>
      <c r="X89" s="445"/>
      <c r="Y89" s="445"/>
      <c r="Z89" s="445"/>
      <c r="AA89" s="445"/>
      <c r="AB89" s="445"/>
      <c r="AC89" s="445"/>
      <c r="AE89" s="342"/>
      <c r="AF89" s="342"/>
      <c r="AG89" s="342"/>
      <c r="AH89" s="342"/>
      <c r="AI89" s="342"/>
      <c r="AJ89" s="342"/>
      <c r="AK89" s="342"/>
      <c r="AL89" s="342"/>
      <c r="AM89" s="342"/>
      <c r="AN89" s="342"/>
    </row>
    <row r="90" spans="10:40" x14ac:dyDescent="0.2">
      <c r="J90" s="386"/>
      <c r="K90" s="357">
        <v>3</v>
      </c>
      <c r="L90" s="359" t="s">
        <v>408</v>
      </c>
      <c r="M90" s="450">
        <f t="shared" ref="M90:S90" si="38">M58 - M74</f>
        <v>0</v>
      </c>
      <c r="N90" s="450">
        <f t="shared" si="38"/>
        <v>0</v>
      </c>
      <c r="O90" s="450">
        <f t="shared" si="38"/>
        <v>0</v>
      </c>
      <c r="P90" s="450">
        <f t="shared" si="38"/>
        <v>0</v>
      </c>
      <c r="Q90" s="450">
        <f t="shared" si="38"/>
        <v>0</v>
      </c>
      <c r="R90" s="450">
        <f t="shared" si="38"/>
        <v>0</v>
      </c>
      <c r="S90" s="450">
        <f t="shared" si="38"/>
        <v>0</v>
      </c>
      <c r="T90" s="386"/>
      <c r="U90" s="341">
        <v>32</v>
      </c>
      <c r="V90" s="340" t="s">
        <v>494</v>
      </c>
      <c r="W90" s="448">
        <v>1693.375</v>
      </c>
      <c r="X90" s="448">
        <v>1693.375</v>
      </c>
      <c r="Y90" s="448">
        <v>1693.375</v>
      </c>
      <c r="Z90" s="448">
        <v>1659.5074999999999</v>
      </c>
      <c r="AA90" s="448">
        <v>1608.70625</v>
      </c>
      <c r="AB90" s="448">
        <v>1540.9712499999998</v>
      </c>
      <c r="AC90" s="448">
        <v>1490.17</v>
      </c>
      <c r="AE90" s="342"/>
      <c r="AF90" s="342"/>
      <c r="AG90" s="342"/>
      <c r="AH90" s="342"/>
      <c r="AI90" s="342"/>
      <c r="AJ90" s="342"/>
      <c r="AK90" s="342"/>
      <c r="AL90" s="342"/>
      <c r="AM90" s="342"/>
      <c r="AN90" s="342"/>
    </row>
    <row r="91" spans="10:40" ht="13.9" customHeight="1" x14ac:dyDescent="0.2">
      <c r="J91" s="386"/>
      <c r="K91" s="357">
        <v>4</v>
      </c>
      <c r="L91" s="359" t="s">
        <v>420</v>
      </c>
      <c r="M91" s="450">
        <f t="shared" ref="M91:S91" si="39">M59 - M75</f>
        <v>-14.960000000000036</v>
      </c>
      <c r="N91" s="450">
        <f t="shared" si="39"/>
        <v>-7.1060000000001082</v>
      </c>
      <c r="O91" s="450">
        <f t="shared" si="39"/>
        <v>-6.8067999999999529</v>
      </c>
      <c r="P91" s="450">
        <f t="shared" si="39"/>
        <v>0</v>
      </c>
      <c r="Q91" s="450">
        <f t="shared" si="39"/>
        <v>6.4296947496947041</v>
      </c>
      <c r="R91" s="450">
        <f t="shared" si="39"/>
        <v>12.498258902947441</v>
      </c>
      <c r="S91" s="450">
        <f t="shared" si="39"/>
        <v>18.221058291528038</v>
      </c>
      <c r="T91" s="386"/>
      <c r="U91" s="341">
        <v>33</v>
      </c>
      <c r="V91" s="340" t="s">
        <v>496</v>
      </c>
      <c r="W91" s="448">
        <v>1730.1875</v>
      </c>
      <c r="X91" s="448">
        <v>1730.1875</v>
      </c>
      <c r="Y91" s="448">
        <v>1730.1875</v>
      </c>
      <c r="Z91" s="448">
        <v>1695.58375</v>
      </c>
      <c r="AA91" s="448">
        <v>1643.6781249999999</v>
      </c>
      <c r="AB91" s="448">
        <v>1574.4706249999999</v>
      </c>
      <c r="AC91" s="448">
        <v>1522.5650000000001</v>
      </c>
      <c r="AE91" s="342"/>
      <c r="AF91" s="342"/>
      <c r="AG91" s="342"/>
      <c r="AH91" s="342"/>
      <c r="AI91" s="342"/>
      <c r="AJ91" s="342"/>
      <c r="AK91" s="342"/>
      <c r="AL91" s="342"/>
      <c r="AM91" s="342"/>
      <c r="AN91" s="342"/>
    </row>
    <row r="92" spans="10:40" x14ac:dyDescent="0.2">
      <c r="J92" s="386"/>
      <c r="K92" s="357">
        <v>5</v>
      </c>
      <c r="L92" s="359" t="s">
        <v>421</v>
      </c>
      <c r="M92" s="450">
        <f t="shared" ref="M92:S92" si="40">M60 - M76</f>
        <v>-10.5</v>
      </c>
      <c r="N92" s="450">
        <f t="shared" si="40"/>
        <v>-4.9874999999999545</v>
      </c>
      <c r="O92" s="450">
        <f t="shared" si="40"/>
        <v>-4.7774999999999181</v>
      </c>
      <c r="P92" s="450">
        <f t="shared" si="40"/>
        <v>0</v>
      </c>
      <c r="Q92" s="450">
        <f t="shared" si="40"/>
        <v>4.5128205128205536</v>
      </c>
      <c r="R92" s="450">
        <f t="shared" si="40"/>
        <v>8.7721736952507285</v>
      </c>
      <c r="S92" s="450">
        <f t="shared" si="40"/>
        <v>12.78884438910751</v>
      </c>
      <c r="T92" s="386"/>
      <c r="U92" s="341">
        <v>34</v>
      </c>
      <c r="V92" s="340" t="s">
        <v>495</v>
      </c>
      <c r="W92" s="448">
        <v>2080.1875</v>
      </c>
      <c r="X92" s="448">
        <v>2080.1875</v>
      </c>
      <c r="Y92" s="448">
        <v>1963.5208333333333</v>
      </c>
      <c r="Z92" s="448">
        <v>1870.58375</v>
      </c>
      <c r="AA92" s="448">
        <v>1783.6781249999999</v>
      </c>
      <c r="AB92" s="448">
        <v>1691.1372916666667</v>
      </c>
      <c r="AC92" s="448">
        <v>1622.5650000000001</v>
      </c>
      <c r="AE92" s="342"/>
      <c r="AF92" s="342"/>
      <c r="AG92" s="342"/>
      <c r="AH92" s="342"/>
      <c r="AI92" s="342"/>
      <c r="AJ92" s="342"/>
      <c r="AK92" s="342"/>
      <c r="AL92" s="342"/>
      <c r="AM92" s="342"/>
      <c r="AN92" s="342"/>
    </row>
    <row r="93" spans="10:40" ht="13.9" customHeight="1" x14ac:dyDescent="0.2">
      <c r="J93" s="386"/>
      <c r="K93" s="357">
        <v>6</v>
      </c>
      <c r="L93" s="359" t="s">
        <v>159</v>
      </c>
      <c r="M93" s="450">
        <f t="shared" ref="M93:S93" si="41">M61 - M77</f>
        <v>-8.3999999999999773</v>
      </c>
      <c r="N93" s="450">
        <f t="shared" si="41"/>
        <v>-3.9900000000000091</v>
      </c>
      <c r="O93" s="450">
        <f t="shared" si="41"/>
        <v>-3.8219999999999459</v>
      </c>
      <c r="P93" s="450">
        <f t="shared" si="41"/>
        <v>0</v>
      </c>
      <c r="Q93" s="450">
        <f t="shared" si="41"/>
        <v>3.6102564102563974</v>
      </c>
      <c r="R93" s="450">
        <f t="shared" si="41"/>
        <v>7.0177389562004464</v>
      </c>
      <c r="S93" s="450">
        <f t="shared" si="41"/>
        <v>10.231075511285781</v>
      </c>
      <c r="T93" s="386"/>
      <c r="U93" s="341">
        <v>35</v>
      </c>
      <c r="V93" s="340" t="s">
        <v>501</v>
      </c>
      <c r="W93" s="448">
        <v>1767</v>
      </c>
      <c r="X93" s="448">
        <v>1767</v>
      </c>
      <c r="Y93" s="448">
        <v>1767</v>
      </c>
      <c r="Z93" s="448">
        <v>1731.66</v>
      </c>
      <c r="AA93" s="448">
        <v>1678.65</v>
      </c>
      <c r="AB93" s="448">
        <v>1607.97</v>
      </c>
      <c r="AC93" s="448">
        <v>1554.9599999999998</v>
      </c>
      <c r="AE93" s="342"/>
      <c r="AF93" s="342"/>
      <c r="AG93" s="342"/>
      <c r="AH93" s="342"/>
      <c r="AI93" s="342"/>
      <c r="AJ93" s="342"/>
      <c r="AK93" s="342"/>
      <c r="AL93" s="342"/>
      <c r="AM93" s="342"/>
      <c r="AN93" s="342"/>
    </row>
    <row r="94" spans="10:40" x14ac:dyDescent="0.2">
      <c r="J94" s="386"/>
      <c r="K94" s="357">
        <v>7</v>
      </c>
      <c r="L94" s="359" t="s">
        <v>498</v>
      </c>
      <c r="M94" s="450">
        <f t="shared" ref="M94:S94" si="42">M62 - M78</f>
        <v>0</v>
      </c>
      <c r="N94" s="450">
        <f t="shared" si="42"/>
        <v>0</v>
      </c>
      <c r="O94" s="450">
        <f t="shared" si="42"/>
        <v>0</v>
      </c>
      <c r="P94" s="450">
        <f t="shared" si="42"/>
        <v>0</v>
      </c>
      <c r="Q94" s="450">
        <f t="shared" si="42"/>
        <v>0</v>
      </c>
      <c r="R94" s="450">
        <f t="shared" si="42"/>
        <v>0</v>
      </c>
      <c r="S94" s="450">
        <f t="shared" si="42"/>
        <v>0</v>
      </c>
      <c r="T94" s="386"/>
      <c r="U94" s="341">
        <v>36</v>
      </c>
      <c r="V94" s="340" t="s">
        <v>500</v>
      </c>
      <c r="W94" s="448">
        <v>2117</v>
      </c>
      <c r="X94" s="448">
        <v>2117</v>
      </c>
      <c r="Y94" s="448">
        <v>2000.3333333333333</v>
      </c>
      <c r="Z94" s="448">
        <v>1906.66</v>
      </c>
      <c r="AA94" s="448">
        <v>1818.65</v>
      </c>
      <c r="AB94" s="448">
        <v>1724.6366666666665</v>
      </c>
      <c r="AC94" s="448">
        <v>1654.9599999999998</v>
      </c>
      <c r="AE94" s="342"/>
      <c r="AF94" s="342"/>
      <c r="AG94" s="342"/>
      <c r="AH94" s="342"/>
      <c r="AI94" s="342"/>
      <c r="AJ94" s="342"/>
      <c r="AK94" s="342"/>
      <c r="AL94" s="342"/>
      <c r="AM94" s="342"/>
      <c r="AN94" s="342"/>
    </row>
    <row r="95" spans="10:40" x14ac:dyDescent="0.2">
      <c r="J95" s="386"/>
      <c r="K95" s="382"/>
      <c r="L95" s="359"/>
      <c r="M95" s="359"/>
      <c r="N95" s="359"/>
      <c r="O95" s="359"/>
      <c r="P95" s="359"/>
      <c r="Q95" s="359"/>
      <c r="R95" s="359"/>
      <c r="S95" s="359"/>
      <c r="T95" s="386"/>
      <c r="U95" s="436"/>
      <c r="V95" s="436"/>
      <c r="W95" s="436"/>
      <c r="X95" s="436"/>
      <c r="Y95" s="436"/>
      <c r="Z95" s="436"/>
      <c r="AA95" s="436"/>
      <c r="AB95" s="436"/>
      <c r="AC95" s="436"/>
      <c r="AE95" s="342"/>
      <c r="AF95" s="342"/>
      <c r="AG95" s="342"/>
      <c r="AH95" s="342"/>
      <c r="AI95" s="342"/>
      <c r="AJ95" s="342"/>
      <c r="AK95" s="342"/>
      <c r="AL95" s="342"/>
      <c r="AM95" s="342"/>
      <c r="AN95" s="342"/>
    </row>
    <row r="96" spans="10:40" x14ac:dyDescent="0.2">
      <c r="J96" s="386"/>
      <c r="K96" s="357">
        <v>12</v>
      </c>
      <c r="L96" s="359" t="s">
        <v>478</v>
      </c>
      <c r="M96" s="450">
        <f t="shared" ref="M96:S96" si="43">M64 - M80</f>
        <v>0</v>
      </c>
      <c r="N96" s="450">
        <f t="shared" si="43"/>
        <v>0</v>
      </c>
      <c r="O96" s="450">
        <f t="shared" si="43"/>
        <v>0</v>
      </c>
      <c r="P96" s="450">
        <f t="shared" si="43"/>
        <v>0</v>
      </c>
      <c r="Q96" s="450">
        <f t="shared" si="43"/>
        <v>0</v>
      </c>
      <c r="R96" s="450">
        <f t="shared" si="43"/>
        <v>0</v>
      </c>
      <c r="S96" s="450">
        <f t="shared" si="43"/>
        <v>0</v>
      </c>
      <c r="T96" s="386"/>
      <c r="U96" s="443"/>
      <c r="V96" s="437" t="s">
        <v>539</v>
      </c>
      <c r="W96" s="446">
        <f>W84/W90 - 1</f>
        <v>0.24012696537978884</v>
      </c>
      <c r="X96" s="446">
        <f>X84/X90 - 1</f>
        <v>0.24012696537978884</v>
      </c>
      <c r="Y96" s="446">
        <f t="shared" ref="Y96:AC96" si="44">Y84/Y90 - 1</f>
        <v>0.24012696537978884</v>
      </c>
      <c r="Z96" s="446">
        <f t="shared" si="44"/>
        <v>0.24012696537978884</v>
      </c>
      <c r="AA96" s="446">
        <f t="shared" si="44"/>
        <v>0.24012696537978884</v>
      </c>
      <c r="AB96" s="446">
        <f t="shared" si="44"/>
        <v>0.24012696537978906</v>
      </c>
      <c r="AC96" s="446">
        <f t="shared" si="44"/>
        <v>0.24012696537978884</v>
      </c>
      <c r="AE96" s="342"/>
      <c r="AF96" s="342"/>
      <c r="AG96" s="342"/>
      <c r="AH96" s="342"/>
      <c r="AI96" s="342"/>
      <c r="AJ96" s="342"/>
      <c r="AK96" s="342"/>
      <c r="AL96" s="342"/>
      <c r="AM96" s="342"/>
      <c r="AN96" s="342"/>
    </row>
    <row r="97" spans="10:40" x14ac:dyDescent="0.2">
      <c r="J97" s="386"/>
      <c r="K97" s="357">
        <v>13</v>
      </c>
      <c r="L97" s="359" t="s">
        <v>479</v>
      </c>
      <c r="M97" s="450">
        <f t="shared" ref="M97:S97" si="45">M65 - M81</f>
        <v>0</v>
      </c>
      <c r="N97" s="450">
        <f t="shared" si="45"/>
        <v>0</v>
      </c>
      <c r="O97" s="450">
        <f t="shared" si="45"/>
        <v>0</v>
      </c>
      <c r="P97" s="450">
        <f t="shared" si="45"/>
        <v>0</v>
      </c>
      <c r="Q97" s="450">
        <f t="shared" si="45"/>
        <v>0</v>
      </c>
      <c r="R97" s="450">
        <f t="shared" si="45"/>
        <v>0</v>
      </c>
      <c r="S97" s="450">
        <f t="shared" si="45"/>
        <v>0</v>
      </c>
      <c r="T97" s="386"/>
      <c r="U97" s="443"/>
      <c r="V97" s="437" t="s">
        <v>540</v>
      </c>
      <c r="W97" s="446">
        <f t="shared" ref="W97:AC97" si="46">W85/W91 - 1</f>
        <v>0.21374128526532532</v>
      </c>
      <c r="X97" s="446">
        <f t="shared" si="46"/>
        <v>0.21374128526532532</v>
      </c>
      <c r="Y97" s="446">
        <f t="shared" si="46"/>
        <v>0.21374128526532532</v>
      </c>
      <c r="Z97" s="446">
        <f t="shared" si="46"/>
        <v>0.21374128526532532</v>
      </c>
      <c r="AA97" s="446">
        <f t="shared" si="46"/>
        <v>0.21374128526532532</v>
      </c>
      <c r="AB97" s="446">
        <f t="shared" si="46"/>
        <v>0.21374128526532532</v>
      </c>
      <c r="AC97" s="446">
        <f t="shared" si="46"/>
        <v>0.21374128526532532</v>
      </c>
      <c r="AE97" s="342"/>
      <c r="AF97" s="342"/>
      <c r="AG97" s="342"/>
      <c r="AH97" s="342"/>
      <c r="AI97" s="342"/>
      <c r="AJ97" s="342"/>
      <c r="AK97" s="342"/>
      <c r="AL97" s="342"/>
      <c r="AM97" s="342"/>
      <c r="AN97" s="342"/>
    </row>
    <row r="98" spans="10:40" x14ac:dyDescent="0.2">
      <c r="J98" s="386"/>
      <c r="K98" s="357">
        <v>14</v>
      </c>
      <c r="L98" s="359" t="s">
        <v>480</v>
      </c>
      <c r="M98" s="450">
        <f t="shared" ref="M98:S98" si="47">M66 - M82</f>
        <v>0</v>
      </c>
      <c r="N98" s="450">
        <f t="shared" si="47"/>
        <v>0</v>
      </c>
      <c r="O98" s="450">
        <f t="shared" si="47"/>
        <v>0</v>
      </c>
      <c r="P98" s="450">
        <f t="shared" si="47"/>
        <v>0</v>
      </c>
      <c r="Q98" s="450">
        <f t="shared" si="47"/>
        <v>0</v>
      </c>
      <c r="R98" s="450">
        <f t="shared" si="47"/>
        <v>0</v>
      </c>
      <c r="S98" s="450">
        <f t="shared" si="47"/>
        <v>0</v>
      </c>
      <c r="T98" s="386"/>
      <c r="U98" s="443"/>
      <c r="V98" s="437" t="s">
        <v>541</v>
      </c>
      <c r="W98" s="446">
        <f t="shared" ref="W98:AC98" si="48">W86/W92 - 1</f>
        <v>0.17777844545263344</v>
      </c>
      <c r="X98" s="446">
        <f t="shared" si="48"/>
        <v>0.17777844545263344</v>
      </c>
      <c r="Y98" s="446">
        <f t="shared" si="48"/>
        <v>0.18834152086494305</v>
      </c>
      <c r="Z98" s="446">
        <f t="shared" si="48"/>
        <v>0.19374500072504097</v>
      </c>
      <c r="AA98" s="446">
        <f t="shared" si="48"/>
        <v>0.19696483915784979</v>
      </c>
      <c r="AB98" s="446">
        <f t="shared" si="48"/>
        <v>0.19899589268020956</v>
      </c>
      <c r="AC98" s="446">
        <f t="shared" si="48"/>
        <v>0.20056823609531826</v>
      </c>
      <c r="AE98" s="342"/>
      <c r="AF98" s="342"/>
      <c r="AG98" s="342"/>
      <c r="AH98" s="342"/>
      <c r="AI98" s="342"/>
      <c r="AJ98" s="342"/>
      <c r="AK98" s="342"/>
      <c r="AL98" s="342"/>
      <c r="AM98" s="342"/>
      <c r="AN98" s="342"/>
    </row>
    <row r="99" spans="10:40" x14ac:dyDescent="0.2">
      <c r="J99" s="386"/>
      <c r="K99" s="357">
        <v>15</v>
      </c>
      <c r="L99" s="359" t="s">
        <v>481</v>
      </c>
      <c r="M99" s="450">
        <f t="shared" ref="M99:S99" si="49">M67 - M83</f>
        <v>0</v>
      </c>
      <c r="N99" s="450">
        <f t="shared" si="49"/>
        <v>0</v>
      </c>
      <c r="O99" s="450">
        <f t="shared" si="49"/>
        <v>0</v>
      </c>
      <c r="P99" s="450">
        <f t="shared" si="49"/>
        <v>0</v>
      </c>
      <c r="Q99" s="450">
        <f t="shared" si="49"/>
        <v>0</v>
      </c>
      <c r="R99" s="450">
        <f t="shared" si="49"/>
        <v>0</v>
      </c>
      <c r="S99" s="450">
        <f t="shared" si="49"/>
        <v>0</v>
      </c>
      <c r="T99" s="386"/>
      <c r="U99" s="443"/>
      <c r="V99" s="437" t="s">
        <v>542</v>
      </c>
      <c r="W99" s="446">
        <f t="shared" ref="W99:AC100" si="50">W87/W93 - 1</f>
        <v>0.18845500848896424</v>
      </c>
      <c r="X99" s="446">
        <f t="shared" si="50"/>
        <v>0.18845500848896424</v>
      </c>
      <c r="Y99" s="446">
        <f t="shared" si="50"/>
        <v>0.18845500848896424</v>
      </c>
      <c r="Z99" s="446">
        <f t="shared" si="50"/>
        <v>0.18845500848896424</v>
      </c>
      <c r="AA99" s="446">
        <f t="shared" si="50"/>
        <v>0.18845500848896424</v>
      </c>
      <c r="AB99" s="446">
        <f t="shared" si="50"/>
        <v>0.18845500848896424</v>
      </c>
      <c r="AC99" s="446">
        <f t="shared" si="50"/>
        <v>0.18845500848896446</v>
      </c>
      <c r="AE99" s="342"/>
      <c r="AF99" s="342"/>
      <c r="AG99" s="342"/>
      <c r="AH99" s="342"/>
      <c r="AI99" s="342"/>
      <c r="AJ99" s="342"/>
      <c r="AK99" s="342"/>
      <c r="AL99" s="342"/>
      <c r="AM99" s="342"/>
      <c r="AN99" s="342"/>
    </row>
    <row r="100" spans="10:40" x14ac:dyDescent="0.2">
      <c r="J100" s="386"/>
      <c r="K100" s="443"/>
      <c r="L100" s="443"/>
      <c r="M100" s="443"/>
      <c r="N100" s="443"/>
      <c r="O100" s="443"/>
      <c r="P100" s="443"/>
      <c r="Q100" s="443"/>
      <c r="R100" s="443"/>
      <c r="S100" s="443"/>
      <c r="T100" s="386"/>
      <c r="U100" s="443"/>
      <c r="V100" s="437" t="s">
        <v>543</v>
      </c>
      <c r="W100" s="446">
        <f t="shared" si="50"/>
        <v>0.1572980632971186</v>
      </c>
      <c r="X100" s="446">
        <f t="shared" si="50"/>
        <v>0.1572980632971186</v>
      </c>
      <c r="Y100" s="446">
        <f t="shared" si="50"/>
        <v>0.16647225462422943</v>
      </c>
      <c r="Z100" s="446">
        <f t="shared" si="50"/>
        <v>0.17115794111168214</v>
      </c>
      <c r="AA100" s="446">
        <f t="shared" si="50"/>
        <v>0.17394770846507024</v>
      </c>
      <c r="AB100" s="446">
        <f t="shared" si="50"/>
        <v>0.17570657394504363</v>
      </c>
      <c r="AC100" s="446">
        <f t="shared" si="50"/>
        <v>0.17706772369120727</v>
      </c>
      <c r="AE100" s="342"/>
      <c r="AF100" s="342"/>
      <c r="AG100" s="342"/>
      <c r="AH100" s="342"/>
      <c r="AI100" s="342"/>
      <c r="AJ100" s="342"/>
      <c r="AK100" s="342"/>
      <c r="AL100" s="342"/>
      <c r="AM100" s="342"/>
      <c r="AN100" s="342"/>
    </row>
    <row r="101" spans="10:40" x14ac:dyDescent="0.2">
      <c r="J101" s="422"/>
      <c r="K101" s="357">
        <v>1</v>
      </c>
      <c r="L101" s="371" t="s">
        <v>499</v>
      </c>
      <c r="M101" s="452">
        <f>M88 / M72</f>
        <v>0</v>
      </c>
      <c r="N101" s="452">
        <f t="shared" ref="N101:S101" si="51">N88 / N72</f>
        <v>0</v>
      </c>
      <c r="O101" s="452">
        <f t="shared" si="51"/>
        <v>0</v>
      </c>
      <c r="P101" s="452">
        <f t="shared" si="51"/>
        <v>0</v>
      </c>
      <c r="Q101" s="452">
        <f t="shared" si="51"/>
        <v>0</v>
      </c>
      <c r="R101" s="452">
        <f t="shared" si="51"/>
        <v>0</v>
      </c>
      <c r="S101" s="452">
        <f t="shared" si="51"/>
        <v>0</v>
      </c>
      <c r="T101" s="422"/>
      <c r="U101" s="334"/>
      <c r="V101" s="334"/>
      <c r="W101" s="353"/>
      <c r="X101" s="353"/>
      <c r="Y101" s="353"/>
      <c r="Z101" s="353"/>
      <c r="AA101" s="353"/>
      <c r="AB101" s="353"/>
      <c r="AC101" s="353"/>
      <c r="AE101" s="342"/>
      <c r="AF101" s="342"/>
      <c r="AG101" s="342"/>
      <c r="AH101" s="342"/>
      <c r="AI101" s="342"/>
      <c r="AJ101" s="342"/>
      <c r="AK101" s="342"/>
      <c r="AL101" s="342"/>
      <c r="AM101" s="342"/>
      <c r="AN101" s="342"/>
    </row>
    <row r="102" spans="10:40" x14ac:dyDescent="0.2">
      <c r="J102" s="422"/>
      <c r="K102" s="357">
        <v>2</v>
      </c>
      <c r="L102" s="359" t="s">
        <v>454</v>
      </c>
      <c r="M102" s="452">
        <f t="shared" ref="M102:S102" si="52">M89 / M73</f>
        <v>0</v>
      </c>
      <c r="N102" s="452">
        <f t="shared" si="52"/>
        <v>0</v>
      </c>
      <c r="O102" s="452">
        <f t="shared" si="52"/>
        <v>0</v>
      </c>
      <c r="P102" s="452">
        <f t="shared" si="52"/>
        <v>0</v>
      </c>
      <c r="Q102" s="452">
        <f t="shared" si="52"/>
        <v>0</v>
      </c>
      <c r="R102" s="452">
        <f t="shared" si="52"/>
        <v>0</v>
      </c>
      <c r="S102" s="452">
        <f t="shared" si="52"/>
        <v>0</v>
      </c>
      <c r="T102" s="422"/>
      <c r="U102" s="344" t="s">
        <v>570</v>
      </c>
      <c r="V102" s="343"/>
      <c r="W102" s="343"/>
      <c r="X102" s="343"/>
      <c r="Y102" s="343"/>
      <c r="Z102" s="343"/>
      <c r="AA102" s="343"/>
      <c r="AB102" s="343"/>
      <c r="AC102" s="343"/>
      <c r="AE102" s="342"/>
      <c r="AF102" s="342"/>
      <c r="AG102" s="342"/>
      <c r="AH102" s="342"/>
      <c r="AI102" s="342"/>
      <c r="AJ102" s="342"/>
      <c r="AK102" s="342"/>
      <c r="AL102" s="342"/>
      <c r="AM102" s="342"/>
      <c r="AN102" s="342"/>
    </row>
    <row r="103" spans="10:40" x14ac:dyDescent="0.2">
      <c r="J103" s="386"/>
      <c r="K103" s="357">
        <v>3</v>
      </c>
      <c r="L103" s="359" t="s">
        <v>408</v>
      </c>
      <c r="M103" s="452">
        <f t="shared" ref="M103:S103" si="53">M90 / M74</f>
        <v>0</v>
      </c>
      <c r="N103" s="452">
        <f t="shared" si="53"/>
        <v>0</v>
      </c>
      <c r="O103" s="452">
        <f t="shared" si="53"/>
        <v>0</v>
      </c>
      <c r="P103" s="452">
        <f t="shared" si="53"/>
        <v>0</v>
      </c>
      <c r="Q103" s="452">
        <f t="shared" si="53"/>
        <v>0</v>
      </c>
      <c r="R103" s="452">
        <f t="shared" si="53"/>
        <v>0</v>
      </c>
      <c r="S103" s="452">
        <f t="shared" si="53"/>
        <v>0</v>
      </c>
      <c r="T103" s="386"/>
      <c r="U103" s="436"/>
      <c r="V103" s="437"/>
      <c r="W103" s="437"/>
      <c r="X103" s="438"/>
      <c r="Y103" s="437"/>
      <c r="Z103" s="439" t="s">
        <v>467</v>
      </c>
      <c r="AA103" s="440"/>
      <c r="AB103" s="437"/>
      <c r="AC103" s="437"/>
      <c r="AE103" s="342"/>
      <c r="AF103" s="342"/>
      <c r="AG103" s="342"/>
      <c r="AH103" s="342"/>
      <c r="AI103" s="342"/>
      <c r="AJ103" s="342"/>
      <c r="AK103" s="342"/>
      <c r="AL103" s="342"/>
      <c r="AM103" s="342"/>
      <c r="AN103" s="342"/>
    </row>
    <row r="104" spans="10:40" ht="13.9" customHeight="1" x14ac:dyDescent="0.2">
      <c r="J104" s="386"/>
      <c r="K104" s="357">
        <v>4</v>
      </c>
      <c r="L104" s="359" t="s">
        <v>420</v>
      </c>
      <c r="M104" s="460">
        <f t="shared" ref="M104:S104" si="54">M91 / M75</f>
        <v>-2.0000000000000049E-2</v>
      </c>
      <c r="N104" s="460">
        <f t="shared" si="54"/>
        <v>-1.0000000000000151E-2</v>
      </c>
      <c r="O104" s="460">
        <f t="shared" si="54"/>
        <v>-9.9999999999999308E-3</v>
      </c>
      <c r="P104" s="460">
        <f t="shared" si="54"/>
        <v>0</v>
      </c>
      <c r="Q104" s="460">
        <f t="shared" si="54"/>
        <v>1.0101010101010029E-2</v>
      </c>
      <c r="R104" s="460">
        <f t="shared" si="54"/>
        <v>2.0304050607080733E-2</v>
      </c>
      <c r="S104" s="460">
        <f t="shared" si="54"/>
        <v>3.0610152128364244E-2</v>
      </c>
      <c r="T104" s="386"/>
      <c r="U104" s="436"/>
      <c r="V104" s="437"/>
      <c r="W104" s="441" t="s">
        <v>464</v>
      </c>
      <c r="X104" s="442" t="s">
        <v>465</v>
      </c>
      <c r="Y104" s="441" t="s">
        <v>466</v>
      </c>
      <c r="Z104" s="442" t="s">
        <v>470</v>
      </c>
      <c r="AA104" s="441" t="s">
        <v>471</v>
      </c>
      <c r="AB104" s="442" t="s">
        <v>472</v>
      </c>
      <c r="AC104" s="441" t="s">
        <v>473</v>
      </c>
      <c r="AE104" s="342"/>
      <c r="AF104" s="342"/>
      <c r="AG104" s="342"/>
      <c r="AH104" s="342"/>
      <c r="AI104" s="342"/>
      <c r="AJ104" s="342"/>
      <c r="AK104" s="342"/>
      <c r="AL104" s="342"/>
      <c r="AM104" s="342"/>
      <c r="AN104" s="342"/>
    </row>
    <row r="105" spans="10:40" ht="13.9" customHeight="1" x14ac:dyDescent="0.2">
      <c r="J105" s="449"/>
      <c r="K105" s="357">
        <v>5</v>
      </c>
      <c r="L105" s="359" t="s">
        <v>421</v>
      </c>
      <c r="M105" s="460">
        <f t="shared" ref="M105:S105" si="55">M92 / M76</f>
        <v>-0.02</v>
      </c>
      <c r="N105" s="460">
        <f t="shared" si="55"/>
        <v>-9.99999999999991E-3</v>
      </c>
      <c r="O105" s="460">
        <f t="shared" si="55"/>
        <v>-9.9999999999998302E-3</v>
      </c>
      <c r="P105" s="460">
        <f t="shared" si="55"/>
        <v>0</v>
      </c>
      <c r="Q105" s="460">
        <f t="shared" si="55"/>
        <v>1.0101010101010194E-2</v>
      </c>
      <c r="R105" s="460">
        <f t="shared" si="55"/>
        <v>2.0304050607081171E-2</v>
      </c>
      <c r="S105" s="460">
        <f t="shared" si="55"/>
        <v>3.061015212836489E-2</v>
      </c>
      <c r="T105" s="449"/>
      <c r="U105" s="443">
        <v>22</v>
      </c>
      <c r="V105" s="437" t="s">
        <v>539</v>
      </c>
      <c r="W105" s="450">
        <f>W63 - W84</f>
        <v>-178.01937500000008</v>
      </c>
      <c r="X105" s="450">
        <f t="shared" ref="X105:AC105" si="56">X63 - X84</f>
        <v>-178.01937500000008</v>
      </c>
      <c r="Y105" s="450">
        <f t="shared" si="56"/>
        <v>-178.01937500000008</v>
      </c>
      <c r="Z105" s="450">
        <f t="shared" si="56"/>
        <v>-174.45898750000015</v>
      </c>
      <c r="AA105" s="450">
        <f t="shared" si="56"/>
        <v>-169.11840625000013</v>
      </c>
      <c r="AB105" s="450">
        <f t="shared" si="56"/>
        <v>-161.99763125000004</v>
      </c>
      <c r="AC105" s="450">
        <f t="shared" si="56"/>
        <v>-156.65705000000003</v>
      </c>
      <c r="AE105" s="342"/>
      <c r="AF105" s="342"/>
      <c r="AG105" s="342"/>
      <c r="AH105" s="342"/>
      <c r="AI105" s="342"/>
      <c r="AJ105" s="342"/>
      <c r="AK105" s="342"/>
      <c r="AL105" s="342"/>
      <c r="AM105" s="342"/>
      <c r="AN105" s="342"/>
    </row>
    <row r="106" spans="10:40" ht="13.9" customHeight="1" x14ac:dyDescent="0.2">
      <c r="J106" s="451"/>
      <c r="K106" s="357">
        <v>6</v>
      </c>
      <c r="L106" s="359" t="s">
        <v>159</v>
      </c>
      <c r="M106" s="460">
        <f t="shared" ref="M106:S106" si="57">M93 / M77</f>
        <v>-1.9999999999999945E-2</v>
      </c>
      <c r="N106" s="460">
        <f t="shared" si="57"/>
        <v>-1.0000000000000023E-2</v>
      </c>
      <c r="O106" s="460">
        <f t="shared" si="57"/>
        <v>-9.999999999999858E-3</v>
      </c>
      <c r="P106" s="460">
        <f t="shared" si="57"/>
        <v>0</v>
      </c>
      <c r="Q106" s="460">
        <f t="shared" si="57"/>
        <v>1.0101010101010065E-2</v>
      </c>
      <c r="R106" s="460">
        <f t="shared" si="57"/>
        <v>2.0304050607080772E-2</v>
      </c>
      <c r="S106" s="460">
        <f t="shared" si="57"/>
        <v>3.0610152128364206E-2</v>
      </c>
      <c r="T106" s="451"/>
      <c r="U106" s="443">
        <v>23</v>
      </c>
      <c r="V106" s="437" t="s">
        <v>540</v>
      </c>
      <c r="W106" s="450">
        <f t="shared" ref="W106:AC109" si="58">W64 - W85</f>
        <v>-136.23718749999989</v>
      </c>
      <c r="X106" s="450">
        <f t="shared" si="58"/>
        <v>-136.23718749999989</v>
      </c>
      <c r="Y106" s="450">
        <f t="shared" si="58"/>
        <v>-136.23718749999989</v>
      </c>
      <c r="Z106" s="450">
        <f t="shared" si="58"/>
        <v>-133.51244374999987</v>
      </c>
      <c r="AA106" s="450">
        <f t="shared" si="58"/>
        <v>-129.42532812499985</v>
      </c>
      <c r="AB106" s="450">
        <f t="shared" si="58"/>
        <v>-123.97584062499959</v>
      </c>
      <c r="AC106" s="450">
        <f t="shared" si="58"/>
        <v>-119.88872499999957</v>
      </c>
      <c r="AE106" s="342"/>
      <c r="AF106" s="342"/>
      <c r="AG106" s="342"/>
      <c r="AH106" s="342"/>
      <c r="AI106" s="342"/>
      <c r="AJ106" s="342"/>
      <c r="AK106" s="342"/>
      <c r="AL106" s="342"/>
      <c r="AM106" s="342"/>
      <c r="AN106" s="342"/>
    </row>
    <row r="107" spans="10:40" x14ac:dyDescent="0.2">
      <c r="J107" s="451"/>
      <c r="K107" s="357">
        <v>7</v>
      </c>
      <c r="L107" s="359" t="s">
        <v>498</v>
      </c>
      <c r="M107" s="452">
        <f t="shared" ref="M107:S107" si="59">M94 / M78</f>
        <v>0</v>
      </c>
      <c r="N107" s="452">
        <f t="shared" si="59"/>
        <v>0</v>
      </c>
      <c r="O107" s="452">
        <f t="shared" si="59"/>
        <v>0</v>
      </c>
      <c r="P107" s="452">
        <f t="shared" si="59"/>
        <v>0</v>
      </c>
      <c r="Q107" s="452">
        <f t="shared" si="59"/>
        <v>0</v>
      </c>
      <c r="R107" s="452">
        <f t="shared" si="59"/>
        <v>0</v>
      </c>
      <c r="S107" s="452">
        <f t="shared" si="59"/>
        <v>0</v>
      </c>
      <c r="T107" s="451"/>
      <c r="U107" s="443">
        <v>24</v>
      </c>
      <c r="V107" s="437" t="s">
        <v>541</v>
      </c>
      <c r="W107" s="450">
        <f t="shared" si="58"/>
        <v>213.76281250000011</v>
      </c>
      <c r="X107" s="450">
        <f t="shared" si="58"/>
        <v>-136.23718749999989</v>
      </c>
      <c r="Y107" s="450">
        <f t="shared" si="58"/>
        <v>-136.23718749999989</v>
      </c>
      <c r="Z107" s="450">
        <f t="shared" si="58"/>
        <v>-133.51244374999987</v>
      </c>
      <c r="AA107" s="450">
        <f t="shared" si="58"/>
        <v>-129.42532812499985</v>
      </c>
      <c r="AB107" s="450">
        <f t="shared" si="58"/>
        <v>-123.97584062499982</v>
      </c>
      <c r="AC107" s="450">
        <f t="shared" si="58"/>
        <v>-119.88872499999957</v>
      </c>
      <c r="AE107" s="342"/>
      <c r="AF107" s="342"/>
      <c r="AG107" s="342"/>
      <c r="AH107" s="342"/>
      <c r="AI107" s="342"/>
      <c r="AJ107" s="342"/>
      <c r="AK107" s="342"/>
      <c r="AL107" s="342"/>
      <c r="AM107" s="342"/>
      <c r="AN107" s="342"/>
    </row>
    <row r="108" spans="10:40" x14ac:dyDescent="0.2">
      <c r="J108" s="451"/>
      <c r="K108" s="382"/>
      <c r="L108" s="359"/>
      <c r="M108" s="359"/>
      <c r="N108" s="359"/>
      <c r="O108" s="359"/>
      <c r="P108" s="359"/>
      <c r="Q108" s="359"/>
      <c r="R108" s="359"/>
      <c r="S108" s="359"/>
      <c r="T108" s="451"/>
      <c r="U108" s="443">
        <v>25</v>
      </c>
      <c r="V108" s="437" t="s">
        <v>542</v>
      </c>
      <c r="W108" s="450">
        <f t="shared" si="58"/>
        <v>-94.454999999999927</v>
      </c>
      <c r="X108" s="450">
        <f t="shared" si="58"/>
        <v>-94.454999999999927</v>
      </c>
      <c r="Y108" s="450">
        <f t="shared" si="58"/>
        <v>-94.454999999999927</v>
      </c>
      <c r="Z108" s="450">
        <f t="shared" si="58"/>
        <v>-92.565900000000056</v>
      </c>
      <c r="AA108" s="450">
        <f t="shared" si="58"/>
        <v>-89.732250000000249</v>
      </c>
      <c r="AB108" s="450">
        <f t="shared" si="58"/>
        <v>-85.954049999999597</v>
      </c>
      <c r="AC108" s="450">
        <f t="shared" si="58"/>
        <v>-83.120400000000018</v>
      </c>
      <c r="AE108" s="342"/>
      <c r="AF108" s="342"/>
      <c r="AG108" s="342"/>
      <c r="AH108" s="342"/>
      <c r="AI108" s="342"/>
      <c r="AJ108" s="342"/>
      <c r="AK108" s="342"/>
      <c r="AL108" s="342"/>
      <c r="AM108" s="342"/>
      <c r="AN108" s="342"/>
    </row>
    <row r="109" spans="10:40" x14ac:dyDescent="0.2">
      <c r="J109" s="451"/>
      <c r="K109" s="357">
        <v>12</v>
      </c>
      <c r="L109" s="359" t="s">
        <v>478</v>
      </c>
      <c r="M109" s="452">
        <f>M96 / M80</f>
        <v>0</v>
      </c>
      <c r="N109" s="452">
        <f t="shared" ref="N109:S109" si="60">N96 / N80</f>
        <v>0</v>
      </c>
      <c r="O109" s="452">
        <f t="shared" si="60"/>
        <v>0</v>
      </c>
      <c r="P109" s="452">
        <f t="shared" si="60"/>
        <v>0</v>
      </c>
      <c r="Q109" s="452">
        <f t="shared" si="60"/>
        <v>0</v>
      </c>
      <c r="R109" s="452">
        <f t="shared" si="60"/>
        <v>0</v>
      </c>
      <c r="S109" s="452">
        <f t="shared" si="60"/>
        <v>0</v>
      </c>
      <c r="T109" s="451"/>
      <c r="U109" s="443">
        <v>26</v>
      </c>
      <c r="V109" s="437" t="s">
        <v>543</v>
      </c>
      <c r="W109" s="450">
        <f t="shared" si="58"/>
        <v>255.54500000000007</v>
      </c>
      <c r="X109" s="450">
        <f t="shared" si="58"/>
        <v>-94.454999999999927</v>
      </c>
      <c r="Y109" s="450">
        <f t="shared" si="58"/>
        <v>-94.454999999999927</v>
      </c>
      <c r="Z109" s="450">
        <f t="shared" si="58"/>
        <v>-92.565900000000056</v>
      </c>
      <c r="AA109" s="450">
        <f t="shared" si="58"/>
        <v>-89.732250000000249</v>
      </c>
      <c r="AB109" s="450">
        <f t="shared" si="58"/>
        <v>-85.954049999999825</v>
      </c>
      <c r="AC109" s="450">
        <f t="shared" si="58"/>
        <v>-83.120400000000018</v>
      </c>
      <c r="AE109" s="342"/>
      <c r="AF109" s="342"/>
      <c r="AG109" s="342"/>
      <c r="AH109" s="342"/>
      <c r="AI109" s="342"/>
      <c r="AJ109" s="342"/>
      <c r="AK109" s="342"/>
      <c r="AL109" s="342"/>
      <c r="AM109" s="342"/>
      <c r="AN109" s="342"/>
    </row>
    <row r="110" spans="10:40" x14ac:dyDescent="0.2">
      <c r="J110" s="451"/>
      <c r="K110" s="357">
        <v>13</v>
      </c>
      <c r="L110" s="359" t="s">
        <v>479</v>
      </c>
      <c r="M110" s="452">
        <f t="shared" ref="M110:S110" si="61">M97 / M81</f>
        <v>0</v>
      </c>
      <c r="N110" s="452">
        <f t="shared" si="61"/>
        <v>0</v>
      </c>
      <c r="O110" s="452">
        <f t="shared" si="61"/>
        <v>0</v>
      </c>
      <c r="P110" s="452">
        <f t="shared" si="61"/>
        <v>0</v>
      </c>
      <c r="Q110" s="452">
        <f t="shared" si="61"/>
        <v>0</v>
      </c>
      <c r="R110" s="452">
        <f t="shared" si="61"/>
        <v>0</v>
      </c>
      <c r="S110" s="452">
        <f t="shared" si="61"/>
        <v>0</v>
      </c>
      <c r="T110" s="451"/>
      <c r="U110" s="341"/>
      <c r="V110" s="340"/>
      <c r="W110" s="445"/>
      <c r="X110" s="445"/>
      <c r="Y110" s="445"/>
      <c r="Z110" s="445"/>
      <c r="AA110" s="445"/>
      <c r="AB110" s="445"/>
      <c r="AC110" s="445"/>
      <c r="AE110" s="342"/>
      <c r="AF110" s="342"/>
      <c r="AG110" s="342"/>
      <c r="AH110" s="342"/>
      <c r="AI110" s="342"/>
      <c r="AJ110" s="342"/>
      <c r="AK110" s="342"/>
      <c r="AL110" s="342"/>
      <c r="AM110" s="342"/>
      <c r="AN110" s="342"/>
    </row>
    <row r="111" spans="10:40" x14ac:dyDescent="0.2">
      <c r="J111" s="451"/>
      <c r="K111" s="357">
        <v>14</v>
      </c>
      <c r="L111" s="359" t="s">
        <v>480</v>
      </c>
      <c r="M111" s="452">
        <f t="shared" ref="M111:S111" si="62">M98 / M82</f>
        <v>0</v>
      </c>
      <c r="N111" s="452">
        <f t="shared" si="62"/>
        <v>0</v>
      </c>
      <c r="O111" s="452">
        <f t="shared" si="62"/>
        <v>0</v>
      </c>
      <c r="P111" s="452">
        <f t="shared" si="62"/>
        <v>0</v>
      </c>
      <c r="Q111" s="452">
        <f t="shared" si="62"/>
        <v>0</v>
      </c>
      <c r="R111" s="452">
        <f t="shared" si="62"/>
        <v>0</v>
      </c>
      <c r="S111" s="452">
        <f t="shared" si="62"/>
        <v>0</v>
      </c>
      <c r="T111" s="451"/>
      <c r="U111" s="341">
        <v>32</v>
      </c>
      <c r="V111" s="340" t="s">
        <v>494</v>
      </c>
      <c r="W111" s="450">
        <f t="shared" ref="W111:AC115" si="63">W69 - W90</f>
        <v>0</v>
      </c>
      <c r="X111" s="450">
        <f t="shared" si="63"/>
        <v>0</v>
      </c>
      <c r="Y111" s="450">
        <f t="shared" si="63"/>
        <v>0</v>
      </c>
      <c r="Z111" s="450">
        <f t="shared" si="63"/>
        <v>0</v>
      </c>
      <c r="AA111" s="450">
        <f t="shared" si="63"/>
        <v>0</v>
      </c>
      <c r="AB111" s="450">
        <f t="shared" si="63"/>
        <v>0</v>
      </c>
      <c r="AC111" s="450">
        <f t="shared" si="63"/>
        <v>0</v>
      </c>
      <c r="AE111" s="342"/>
      <c r="AF111" s="342"/>
      <c r="AG111" s="342"/>
      <c r="AH111" s="342"/>
      <c r="AI111" s="342"/>
      <c r="AJ111" s="342"/>
      <c r="AK111" s="342"/>
      <c r="AL111" s="342"/>
      <c r="AM111" s="342"/>
      <c r="AN111" s="342"/>
    </row>
    <row r="112" spans="10:40" x14ac:dyDescent="0.2">
      <c r="J112" s="451"/>
      <c r="K112" s="357">
        <v>15</v>
      </c>
      <c r="L112" s="359" t="s">
        <v>481</v>
      </c>
      <c r="M112" s="452">
        <f t="shared" ref="M112:S112" si="64">M99 / M83</f>
        <v>0</v>
      </c>
      <c r="N112" s="452">
        <f t="shared" si="64"/>
        <v>0</v>
      </c>
      <c r="O112" s="452">
        <f t="shared" si="64"/>
        <v>0</v>
      </c>
      <c r="P112" s="452">
        <f t="shared" si="64"/>
        <v>0</v>
      </c>
      <c r="Q112" s="452">
        <f t="shared" si="64"/>
        <v>0</v>
      </c>
      <c r="R112" s="452">
        <f t="shared" si="64"/>
        <v>0</v>
      </c>
      <c r="S112" s="452">
        <f t="shared" si="64"/>
        <v>0</v>
      </c>
      <c r="T112" s="451"/>
      <c r="U112" s="341">
        <v>33</v>
      </c>
      <c r="V112" s="340" t="s">
        <v>496</v>
      </c>
      <c r="W112" s="450">
        <f t="shared" si="63"/>
        <v>0</v>
      </c>
      <c r="X112" s="450">
        <f t="shared" si="63"/>
        <v>0</v>
      </c>
      <c r="Y112" s="450">
        <f t="shared" si="63"/>
        <v>0</v>
      </c>
      <c r="Z112" s="450">
        <f t="shared" si="63"/>
        <v>0</v>
      </c>
      <c r="AA112" s="450">
        <f t="shared" si="63"/>
        <v>0</v>
      </c>
      <c r="AB112" s="450">
        <f t="shared" si="63"/>
        <v>0</v>
      </c>
      <c r="AC112" s="450">
        <f t="shared" si="63"/>
        <v>0</v>
      </c>
      <c r="AE112" s="342"/>
      <c r="AF112" s="342"/>
      <c r="AG112" s="342"/>
      <c r="AH112" s="342"/>
      <c r="AI112" s="342"/>
      <c r="AJ112" s="342"/>
      <c r="AK112" s="342"/>
      <c r="AL112" s="342"/>
      <c r="AM112" s="342"/>
      <c r="AN112" s="342"/>
    </row>
    <row r="113" spans="10:40" x14ac:dyDescent="0.2">
      <c r="J113" s="451"/>
      <c r="T113" s="451"/>
      <c r="U113" s="341">
        <v>34</v>
      </c>
      <c r="V113" s="340" t="s">
        <v>495</v>
      </c>
      <c r="W113" s="450">
        <f t="shared" si="63"/>
        <v>350</v>
      </c>
      <c r="X113" s="450">
        <f t="shared" si="63"/>
        <v>0</v>
      </c>
      <c r="Y113" s="450">
        <f t="shared" si="63"/>
        <v>0</v>
      </c>
      <c r="Z113" s="450">
        <f t="shared" si="63"/>
        <v>0</v>
      </c>
      <c r="AA113" s="450">
        <f t="shared" si="63"/>
        <v>0</v>
      </c>
      <c r="AB113" s="450">
        <f t="shared" si="63"/>
        <v>0</v>
      </c>
      <c r="AC113" s="450">
        <f t="shared" si="63"/>
        <v>0</v>
      </c>
      <c r="AE113" s="342"/>
      <c r="AF113" s="342"/>
      <c r="AG113" s="342"/>
      <c r="AH113" s="342"/>
      <c r="AI113" s="342"/>
      <c r="AJ113" s="342"/>
      <c r="AK113" s="342"/>
      <c r="AL113" s="342"/>
      <c r="AM113" s="342"/>
      <c r="AN113" s="342"/>
    </row>
    <row r="114" spans="10:40" x14ac:dyDescent="0.2">
      <c r="J114" s="451"/>
      <c r="T114" s="451"/>
      <c r="U114" s="341">
        <v>35</v>
      </c>
      <c r="V114" s="340" t="s">
        <v>501</v>
      </c>
      <c r="W114" s="450">
        <f t="shared" si="63"/>
        <v>0</v>
      </c>
      <c r="X114" s="450">
        <f t="shared" si="63"/>
        <v>0</v>
      </c>
      <c r="Y114" s="450">
        <f t="shared" si="63"/>
        <v>0</v>
      </c>
      <c r="Z114" s="450">
        <f t="shared" si="63"/>
        <v>0</v>
      </c>
      <c r="AA114" s="450">
        <f t="shared" si="63"/>
        <v>0</v>
      </c>
      <c r="AB114" s="450">
        <f t="shared" si="63"/>
        <v>0</v>
      </c>
      <c r="AC114" s="450">
        <f t="shared" si="63"/>
        <v>0</v>
      </c>
      <c r="AE114" s="342"/>
      <c r="AF114" s="342"/>
      <c r="AG114" s="342"/>
      <c r="AH114" s="342"/>
      <c r="AI114" s="342"/>
      <c r="AJ114" s="342"/>
      <c r="AK114" s="342"/>
      <c r="AL114" s="342"/>
      <c r="AM114" s="342"/>
      <c r="AN114" s="342"/>
    </row>
    <row r="115" spans="10:40" x14ac:dyDescent="0.2">
      <c r="J115" s="451"/>
      <c r="T115" s="451"/>
      <c r="U115" s="341">
        <v>36</v>
      </c>
      <c r="V115" s="340" t="s">
        <v>500</v>
      </c>
      <c r="W115" s="450">
        <f t="shared" si="63"/>
        <v>350</v>
      </c>
      <c r="X115" s="450">
        <f t="shared" si="63"/>
        <v>0</v>
      </c>
      <c r="Y115" s="450">
        <f t="shared" si="63"/>
        <v>0</v>
      </c>
      <c r="Z115" s="450">
        <f t="shared" si="63"/>
        <v>0</v>
      </c>
      <c r="AA115" s="450">
        <f t="shared" si="63"/>
        <v>0</v>
      </c>
      <c r="AB115" s="450">
        <f t="shared" si="63"/>
        <v>0</v>
      </c>
      <c r="AC115" s="450">
        <f t="shared" si="63"/>
        <v>0</v>
      </c>
      <c r="AE115" s="342"/>
      <c r="AF115" s="342"/>
      <c r="AG115" s="342"/>
      <c r="AH115" s="342"/>
      <c r="AI115" s="342"/>
      <c r="AJ115" s="342"/>
      <c r="AK115" s="342"/>
      <c r="AL115" s="342"/>
      <c r="AM115" s="342"/>
      <c r="AN115" s="342"/>
    </row>
    <row r="116" spans="10:40" x14ac:dyDescent="0.2">
      <c r="J116" s="451"/>
      <c r="T116" s="451"/>
      <c r="U116" s="436"/>
      <c r="V116" s="436"/>
      <c r="W116" s="436"/>
      <c r="X116" s="436"/>
      <c r="Y116" s="436"/>
      <c r="Z116" s="436"/>
      <c r="AA116" s="436"/>
      <c r="AB116" s="436"/>
      <c r="AC116" s="436"/>
      <c r="AE116" s="342"/>
      <c r="AF116" s="342"/>
      <c r="AG116" s="342"/>
      <c r="AH116" s="342"/>
      <c r="AI116" s="342"/>
      <c r="AJ116" s="342"/>
      <c r="AK116" s="342"/>
      <c r="AL116" s="342"/>
      <c r="AM116" s="342"/>
      <c r="AN116" s="342"/>
    </row>
    <row r="117" spans="10:40" x14ac:dyDescent="0.2">
      <c r="J117" s="451"/>
      <c r="T117" s="451"/>
      <c r="U117" s="443"/>
      <c r="V117" s="437" t="s">
        <v>539</v>
      </c>
      <c r="W117" s="452">
        <f>W105 / W84</f>
        <v>-8.4771130952380994E-2</v>
      </c>
      <c r="X117" s="452">
        <f t="shared" ref="X117:AC117" si="65">X105 / X84</f>
        <v>-8.4771130952380994E-2</v>
      </c>
      <c r="Y117" s="452">
        <f t="shared" si="65"/>
        <v>-8.4771130952380994E-2</v>
      </c>
      <c r="Z117" s="452">
        <f t="shared" si="65"/>
        <v>-8.4771130952381021E-2</v>
      </c>
      <c r="AA117" s="452">
        <f t="shared" si="65"/>
        <v>-8.4771130952381021E-2</v>
      </c>
      <c r="AB117" s="452">
        <f t="shared" si="65"/>
        <v>-8.477113095238098E-2</v>
      </c>
      <c r="AC117" s="452">
        <f t="shared" si="65"/>
        <v>-8.4771130952380966E-2</v>
      </c>
      <c r="AE117" s="342"/>
      <c r="AF117" s="342"/>
      <c r="AG117" s="342"/>
      <c r="AH117" s="342"/>
      <c r="AI117" s="342"/>
      <c r="AJ117" s="342"/>
      <c r="AK117" s="342"/>
      <c r="AL117" s="342"/>
      <c r="AM117" s="342"/>
      <c r="AN117" s="342"/>
    </row>
    <row r="118" spans="10:40" x14ac:dyDescent="0.2">
      <c r="J118" s="451"/>
      <c r="T118" s="451"/>
      <c r="U118" s="443"/>
      <c r="V118" s="437" t="s">
        <v>540</v>
      </c>
      <c r="W118" s="452">
        <f t="shared" ref="W118:AC121" si="66">W106 / W85</f>
        <v>-6.4874851190476132E-2</v>
      </c>
      <c r="X118" s="452">
        <f t="shared" si="66"/>
        <v>-6.4874851190476132E-2</v>
      </c>
      <c r="Y118" s="452">
        <f t="shared" si="66"/>
        <v>-6.4874851190476132E-2</v>
      </c>
      <c r="Z118" s="452">
        <f t="shared" si="66"/>
        <v>-6.4874851190476132E-2</v>
      </c>
      <c r="AA118" s="452">
        <f t="shared" si="66"/>
        <v>-6.4874851190476118E-2</v>
      </c>
      <c r="AB118" s="452">
        <f t="shared" si="66"/>
        <v>-6.4874851190475979E-2</v>
      </c>
      <c r="AC118" s="452">
        <f t="shared" si="66"/>
        <v>-6.4874851190475952E-2</v>
      </c>
      <c r="AE118" s="342"/>
      <c r="AF118" s="342"/>
      <c r="AG118" s="342"/>
      <c r="AH118" s="342"/>
      <c r="AI118" s="342"/>
      <c r="AJ118" s="342"/>
      <c r="AK118" s="342"/>
      <c r="AL118" s="342"/>
      <c r="AM118" s="342"/>
      <c r="AN118" s="342"/>
    </row>
    <row r="119" spans="10:40" x14ac:dyDescent="0.2">
      <c r="J119" s="451"/>
      <c r="T119" s="451"/>
      <c r="U119" s="443"/>
      <c r="V119" s="437" t="s">
        <v>541</v>
      </c>
      <c r="W119" s="453">
        <f t="shared" si="66"/>
        <v>8.7250127551020448E-2</v>
      </c>
      <c r="X119" s="452">
        <f t="shared" si="66"/>
        <v>-5.5607015306122408E-2</v>
      </c>
      <c r="Y119" s="452">
        <f t="shared" si="66"/>
        <v>-5.8387366071428519E-2</v>
      </c>
      <c r="Z119" s="452">
        <f t="shared" si="66"/>
        <v>-5.97906152037617E-2</v>
      </c>
      <c r="AA119" s="452">
        <f t="shared" si="66"/>
        <v>-6.0620762587821946E-2</v>
      </c>
      <c r="AB119" s="452">
        <f t="shared" si="66"/>
        <v>-6.1142120972381954E-2</v>
      </c>
      <c r="AC119" s="452">
        <f t="shared" si="66"/>
        <v>-6.1544520020533657E-2</v>
      </c>
      <c r="AE119" s="342"/>
      <c r="AF119" s="342"/>
      <c r="AG119" s="342"/>
      <c r="AH119" s="342"/>
      <c r="AI119" s="342"/>
      <c r="AJ119" s="342"/>
      <c r="AK119" s="342"/>
      <c r="AL119" s="342"/>
      <c r="AM119" s="342"/>
      <c r="AN119" s="342"/>
    </row>
    <row r="120" spans="10:40" x14ac:dyDescent="0.2">
      <c r="J120" s="451"/>
      <c r="T120" s="451"/>
      <c r="U120" s="443"/>
      <c r="V120" s="437" t="s">
        <v>542</v>
      </c>
      <c r="W120" s="452">
        <f t="shared" si="66"/>
        <v>-4.4978571428571396E-2</v>
      </c>
      <c r="X120" s="452">
        <f t="shared" si="66"/>
        <v>-4.4978571428571396E-2</v>
      </c>
      <c r="Y120" s="452">
        <f t="shared" si="66"/>
        <v>-4.4978571428571396E-2</v>
      </c>
      <c r="Z120" s="452">
        <f t="shared" si="66"/>
        <v>-4.4978571428571458E-2</v>
      </c>
      <c r="AA120" s="452">
        <f t="shared" si="66"/>
        <v>-4.4978571428571555E-2</v>
      </c>
      <c r="AB120" s="452">
        <f t="shared" si="66"/>
        <v>-4.4978571428571215E-2</v>
      </c>
      <c r="AC120" s="452">
        <f t="shared" si="66"/>
        <v>-4.4978571428571437E-2</v>
      </c>
      <c r="AE120" s="342"/>
      <c r="AF120" s="342"/>
      <c r="AG120" s="342"/>
      <c r="AH120" s="342"/>
      <c r="AI120" s="342"/>
      <c r="AJ120" s="342"/>
      <c r="AK120" s="342"/>
      <c r="AL120" s="342"/>
      <c r="AM120" s="342"/>
      <c r="AN120" s="342"/>
    </row>
    <row r="121" spans="10:40" x14ac:dyDescent="0.2">
      <c r="J121" s="451"/>
      <c r="T121" s="451"/>
      <c r="U121" s="443"/>
      <c r="V121" s="437" t="s">
        <v>543</v>
      </c>
      <c r="W121" s="453">
        <f t="shared" si="66"/>
        <v>0.10430408163265309</v>
      </c>
      <c r="X121" s="452">
        <f t="shared" si="66"/>
        <v>-3.8553061224489767E-2</v>
      </c>
      <c r="Y121" s="452">
        <f t="shared" si="66"/>
        <v>-4.0480714285714252E-2</v>
      </c>
      <c r="Z121" s="452">
        <f t="shared" si="66"/>
        <v>-4.1453605015674008E-2</v>
      </c>
      <c r="AA121" s="452">
        <f t="shared" si="66"/>
        <v>-4.2029156908665224E-2</v>
      </c>
      <c r="AB121" s="452">
        <f t="shared" si="66"/>
        <v>-4.2390621403912455E-2</v>
      </c>
      <c r="AC121" s="452">
        <f t="shared" si="66"/>
        <v>-4.2669609856262843E-2</v>
      </c>
      <c r="AE121" s="342"/>
      <c r="AF121" s="342"/>
      <c r="AG121" s="342"/>
      <c r="AH121" s="342"/>
      <c r="AI121" s="342"/>
      <c r="AJ121" s="342"/>
      <c r="AK121" s="342"/>
      <c r="AL121" s="342"/>
      <c r="AM121" s="342"/>
      <c r="AN121" s="342"/>
    </row>
    <row r="122" spans="10:40" x14ac:dyDescent="0.2">
      <c r="J122" s="451"/>
      <c r="T122" s="451"/>
      <c r="U122" s="341"/>
      <c r="V122" s="340"/>
      <c r="W122" s="454"/>
      <c r="X122" s="454"/>
      <c r="Y122" s="454"/>
      <c r="Z122" s="454"/>
      <c r="AA122" s="454"/>
      <c r="AB122" s="454"/>
      <c r="AC122" s="454"/>
      <c r="AE122" s="342"/>
      <c r="AF122" s="342"/>
      <c r="AG122" s="342"/>
      <c r="AH122" s="342"/>
      <c r="AI122" s="342"/>
      <c r="AJ122" s="342"/>
      <c r="AK122" s="342"/>
      <c r="AL122" s="342"/>
      <c r="AM122" s="342"/>
      <c r="AN122" s="342"/>
    </row>
    <row r="123" spans="10:40" x14ac:dyDescent="0.2">
      <c r="J123" s="451"/>
      <c r="T123" s="451"/>
      <c r="U123" s="341"/>
      <c r="V123" s="340" t="s">
        <v>494</v>
      </c>
      <c r="W123" s="452">
        <f t="shared" ref="W123:AC127" si="67">W111 / W90</f>
        <v>0</v>
      </c>
      <c r="X123" s="452">
        <f t="shared" si="67"/>
        <v>0</v>
      </c>
      <c r="Y123" s="452">
        <f t="shared" si="67"/>
        <v>0</v>
      </c>
      <c r="Z123" s="452">
        <f t="shared" si="67"/>
        <v>0</v>
      </c>
      <c r="AA123" s="452">
        <f t="shared" si="67"/>
        <v>0</v>
      </c>
      <c r="AB123" s="452">
        <f t="shared" si="67"/>
        <v>0</v>
      </c>
      <c r="AC123" s="452">
        <f t="shared" si="67"/>
        <v>0</v>
      </c>
      <c r="AE123" s="342"/>
      <c r="AF123" s="342"/>
      <c r="AG123" s="342"/>
      <c r="AH123" s="342"/>
      <c r="AI123" s="342"/>
      <c r="AJ123" s="342"/>
      <c r="AK123" s="342"/>
      <c r="AL123" s="342"/>
      <c r="AM123" s="342"/>
      <c r="AN123" s="342"/>
    </row>
    <row r="124" spans="10:40" x14ac:dyDescent="0.2">
      <c r="J124" s="451"/>
      <c r="T124" s="451"/>
      <c r="U124" s="341"/>
      <c r="V124" s="340" t="s">
        <v>496</v>
      </c>
      <c r="W124" s="452">
        <f t="shared" si="67"/>
        <v>0</v>
      </c>
      <c r="X124" s="452">
        <f t="shared" si="67"/>
        <v>0</v>
      </c>
      <c r="Y124" s="452">
        <f t="shared" si="67"/>
        <v>0</v>
      </c>
      <c r="Z124" s="452">
        <f t="shared" si="67"/>
        <v>0</v>
      </c>
      <c r="AA124" s="452">
        <f t="shared" si="67"/>
        <v>0</v>
      </c>
      <c r="AB124" s="452">
        <f t="shared" si="67"/>
        <v>0</v>
      </c>
      <c r="AC124" s="452">
        <f t="shared" si="67"/>
        <v>0</v>
      </c>
      <c r="AE124" s="342"/>
      <c r="AF124" s="342"/>
      <c r="AG124" s="342"/>
      <c r="AH124" s="342"/>
      <c r="AI124" s="342"/>
      <c r="AJ124" s="342"/>
      <c r="AK124" s="342"/>
      <c r="AL124" s="342"/>
      <c r="AM124" s="342"/>
      <c r="AN124" s="342"/>
    </row>
    <row r="125" spans="10:40" x14ac:dyDescent="0.2">
      <c r="J125" s="451"/>
      <c r="T125" s="451"/>
      <c r="U125" s="341"/>
      <c r="V125" s="340" t="s">
        <v>495</v>
      </c>
      <c r="W125" s="453">
        <f t="shared" si="67"/>
        <v>0.1682540636360905</v>
      </c>
      <c r="X125" s="452">
        <f t="shared" si="67"/>
        <v>0</v>
      </c>
      <c r="Y125" s="452">
        <f t="shared" si="67"/>
        <v>0</v>
      </c>
      <c r="Z125" s="452">
        <f t="shared" si="67"/>
        <v>0</v>
      </c>
      <c r="AA125" s="452">
        <f t="shared" si="67"/>
        <v>0</v>
      </c>
      <c r="AB125" s="452">
        <f t="shared" si="67"/>
        <v>0</v>
      </c>
      <c r="AC125" s="452">
        <f t="shared" si="67"/>
        <v>0</v>
      </c>
      <c r="AE125" s="342"/>
      <c r="AF125" s="342"/>
      <c r="AG125" s="342"/>
      <c r="AH125" s="342"/>
      <c r="AI125" s="342"/>
      <c r="AJ125" s="342"/>
      <c r="AK125" s="342"/>
      <c r="AL125" s="342"/>
      <c r="AM125" s="342"/>
      <c r="AN125" s="342"/>
    </row>
    <row r="126" spans="10:40" x14ac:dyDescent="0.2">
      <c r="J126" s="451"/>
      <c r="T126" s="451"/>
      <c r="U126" s="341"/>
      <c r="V126" s="340" t="s">
        <v>501</v>
      </c>
      <c r="W126" s="452">
        <f t="shared" si="67"/>
        <v>0</v>
      </c>
      <c r="X126" s="452">
        <f t="shared" si="67"/>
        <v>0</v>
      </c>
      <c r="Y126" s="452">
        <f t="shared" si="67"/>
        <v>0</v>
      </c>
      <c r="Z126" s="452">
        <f t="shared" si="67"/>
        <v>0</v>
      </c>
      <c r="AA126" s="452">
        <f t="shared" si="67"/>
        <v>0</v>
      </c>
      <c r="AB126" s="452">
        <f t="shared" si="67"/>
        <v>0</v>
      </c>
      <c r="AC126" s="452">
        <f t="shared" si="67"/>
        <v>0</v>
      </c>
      <c r="AE126" s="342"/>
      <c r="AF126" s="342"/>
      <c r="AG126" s="342"/>
      <c r="AH126" s="342"/>
      <c r="AI126" s="342"/>
      <c r="AJ126" s="342"/>
      <c r="AK126" s="342"/>
      <c r="AL126" s="342"/>
      <c r="AM126" s="342"/>
      <c r="AN126" s="342"/>
    </row>
    <row r="127" spans="10:40" x14ac:dyDescent="0.2">
      <c r="J127" s="451"/>
      <c r="T127" s="451"/>
      <c r="U127" s="341"/>
      <c r="V127" s="340" t="s">
        <v>500</v>
      </c>
      <c r="W127" s="453">
        <f t="shared" si="67"/>
        <v>0.16532829475673122</v>
      </c>
      <c r="X127" s="452">
        <f t="shared" si="67"/>
        <v>0</v>
      </c>
      <c r="Y127" s="452">
        <f t="shared" si="67"/>
        <v>0</v>
      </c>
      <c r="Z127" s="452">
        <f t="shared" si="67"/>
        <v>0</v>
      </c>
      <c r="AA127" s="452">
        <f t="shared" si="67"/>
        <v>0</v>
      </c>
      <c r="AB127" s="452">
        <f t="shared" si="67"/>
        <v>0</v>
      </c>
      <c r="AC127" s="452">
        <f>AC115 / AC94</f>
        <v>0</v>
      </c>
      <c r="AE127" s="342"/>
      <c r="AF127" s="342"/>
      <c r="AG127" s="342"/>
      <c r="AH127" s="342"/>
      <c r="AI127" s="342"/>
      <c r="AJ127" s="342"/>
      <c r="AK127" s="342"/>
      <c r="AL127" s="342"/>
      <c r="AM127" s="342"/>
      <c r="AN127" s="342"/>
    </row>
    <row r="128" spans="10:40" x14ac:dyDescent="0.2">
      <c r="J128" s="451"/>
      <c r="T128" s="451"/>
      <c r="V128" s="409"/>
      <c r="W128" s="411"/>
      <c r="Y128" s="411"/>
      <c r="Z128" s="411"/>
      <c r="AA128" s="411"/>
      <c r="AB128" s="411"/>
      <c r="AC128" s="411"/>
    </row>
    <row r="129" spans="10:29" x14ac:dyDescent="0.2">
      <c r="J129" s="451"/>
      <c r="T129" s="451"/>
      <c r="V129" s="409"/>
      <c r="W129" s="411"/>
      <c r="Y129" s="411"/>
      <c r="Z129" s="411"/>
      <c r="AA129" s="411"/>
      <c r="AB129" s="411"/>
      <c r="AC129" s="411"/>
    </row>
    <row r="130" spans="10:29" x14ac:dyDescent="0.2">
      <c r="J130" s="451"/>
      <c r="T130" s="451"/>
      <c r="V130" s="409"/>
      <c r="W130" s="411"/>
      <c r="Y130" s="411"/>
      <c r="Z130" s="411"/>
      <c r="AA130" s="411"/>
      <c r="AB130" s="411"/>
      <c r="AC130" s="411"/>
    </row>
    <row r="131" spans="10:29" x14ac:dyDescent="0.2">
      <c r="J131" s="451"/>
      <c r="T131" s="451"/>
    </row>
    <row r="132" spans="10:29" x14ac:dyDescent="0.2">
      <c r="J132" s="451"/>
      <c r="L132" s="455"/>
      <c r="M132" s="451"/>
      <c r="N132" s="451"/>
      <c r="O132" s="451"/>
      <c r="P132" s="451"/>
      <c r="Q132" s="451"/>
      <c r="R132" s="451"/>
      <c r="S132" s="451"/>
      <c r="T132" s="451"/>
      <c r="V132" s="455"/>
      <c r="W132" s="451"/>
      <c r="X132" s="451"/>
      <c r="Y132" s="451"/>
      <c r="Z132" s="451"/>
      <c r="AA132" s="451"/>
      <c r="AB132" s="451"/>
      <c r="AC132" s="451"/>
    </row>
    <row r="133" spans="10:29" x14ac:dyDescent="0.2">
      <c r="J133" s="451"/>
      <c r="L133" s="455"/>
      <c r="M133" s="451"/>
      <c r="N133" s="451"/>
      <c r="O133" s="451"/>
      <c r="P133" s="451"/>
      <c r="Q133" s="451"/>
      <c r="R133" s="451"/>
      <c r="S133" s="451"/>
      <c r="T133" s="451"/>
    </row>
    <row r="134" spans="10:29" x14ac:dyDescent="0.2">
      <c r="J134" s="451"/>
      <c r="L134" s="455"/>
      <c r="M134" s="451"/>
      <c r="N134" s="451"/>
      <c r="O134" s="451"/>
      <c r="P134" s="451"/>
      <c r="Q134" s="451"/>
      <c r="R134" s="451"/>
      <c r="S134" s="451"/>
      <c r="T134" s="451"/>
    </row>
    <row r="135" spans="10:29" x14ac:dyDescent="0.2">
      <c r="J135" s="451"/>
      <c r="L135" s="455"/>
      <c r="M135" s="451"/>
      <c r="N135" s="451"/>
      <c r="O135" s="451"/>
      <c r="P135" s="451"/>
      <c r="Q135" s="451"/>
      <c r="R135" s="451"/>
      <c r="S135" s="451"/>
      <c r="T135" s="451"/>
    </row>
    <row r="136" spans="10:29" x14ac:dyDescent="0.2">
      <c r="J136" s="451"/>
      <c r="L136" s="455"/>
      <c r="M136" s="451"/>
      <c r="N136" s="451"/>
      <c r="O136" s="451"/>
      <c r="P136" s="451"/>
      <c r="Q136" s="451"/>
      <c r="R136" s="451"/>
      <c r="S136" s="451"/>
      <c r="T136" s="451"/>
    </row>
    <row r="137" spans="10:29" x14ac:dyDescent="0.2">
      <c r="J137" s="451"/>
      <c r="L137" s="455"/>
      <c r="M137" s="451"/>
      <c r="N137" s="451"/>
      <c r="O137" s="451"/>
      <c r="P137" s="451"/>
      <c r="Q137" s="451"/>
      <c r="R137" s="451"/>
      <c r="S137" s="451"/>
      <c r="T137" s="451"/>
    </row>
    <row r="138" spans="10:29" x14ac:dyDescent="0.2">
      <c r="J138" s="451"/>
      <c r="L138" s="455"/>
      <c r="M138" s="451"/>
      <c r="N138" s="451"/>
      <c r="O138" s="451"/>
      <c r="P138" s="451"/>
      <c r="Q138" s="451"/>
      <c r="R138" s="451"/>
      <c r="S138" s="451"/>
      <c r="T138" s="451"/>
    </row>
    <row r="139" spans="10:29" x14ac:dyDescent="0.2">
      <c r="J139" s="451"/>
      <c r="L139" s="455"/>
      <c r="M139" s="451"/>
      <c r="N139" s="451"/>
      <c r="O139" s="451"/>
      <c r="P139" s="451"/>
      <c r="Q139" s="451"/>
      <c r="R139" s="451"/>
      <c r="S139" s="451"/>
      <c r="T139" s="451"/>
    </row>
    <row r="140" spans="10:29" x14ac:dyDescent="0.2">
      <c r="J140" s="451"/>
      <c r="L140" s="455"/>
      <c r="M140" s="451"/>
      <c r="N140" s="451"/>
      <c r="O140" s="451"/>
      <c r="P140" s="451"/>
      <c r="Q140" s="451"/>
      <c r="R140" s="451"/>
      <c r="S140" s="451"/>
      <c r="T140" s="451"/>
      <c r="V140" s="455"/>
      <c r="W140" s="451"/>
      <c r="X140" s="451"/>
      <c r="Y140" s="451"/>
      <c r="Z140" s="451"/>
      <c r="AA140" s="451"/>
      <c r="AB140" s="451"/>
      <c r="AC140" s="451"/>
    </row>
    <row r="141" spans="10:29" x14ac:dyDescent="0.2">
      <c r="J141" s="451"/>
      <c r="L141" s="455"/>
      <c r="M141" s="451"/>
      <c r="N141" s="451"/>
      <c r="O141" s="451"/>
      <c r="P141" s="451"/>
      <c r="Q141" s="451"/>
      <c r="R141" s="451"/>
      <c r="S141" s="451"/>
      <c r="T141" s="451"/>
      <c r="V141" s="455"/>
      <c r="W141" s="451"/>
      <c r="X141" s="451"/>
      <c r="Y141" s="451"/>
      <c r="Z141" s="451"/>
      <c r="AA141" s="451"/>
      <c r="AB141" s="451"/>
      <c r="AC141" s="451"/>
    </row>
    <row r="142" spans="10:29" x14ac:dyDescent="0.2">
      <c r="J142" s="451"/>
      <c r="L142" s="455"/>
      <c r="M142" s="451"/>
      <c r="N142" s="451"/>
      <c r="O142" s="451"/>
      <c r="P142" s="451"/>
      <c r="Q142" s="451"/>
      <c r="R142" s="451"/>
      <c r="S142" s="451"/>
      <c r="T142" s="451"/>
      <c r="V142" s="455"/>
      <c r="W142" s="451"/>
      <c r="X142" s="451"/>
      <c r="Y142" s="451"/>
      <c r="Z142" s="451"/>
      <c r="AA142" s="451"/>
      <c r="AB142" s="451"/>
      <c r="AC142" s="451"/>
    </row>
    <row r="143" spans="10:29" x14ac:dyDescent="0.2">
      <c r="J143" s="451"/>
      <c r="L143" s="455"/>
      <c r="M143" s="451"/>
      <c r="N143" s="451"/>
      <c r="O143" s="451"/>
      <c r="P143" s="451"/>
      <c r="Q143" s="451"/>
      <c r="R143" s="451"/>
      <c r="S143" s="451"/>
      <c r="T143" s="451"/>
      <c r="V143" s="455"/>
      <c r="W143" s="451"/>
      <c r="X143" s="451"/>
      <c r="Y143" s="451"/>
      <c r="Z143" s="451"/>
      <c r="AA143" s="451"/>
      <c r="AB143" s="451"/>
      <c r="AC143" s="451"/>
    </row>
    <row r="144" spans="10:29" x14ac:dyDescent="0.2">
      <c r="J144" s="451"/>
      <c r="L144" s="455"/>
      <c r="M144" s="451"/>
      <c r="N144" s="451"/>
      <c r="O144" s="451"/>
      <c r="P144" s="451"/>
      <c r="Q144" s="451"/>
      <c r="R144" s="451"/>
      <c r="S144" s="451"/>
      <c r="T144" s="451"/>
      <c r="V144" s="455"/>
      <c r="W144" s="451"/>
      <c r="X144" s="451"/>
      <c r="Y144" s="451"/>
      <c r="Z144" s="451"/>
      <c r="AA144" s="451"/>
      <c r="AB144" s="451"/>
      <c r="AC144" s="451"/>
    </row>
    <row r="145" spans="10:29" x14ac:dyDescent="0.2">
      <c r="J145" s="451"/>
      <c r="L145" s="455"/>
      <c r="M145" s="451"/>
      <c r="N145" s="451"/>
      <c r="O145" s="451"/>
      <c r="P145" s="451"/>
      <c r="Q145" s="451"/>
      <c r="R145" s="451"/>
      <c r="S145" s="451"/>
      <c r="T145" s="451"/>
      <c r="V145" s="455"/>
      <c r="W145" s="451"/>
      <c r="X145" s="451"/>
      <c r="Y145" s="451"/>
      <c r="Z145" s="451"/>
      <c r="AA145" s="451"/>
      <c r="AB145" s="451"/>
      <c r="AC145" s="451"/>
    </row>
    <row r="146" spans="10:29" x14ac:dyDescent="0.2">
      <c r="J146" s="451"/>
      <c r="L146" s="455"/>
      <c r="M146" s="451"/>
      <c r="N146" s="451"/>
      <c r="O146" s="451"/>
      <c r="P146" s="451"/>
      <c r="Q146" s="451"/>
      <c r="R146" s="451"/>
      <c r="S146" s="451"/>
      <c r="T146" s="451"/>
      <c r="V146" s="455"/>
      <c r="W146" s="451"/>
      <c r="X146" s="451"/>
      <c r="Y146" s="451"/>
      <c r="Z146" s="451"/>
      <c r="AA146" s="451"/>
      <c r="AB146" s="451"/>
      <c r="AC146" s="451"/>
    </row>
    <row r="147" spans="10:29" x14ac:dyDescent="0.2">
      <c r="J147" s="451"/>
      <c r="L147" s="455"/>
      <c r="M147" s="451"/>
      <c r="N147" s="451"/>
      <c r="O147" s="451"/>
      <c r="P147" s="451"/>
      <c r="Q147" s="451"/>
      <c r="R147" s="451"/>
      <c r="S147" s="451"/>
      <c r="T147" s="451"/>
      <c r="V147" s="455"/>
      <c r="W147" s="451"/>
      <c r="X147" s="451"/>
      <c r="Y147" s="451"/>
      <c r="Z147" s="451"/>
      <c r="AA147" s="451"/>
      <c r="AB147" s="451"/>
      <c r="AC147" s="451"/>
    </row>
    <row r="148" spans="10:29" x14ac:dyDescent="0.2">
      <c r="J148" s="451"/>
      <c r="L148" s="455"/>
      <c r="M148" s="451"/>
      <c r="N148" s="451"/>
      <c r="O148" s="451"/>
      <c r="P148" s="451"/>
      <c r="Q148" s="451"/>
      <c r="R148" s="451"/>
      <c r="S148" s="451"/>
      <c r="T148" s="451"/>
      <c r="V148" s="455"/>
      <c r="W148" s="451"/>
      <c r="X148" s="451"/>
      <c r="Y148" s="451"/>
      <c r="Z148" s="451"/>
      <c r="AA148" s="451"/>
      <c r="AB148" s="451"/>
      <c r="AC148" s="451"/>
    </row>
    <row r="149" spans="10:29" x14ac:dyDescent="0.2">
      <c r="J149" s="451"/>
      <c r="L149" s="455"/>
      <c r="M149" s="451"/>
      <c r="N149" s="451"/>
      <c r="O149" s="451"/>
      <c r="P149" s="451"/>
      <c r="Q149" s="451"/>
      <c r="R149" s="451"/>
      <c r="S149" s="451"/>
      <c r="T149" s="451"/>
      <c r="V149" s="455"/>
      <c r="W149" s="451"/>
      <c r="X149" s="451"/>
      <c r="Y149" s="451"/>
      <c r="Z149" s="451"/>
      <c r="AA149" s="451"/>
      <c r="AB149" s="451"/>
      <c r="AC149" s="451"/>
    </row>
    <row r="150" spans="10:29" x14ac:dyDescent="0.2">
      <c r="J150" s="451"/>
      <c r="L150" s="455"/>
      <c r="M150" s="451"/>
      <c r="N150" s="451"/>
      <c r="O150" s="451"/>
      <c r="P150" s="451"/>
      <c r="Q150" s="451"/>
      <c r="R150" s="451"/>
      <c r="S150" s="451"/>
      <c r="T150" s="451"/>
      <c r="V150" s="455"/>
      <c r="W150" s="451"/>
      <c r="X150" s="451"/>
      <c r="Y150" s="451"/>
      <c r="Z150" s="451"/>
      <c r="AA150" s="451"/>
      <c r="AB150" s="451"/>
      <c r="AC150" s="451"/>
    </row>
    <row r="151" spans="10:29" x14ac:dyDescent="0.2">
      <c r="J151" s="451"/>
      <c r="L151" s="455"/>
      <c r="M151" s="451"/>
      <c r="N151" s="451"/>
      <c r="O151" s="451"/>
      <c r="P151" s="451"/>
      <c r="Q151" s="451"/>
      <c r="R151" s="451"/>
      <c r="S151" s="451"/>
      <c r="T151" s="451"/>
      <c r="V151" s="455"/>
      <c r="W151" s="451"/>
      <c r="X151" s="451"/>
      <c r="Y151" s="451"/>
      <c r="Z151" s="451"/>
      <c r="AA151" s="451"/>
      <c r="AB151" s="451"/>
      <c r="AC151" s="451"/>
    </row>
    <row r="152" spans="10:29" x14ac:dyDescent="0.2">
      <c r="J152" s="451"/>
      <c r="L152" s="455"/>
      <c r="M152" s="451"/>
      <c r="N152" s="451"/>
      <c r="O152" s="451"/>
      <c r="P152" s="451"/>
      <c r="Q152" s="451"/>
      <c r="R152" s="451"/>
      <c r="S152" s="451"/>
      <c r="T152" s="451"/>
      <c r="V152" s="455"/>
      <c r="W152" s="451"/>
      <c r="X152" s="451"/>
      <c r="Y152" s="451"/>
      <c r="Z152" s="451"/>
      <c r="AA152" s="451"/>
      <c r="AB152" s="451"/>
      <c r="AC152" s="451"/>
    </row>
    <row r="153" spans="10:29" x14ac:dyDescent="0.2">
      <c r="J153" s="451"/>
      <c r="L153" s="455"/>
      <c r="M153" s="451"/>
      <c r="N153" s="451"/>
      <c r="O153" s="451"/>
      <c r="P153" s="451"/>
      <c r="Q153" s="451"/>
      <c r="R153" s="451"/>
      <c r="S153" s="451"/>
      <c r="T153" s="451"/>
      <c r="V153" s="455"/>
      <c r="W153" s="451"/>
      <c r="X153" s="451"/>
      <c r="Y153" s="451"/>
      <c r="Z153" s="451"/>
      <c r="AA153" s="451"/>
      <c r="AB153" s="451"/>
      <c r="AC153" s="451"/>
    </row>
    <row r="154" spans="10:29" x14ac:dyDescent="0.2">
      <c r="J154" s="451"/>
      <c r="L154" s="455"/>
      <c r="M154" s="451"/>
      <c r="N154" s="451"/>
      <c r="O154" s="451"/>
      <c r="P154" s="451"/>
      <c r="Q154" s="451"/>
      <c r="R154" s="451"/>
      <c r="S154" s="451"/>
      <c r="T154" s="451"/>
      <c r="V154" s="455"/>
      <c r="W154" s="451"/>
      <c r="X154" s="451"/>
      <c r="Y154" s="451"/>
      <c r="Z154" s="451"/>
      <c r="AA154" s="451"/>
      <c r="AB154" s="451"/>
      <c r="AC154" s="451"/>
    </row>
    <row r="155" spans="10:29" x14ac:dyDescent="0.2">
      <c r="J155" s="451"/>
      <c r="L155" s="455"/>
      <c r="M155" s="451"/>
      <c r="N155" s="451"/>
      <c r="O155" s="451"/>
      <c r="P155" s="451"/>
      <c r="Q155" s="451"/>
      <c r="R155" s="451"/>
      <c r="S155" s="451"/>
      <c r="T155" s="451"/>
      <c r="V155" s="455"/>
      <c r="W155" s="451"/>
      <c r="X155" s="451"/>
      <c r="Y155" s="451"/>
      <c r="Z155" s="451"/>
      <c r="AA155" s="451"/>
      <c r="AB155" s="451"/>
      <c r="AC155" s="451"/>
    </row>
    <row r="156" spans="10:29" x14ac:dyDescent="0.2">
      <c r="J156" s="451"/>
      <c r="L156" s="455"/>
      <c r="M156" s="451"/>
      <c r="N156" s="451"/>
      <c r="O156" s="451"/>
      <c r="P156" s="451"/>
      <c r="Q156" s="451"/>
      <c r="R156" s="451"/>
      <c r="S156" s="451"/>
      <c r="T156" s="451"/>
      <c r="V156" s="455"/>
      <c r="W156" s="451"/>
      <c r="X156" s="451"/>
      <c r="Y156" s="451"/>
      <c r="Z156" s="451"/>
      <c r="AA156" s="451"/>
      <c r="AB156" s="451"/>
      <c r="AC156" s="451"/>
    </row>
    <row r="157" spans="10:29" x14ac:dyDescent="0.2">
      <c r="J157" s="451"/>
      <c r="L157" s="455"/>
      <c r="M157" s="451"/>
      <c r="N157" s="451"/>
      <c r="O157" s="451"/>
      <c r="P157" s="451"/>
      <c r="Q157" s="451"/>
      <c r="R157" s="451"/>
      <c r="S157" s="451"/>
      <c r="T157" s="451"/>
      <c r="V157" s="455"/>
      <c r="W157" s="451"/>
      <c r="X157" s="451"/>
      <c r="Y157" s="451"/>
      <c r="Z157" s="451"/>
      <c r="AA157" s="451"/>
      <c r="AB157" s="451"/>
      <c r="AC157" s="451"/>
    </row>
    <row r="158" spans="10:29" x14ac:dyDescent="0.2">
      <c r="J158" s="451"/>
      <c r="L158" s="455"/>
      <c r="M158" s="451"/>
      <c r="N158" s="451"/>
      <c r="O158" s="451"/>
      <c r="P158" s="451"/>
      <c r="Q158" s="451"/>
      <c r="R158" s="451"/>
      <c r="S158" s="451"/>
      <c r="T158" s="451"/>
      <c r="V158" s="455"/>
      <c r="W158" s="451"/>
      <c r="X158" s="451"/>
      <c r="Y158" s="451"/>
      <c r="Z158" s="451"/>
      <c r="AA158" s="451"/>
      <c r="AB158" s="451"/>
      <c r="AC158" s="451"/>
    </row>
    <row r="159" spans="10:29" x14ac:dyDescent="0.2">
      <c r="J159" s="451"/>
      <c r="L159" s="455"/>
      <c r="M159" s="451"/>
      <c r="N159" s="451"/>
      <c r="O159" s="451"/>
      <c r="P159" s="451"/>
      <c r="Q159" s="451"/>
      <c r="R159" s="451"/>
      <c r="S159" s="451"/>
      <c r="T159" s="451"/>
      <c r="V159" s="455"/>
      <c r="W159" s="451"/>
      <c r="X159" s="451"/>
      <c r="Y159" s="451"/>
      <c r="Z159" s="451"/>
      <c r="AA159" s="451"/>
      <c r="AB159" s="451"/>
      <c r="AC159" s="451"/>
    </row>
    <row r="160" spans="10:29" x14ac:dyDescent="0.2">
      <c r="J160" s="451"/>
      <c r="L160" s="455"/>
      <c r="M160" s="451"/>
      <c r="N160" s="451"/>
      <c r="O160" s="451"/>
      <c r="P160" s="451"/>
      <c r="Q160" s="451"/>
      <c r="R160" s="451"/>
      <c r="S160" s="451"/>
      <c r="T160" s="451"/>
      <c r="V160" s="455"/>
      <c r="W160" s="451"/>
      <c r="X160" s="451"/>
      <c r="Y160" s="451"/>
      <c r="Z160" s="451"/>
      <c r="AA160" s="451"/>
      <c r="AB160" s="451"/>
      <c r="AC160" s="451"/>
    </row>
    <row r="161" spans="10:29" x14ac:dyDescent="0.2">
      <c r="J161" s="451"/>
      <c r="L161" s="455"/>
      <c r="M161" s="451"/>
      <c r="N161" s="451"/>
      <c r="O161" s="451"/>
      <c r="P161" s="451"/>
      <c r="Q161" s="451"/>
      <c r="R161" s="451"/>
      <c r="S161" s="451"/>
      <c r="T161" s="451"/>
      <c r="V161" s="455"/>
      <c r="W161" s="451"/>
      <c r="X161" s="451"/>
      <c r="Y161" s="451"/>
      <c r="Z161" s="451"/>
      <c r="AA161" s="451"/>
      <c r="AB161" s="451"/>
      <c r="AC161" s="451"/>
    </row>
    <row r="162" spans="10:29" x14ac:dyDescent="0.2">
      <c r="J162" s="451"/>
      <c r="L162" s="455"/>
      <c r="M162" s="451"/>
      <c r="N162" s="451"/>
      <c r="O162" s="451"/>
      <c r="P162" s="451"/>
      <c r="Q162" s="451"/>
      <c r="R162" s="451"/>
      <c r="S162" s="451"/>
      <c r="T162" s="451"/>
      <c r="V162" s="455"/>
      <c r="W162" s="451"/>
      <c r="X162" s="451"/>
      <c r="Y162" s="451"/>
      <c r="Z162" s="451"/>
      <c r="AA162" s="451"/>
      <c r="AB162" s="451"/>
      <c r="AC162" s="451"/>
    </row>
    <row r="163" spans="10:29" x14ac:dyDescent="0.2">
      <c r="J163" s="451"/>
      <c r="L163" s="455"/>
      <c r="M163" s="451"/>
      <c r="N163" s="451"/>
      <c r="O163" s="451"/>
      <c r="P163" s="451"/>
      <c r="Q163" s="451"/>
      <c r="R163" s="451"/>
      <c r="S163" s="451"/>
      <c r="T163" s="451"/>
      <c r="V163" s="455"/>
      <c r="W163" s="451"/>
      <c r="X163" s="451"/>
      <c r="Y163" s="451"/>
      <c r="Z163" s="451"/>
      <c r="AA163" s="451"/>
      <c r="AB163" s="451"/>
      <c r="AC163" s="451"/>
    </row>
    <row r="164" spans="10:29" x14ac:dyDescent="0.2">
      <c r="J164" s="451"/>
      <c r="L164" s="455"/>
      <c r="M164" s="451"/>
      <c r="N164" s="451"/>
      <c r="O164" s="451"/>
      <c r="P164" s="451"/>
      <c r="Q164" s="451"/>
      <c r="R164" s="451"/>
      <c r="S164" s="451"/>
      <c r="T164" s="451"/>
      <c r="V164" s="455"/>
      <c r="W164" s="451"/>
      <c r="X164" s="451"/>
      <c r="Y164" s="451"/>
      <c r="Z164" s="451"/>
      <c r="AA164" s="451"/>
      <c r="AB164" s="451"/>
      <c r="AC164" s="451"/>
    </row>
    <row r="165" spans="10:29" x14ac:dyDescent="0.2">
      <c r="J165" s="451"/>
      <c r="L165" s="455"/>
      <c r="M165" s="451"/>
      <c r="N165" s="451"/>
      <c r="O165" s="451"/>
      <c r="P165" s="451"/>
      <c r="Q165" s="451"/>
      <c r="R165" s="451"/>
      <c r="S165" s="451"/>
      <c r="T165" s="451"/>
      <c r="V165" s="455"/>
      <c r="W165" s="451"/>
      <c r="X165" s="451"/>
      <c r="Y165" s="451"/>
      <c r="Z165" s="451"/>
      <c r="AA165" s="451"/>
      <c r="AB165" s="451"/>
      <c r="AC165" s="451"/>
    </row>
    <row r="166" spans="10:29" x14ac:dyDescent="0.2">
      <c r="L166" s="455"/>
      <c r="M166" s="451"/>
      <c r="N166" s="451"/>
      <c r="O166" s="451"/>
      <c r="P166" s="451"/>
      <c r="Q166" s="451"/>
      <c r="R166" s="451"/>
      <c r="S166" s="451"/>
      <c r="V166" s="455"/>
      <c r="W166" s="451"/>
      <c r="X166" s="451"/>
      <c r="Y166" s="451"/>
      <c r="Z166" s="451"/>
      <c r="AA166" s="451"/>
      <c r="AB166" s="451"/>
      <c r="AC166" s="451"/>
    </row>
    <row r="167" spans="10:29" x14ac:dyDescent="0.2">
      <c r="L167" s="455"/>
      <c r="M167" s="451"/>
      <c r="N167" s="451"/>
      <c r="V167" s="455"/>
      <c r="W167" s="451"/>
      <c r="X167" s="451"/>
      <c r="Y167" s="451"/>
      <c r="Z167" s="451"/>
      <c r="AA167" s="451"/>
      <c r="AB167" s="451"/>
      <c r="AC167" s="451"/>
    </row>
    <row r="168" spans="10:29" x14ac:dyDescent="0.2">
      <c r="V168" s="455"/>
      <c r="W168" s="451"/>
      <c r="X168" s="451"/>
      <c r="Y168" s="451"/>
      <c r="Z168" s="451"/>
      <c r="AA168" s="451"/>
      <c r="AB168" s="451"/>
      <c r="AC168" s="451"/>
    </row>
    <row r="169" spans="10:29" x14ac:dyDescent="0.2">
      <c r="V169" s="455"/>
      <c r="W169" s="451"/>
      <c r="X169" s="451"/>
      <c r="Y169" s="451"/>
      <c r="Z169" s="451"/>
      <c r="AA169" s="451"/>
      <c r="AB169" s="451"/>
      <c r="AC169" s="451"/>
    </row>
    <row r="170" spans="10:29" x14ac:dyDescent="0.2">
      <c r="V170" s="455"/>
      <c r="W170" s="451"/>
      <c r="X170" s="451"/>
      <c r="Y170" s="451"/>
      <c r="Z170" s="451"/>
      <c r="AA170" s="451"/>
      <c r="AB170" s="451"/>
      <c r="AC170" s="451"/>
    </row>
    <row r="171" spans="10:29" x14ac:dyDescent="0.2">
      <c r="V171" s="455"/>
      <c r="W171" s="451"/>
      <c r="X171" s="451"/>
      <c r="Y171" s="451"/>
      <c r="Z171" s="451"/>
      <c r="AA171" s="451"/>
      <c r="AB171" s="451"/>
      <c r="AC171" s="451"/>
    </row>
    <row r="172" spans="10:29" x14ac:dyDescent="0.2">
      <c r="V172" s="455"/>
      <c r="W172" s="451"/>
      <c r="X172" s="451"/>
      <c r="Y172" s="451"/>
      <c r="Z172" s="451"/>
      <c r="AA172" s="451"/>
      <c r="AB172" s="451"/>
      <c r="AC172" s="451"/>
    </row>
    <row r="173" spans="10:29" x14ac:dyDescent="0.2">
      <c r="V173" s="455"/>
      <c r="W173" s="451"/>
      <c r="X173" s="451"/>
      <c r="Y173" s="451"/>
      <c r="Z173" s="451"/>
      <c r="AA173" s="451"/>
      <c r="AB173" s="451"/>
      <c r="AC173" s="451"/>
    </row>
    <row r="174" spans="10:29" x14ac:dyDescent="0.2">
      <c r="V174" s="455"/>
      <c r="W174" s="451"/>
      <c r="X174" s="451"/>
      <c r="Y174" s="451"/>
      <c r="Z174" s="451"/>
      <c r="AA174" s="451"/>
      <c r="AB174" s="451"/>
      <c r="AC174" s="451"/>
    </row>
    <row r="175" spans="10:29" x14ac:dyDescent="0.2">
      <c r="V175" s="455"/>
      <c r="W175" s="451"/>
      <c r="X175" s="451"/>
    </row>
  </sheetData>
  <printOptions horizontalCentered="1"/>
  <pageMargins left="0.75" right="0.75" top="1" bottom="0.75" header="0.5" footer="0.5"/>
  <pageSetup scale="89" fitToHeight="2" orientation="portrait" r:id="rId1"/>
  <headerFooter alignWithMargins="0">
    <oddFooter>&amp;L&amp;"Calibri,Regular"&amp;9&amp;F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M36"/>
  <sheetViews>
    <sheetView zoomScale="90" zoomScaleNormal="90" workbookViewId="0">
      <selection activeCell="I9" sqref="I9"/>
    </sheetView>
  </sheetViews>
  <sheetFormatPr defaultRowHeight="12.75" outlineLevelCol="1" x14ac:dyDescent="0.2"/>
  <cols>
    <col min="1" max="1" width="10.5703125" style="217" customWidth="1"/>
    <col min="2" max="6" width="7.5703125" style="217" customWidth="1"/>
    <col min="7" max="7" width="9.5703125" style="217" customWidth="1" outlineLevel="1"/>
    <col min="8" max="10" width="9.140625" style="217" customWidth="1" outlineLevel="1"/>
    <col min="11" max="16384" width="9.140625" style="217"/>
  </cols>
  <sheetData>
    <row r="1" spans="1:13" ht="26.25" x14ac:dyDescent="0.4">
      <c r="A1" s="216" t="s">
        <v>557</v>
      </c>
    </row>
    <row r="3" spans="1:13" x14ac:dyDescent="0.2">
      <c r="A3" s="255"/>
      <c r="B3" s="256" t="s">
        <v>206</v>
      </c>
      <c r="C3" s="256" t="s">
        <v>207</v>
      </c>
      <c r="D3" s="256" t="s">
        <v>504</v>
      </c>
      <c r="E3" s="256" t="s">
        <v>214</v>
      </c>
      <c r="F3" s="256" t="s">
        <v>513</v>
      </c>
      <c r="G3" s="256" t="s">
        <v>549</v>
      </c>
      <c r="H3" s="218" t="s">
        <v>213</v>
      </c>
      <c r="I3" s="218" t="s">
        <v>214</v>
      </c>
      <c r="J3" s="218" t="s">
        <v>513</v>
      </c>
    </row>
    <row r="4" spans="1:13" x14ac:dyDescent="0.2">
      <c r="A4" s="254" t="s">
        <v>505</v>
      </c>
      <c r="B4" s="257">
        <v>67</v>
      </c>
      <c r="C4" s="257">
        <v>23</v>
      </c>
      <c r="D4" s="257">
        <v>50</v>
      </c>
      <c r="E4" s="257">
        <v>40</v>
      </c>
      <c r="F4" s="257">
        <v>30</v>
      </c>
      <c r="G4" s="256">
        <f>B4</f>
        <v>67</v>
      </c>
      <c r="H4" s="218">
        <v>50</v>
      </c>
      <c r="I4" s="218">
        <v>35</v>
      </c>
      <c r="J4" s="218">
        <v>20</v>
      </c>
    </row>
    <row r="5" spans="1:13" x14ac:dyDescent="0.2">
      <c r="A5" s="254" t="s">
        <v>174</v>
      </c>
      <c r="B5" s="258">
        <v>0.7</v>
      </c>
      <c r="C5" s="258">
        <v>0.7</v>
      </c>
      <c r="D5" s="258">
        <v>0.6</v>
      </c>
      <c r="E5" s="258">
        <v>0.6</v>
      </c>
      <c r="F5" s="258">
        <v>0.6</v>
      </c>
      <c r="G5" s="317">
        <f>B5</f>
        <v>0.7</v>
      </c>
      <c r="H5" s="218">
        <v>0.7</v>
      </c>
      <c r="I5" s="218">
        <v>0.6</v>
      </c>
      <c r="J5" s="218">
        <v>0.2</v>
      </c>
    </row>
    <row r="6" spans="1:13" x14ac:dyDescent="0.2">
      <c r="A6" s="254" t="s">
        <v>175</v>
      </c>
      <c r="B6" s="259">
        <v>8</v>
      </c>
      <c r="C6" s="259">
        <v>3</v>
      </c>
      <c r="D6" s="259">
        <v>6</v>
      </c>
      <c r="E6" s="259">
        <v>4</v>
      </c>
      <c r="F6" s="259">
        <v>3</v>
      </c>
      <c r="G6" s="317">
        <f t="shared" ref="G6" si="0">B6</f>
        <v>8</v>
      </c>
      <c r="H6" s="219">
        <v>6</v>
      </c>
      <c r="I6" s="219">
        <v>4</v>
      </c>
      <c r="J6" s="219">
        <v>5</v>
      </c>
    </row>
    <row r="7" spans="1:13" x14ac:dyDescent="0.2">
      <c r="A7" s="254" t="s">
        <v>506</v>
      </c>
      <c r="B7" s="260">
        <v>1.44</v>
      </c>
      <c r="C7" s="260">
        <v>1.65</v>
      </c>
      <c r="D7" s="260">
        <v>1.55</v>
      </c>
      <c r="E7" s="260">
        <v>1.8</v>
      </c>
      <c r="F7" s="260">
        <v>1.85</v>
      </c>
      <c r="G7" s="258">
        <v>1.44</v>
      </c>
      <c r="H7" s="220"/>
      <c r="I7" s="220"/>
      <c r="J7" s="220"/>
    </row>
    <row r="8" spans="1:13" x14ac:dyDescent="0.2">
      <c r="A8" s="221" t="s">
        <v>507</v>
      </c>
      <c r="B8" s="222"/>
      <c r="C8" s="222"/>
      <c r="D8" s="222"/>
      <c r="E8" s="222"/>
      <c r="F8" s="222"/>
      <c r="H8" s="220"/>
      <c r="I8" s="220"/>
      <c r="J8" s="220"/>
    </row>
    <row r="10" spans="1:13" s="227" customFormat="1" ht="38.25" x14ac:dyDescent="0.2">
      <c r="A10" s="224" t="s">
        <v>176</v>
      </c>
      <c r="B10" s="225" t="str">
        <f t="shared" ref="B10:J10" si="1">CONCATENATE(B3, " (x=", B5, ", y=", B6, ")")</f>
        <v>Fwy (x=0.7, y=8)</v>
      </c>
      <c r="C10" s="225" t="str">
        <f>CONCATENATE(C3, " (x=", C5, ", y=", C6, ")")</f>
        <v>Ramp (x=0.7, y=3)</v>
      </c>
      <c r="D10" s="225" t="str">
        <f t="shared" si="1"/>
        <v>Exp (x=0.6, y=6)</v>
      </c>
      <c r="E10" s="225" t="str">
        <f t="shared" si="1"/>
        <v>Art (x=0.6, y=4)</v>
      </c>
      <c r="F10" s="225" t="str">
        <f t="shared" si="1"/>
        <v>Col (x=0.6, y=3)</v>
      </c>
      <c r="G10" s="225" t="str">
        <f t="shared" si="1"/>
        <v>MM (x=0.7, y=8)</v>
      </c>
      <c r="H10" s="223" t="str">
        <f t="shared" si="1"/>
        <v>Bng (x=0.7, y=6)</v>
      </c>
      <c r="I10" s="223" t="str">
        <f t="shared" si="1"/>
        <v>Art (x=0.6, y=4)</v>
      </c>
      <c r="J10" s="223" t="str">
        <f t="shared" si="1"/>
        <v>Col (x=0.2, y=5)</v>
      </c>
      <c r="K10" s="217"/>
      <c r="L10" s="217"/>
      <c r="M10" s="217"/>
    </row>
    <row r="11" spans="1:13" x14ac:dyDescent="0.2">
      <c r="A11" s="228">
        <v>0</v>
      </c>
      <c r="B11" s="229">
        <f>MAX(IF($A11&gt;B$7, B$4/(1+B$5*(B$7^B$6)), B$4/(1+B$5*($A11^B$6)) ), B$7)</f>
        <v>67</v>
      </c>
      <c r="C11" s="229">
        <f t="shared" ref="C11:G11" si="2">MAX(IF($A11&gt;C$7, C$4/(1+C$5*(C$7^C$6)), C$4/(1+C$5*($A11^C$6)) ), C$7)</f>
        <v>23</v>
      </c>
      <c r="D11" s="229">
        <f t="shared" si="2"/>
        <v>50</v>
      </c>
      <c r="E11" s="229">
        <f t="shared" si="2"/>
        <v>40</v>
      </c>
      <c r="F11" s="229">
        <f t="shared" si="2"/>
        <v>30</v>
      </c>
      <c r="G11" s="229">
        <f t="shared" si="2"/>
        <v>67</v>
      </c>
      <c r="H11" s="226">
        <f t="shared" ref="H11:J26" si="3">H$4/(1+H$5*($A11^H$6))</f>
        <v>50</v>
      </c>
      <c r="I11" s="226">
        <f t="shared" si="3"/>
        <v>35</v>
      </c>
      <c r="J11" s="226">
        <f t="shared" si="3"/>
        <v>20</v>
      </c>
      <c r="K11" s="227"/>
      <c r="L11" s="227"/>
      <c r="M11" s="227"/>
    </row>
    <row r="12" spans="1:13" x14ac:dyDescent="0.2">
      <c r="A12" s="228">
        <v>0.1</v>
      </c>
      <c r="B12" s="229">
        <f t="shared" ref="B12:G27" si="4">MAX(IF($A12&gt;B$7, B$4/(1+B$5*(B$7^B$6)), B$4/(1+B$5*($A12^B$6)) ), B$7)</f>
        <v>66.999999531000014</v>
      </c>
      <c r="C12" s="229">
        <f t="shared" si="4"/>
        <v>22.983911262116521</v>
      </c>
      <c r="D12" s="229">
        <f t="shared" si="4"/>
        <v>49.999970000018003</v>
      </c>
      <c r="E12" s="229">
        <f t="shared" si="4"/>
        <v>39.997600143991363</v>
      </c>
      <c r="F12" s="229">
        <f t="shared" si="4"/>
        <v>29.982010793523887</v>
      </c>
      <c r="G12" s="229">
        <f t="shared" si="4"/>
        <v>66.999999531000014</v>
      </c>
      <c r="H12" s="226">
        <f t="shared" si="3"/>
        <v>49.999965000024503</v>
      </c>
      <c r="I12" s="226">
        <f t="shared" si="3"/>
        <v>34.997900125992444</v>
      </c>
      <c r="J12" s="226">
        <f t="shared" si="3"/>
        <v>19.999960000079998</v>
      </c>
    </row>
    <row r="13" spans="1:13" x14ac:dyDescent="0.2">
      <c r="A13" s="228">
        <v>0.5</v>
      </c>
      <c r="B13" s="229">
        <f t="shared" si="4"/>
        <v>66.817296455005845</v>
      </c>
      <c r="C13" s="229">
        <f t="shared" si="4"/>
        <v>21.149425287356323</v>
      </c>
      <c r="D13" s="229">
        <f t="shared" si="4"/>
        <v>49.535603715170282</v>
      </c>
      <c r="E13" s="229">
        <f t="shared" si="4"/>
        <v>38.554216867469876</v>
      </c>
      <c r="F13" s="229">
        <f t="shared" si="4"/>
        <v>27.906976744186046</v>
      </c>
      <c r="G13" s="229">
        <f t="shared" si="4"/>
        <v>66.817296455005845</v>
      </c>
      <c r="H13" s="226">
        <f t="shared" si="3"/>
        <v>49.459041731066456</v>
      </c>
      <c r="I13" s="226">
        <f t="shared" si="3"/>
        <v>33.734939759036145</v>
      </c>
      <c r="J13" s="226">
        <f t="shared" si="3"/>
        <v>19.875776397515526</v>
      </c>
    </row>
    <row r="14" spans="1:13" x14ac:dyDescent="0.2">
      <c r="A14" s="230">
        <f>A13+0.1</f>
        <v>0.6</v>
      </c>
      <c r="B14" s="229">
        <f t="shared" si="4"/>
        <v>66.221414172492771</v>
      </c>
      <c r="C14" s="229">
        <f t="shared" si="4"/>
        <v>19.979152189020152</v>
      </c>
      <c r="D14" s="229">
        <f t="shared" si="4"/>
        <v>48.638435103097912</v>
      </c>
      <c r="E14" s="229">
        <f t="shared" si="4"/>
        <v>37.11401425178147</v>
      </c>
      <c r="F14" s="229">
        <f t="shared" si="4"/>
        <v>26.558073654390935</v>
      </c>
      <c r="G14" s="229">
        <f t="shared" si="4"/>
        <v>66.221414172492771</v>
      </c>
      <c r="H14" s="226">
        <f t="shared" si="3"/>
        <v>48.418684499203614</v>
      </c>
      <c r="I14" s="226">
        <f t="shared" si="3"/>
        <v>32.474762470308789</v>
      </c>
      <c r="J14" s="226">
        <f t="shared" si="3"/>
        <v>19.693723216536426</v>
      </c>
    </row>
    <row r="15" spans="1:13" x14ac:dyDescent="0.2">
      <c r="A15" s="230">
        <f t="shared" ref="A15:A24" si="5">A14+0.1</f>
        <v>0.7</v>
      </c>
      <c r="B15" s="229">
        <f t="shared" si="4"/>
        <v>64.401180088377401</v>
      </c>
      <c r="C15" s="229">
        <f t="shared" si="4"/>
        <v>18.546891379727441</v>
      </c>
      <c r="D15" s="229">
        <f t="shared" si="4"/>
        <v>46.70324589427095</v>
      </c>
      <c r="E15" s="229">
        <f t="shared" si="4"/>
        <v>34.963201230704691</v>
      </c>
      <c r="F15" s="229">
        <f t="shared" si="4"/>
        <v>24.87974788522143</v>
      </c>
      <c r="G15" s="229">
        <f t="shared" si="4"/>
        <v>64.401180088377401</v>
      </c>
      <c r="H15" s="226">
        <f t="shared" si="3"/>
        <v>46.195594178357311</v>
      </c>
      <c r="I15" s="226">
        <f t="shared" si="3"/>
        <v>30.592801076866603</v>
      </c>
      <c r="J15" s="226">
        <f t="shared" si="3"/>
        <v>19.349583113231827</v>
      </c>
    </row>
    <row r="16" spans="1:13" x14ac:dyDescent="0.2">
      <c r="A16" s="230">
        <f t="shared" si="5"/>
        <v>0.79999999999999993</v>
      </c>
      <c r="B16" s="229">
        <f t="shared" si="4"/>
        <v>59.958449045384178</v>
      </c>
      <c r="C16" s="229">
        <f t="shared" si="4"/>
        <v>16.931684334511193</v>
      </c>
      <c r="D16" s="229">
        <f t="shared" si="4"/>
        <v>43.204517049539341</v>
      </c>
      <c r="E16" s="229">
        <f t="shared" si="4"/>
        <v>32.108913434369384</v>
      </c>
      <c r="F16" s="229">
        <f t="shared" si="4"/>
        <v>22.949816401468791</v>
      </c>
      <c r="G16" s="229">
        <f t="shared" si="4"/>
        <v>59.958449045384178</v>
      </c>
      <c r="H16" s="226">
        <f t="shared" si="3"/>
        <v>42.247542206984569</v>
      </c>
      <c r="I16" s="226">
        <f t="shared" si="3"/>
        <v>28.095299255073208</v>
      </c>
      <c r="J16" s="226">
        <f t="shared" si="3"/>
        <v>18.769896089855244</v>
      </c>
    </row>
    <row r="17" spans="1:10" x14ac:dyDescent="0.2">
      <c r="A17" s="230">
        <f t="shared" si="5"/>
        <v>0.89999999999999991</v>
      </c>
      <c r="B17" s="229">
        <f t="shared" si="4"/>
        <v>51.485904449967236</v>
      </c>
      <c r="C17" s="229">
        <f t="shared" si="4"/>
        <v>15.228762497517051</v>
      </c>
      <c r="D17" s="229">
        <f t="shared" si="4"/>
        <v>37.911397424724278</v>
      </c>
      <c r="E17" s="229">
        <f t="shared" si="4"/>
        <v>28.701404933771514</v>
      </c>
      <c r="F17" s="229">
        <f t="shared" si="4"/>
        <v>20.871017114234036</v>
      </c>
      <c r="G17" s="229">
        <f t="shared" si="4"/>
        <v>51.485904449967236</v>
      </c>
      <c r="H17" s="226">
        <f t="shared" si="3"/>
        <v>36.442917599574997</v>
      </c>
      <c r="I17" s="226">
        <f t="shared" si="3"/>
        <v>25.113729317050076</v>
      </c>
      <c r="J17" s="226">
        <f t="shared" si="3"/>
        <v>17.88751969863107</v>
      </c>
    </row>
    <row r="18" spans="1:10" x14ac:dyDescent="0.2">
      <c r="A18" s="230">
        <f t="shared" si="5"/>
        <v>0.99999999999999989</v>
      </c>
      <c r="B18" s="229">
        <f t="shared" si="4"/>
        <v>39.411764705882369</v>
      </c>
      <c r="C18" s="229">
        <f t="shared" si="4"/>
        <v>13.529411764705884</v>
      </c>
      <c r="D18" s="229">
        <f t="shared" si="4"/>
        <v>31.250000000000007</v>
      </c>
      <c r="E18" s="229">
        <f t="shared" si="4"/>
        <v>25.000000000000007</v>
      </c>
      <c r="F18" s="229">
        <f t="shared" si="4"/>
        <v>18.750000000000004</v>
      </c>
      <c r="G18" s="229">
        <f t="shared" si="4"/>
        <v>39.411764705882369</v>
      </c>
      <c r="H18" s="226">
        <f t="shared" si="3"/>
        <v>29.411764705882362</v>
      </c>
      <c r="I18" s="226">
        <f t="shared" si="3"/>
        <v>21.875000000000004</v>
      </c>
      <c r="J18" s="226">
        <f>J$4/(1+J$5*($A18^J$6))</f>
        <v>16.666666666666668</v>
      </c>
    </row>
    <row r="19" spans="1:10" x14ac:dyDescent="0.2">
      <c r="A19" s="230">
        <f t="shared" si="5"/>
        <v>1.0999999999999999</v>
      </c>
      <c r="B19" s="229">
        <f t="shared" si="4"/>
        <v>26.794510694336502</v>
      </c>
      <c r="C19" s="229">
        <f t="shared" si="4"/>
        <v>11.906610757363982</v>
      </c>
      <c r="D19" s="229">
        <f t="shared" si="4"/>
        <v>24.237293574606223</v>
      </c>
      <c r="E19" s="229">
        <f t="shared" si="4"/>
        <v>21.294038733856461</v>
      </c>
      <c r="F19" s="229">
        <f t="shared" si="4"/>
        <v>16.679639719782056</v>
      </c>
      <c r="G19" s="229">
        <f t="shared" si="4"/>
        <v>26.794510694336502</v>
      </c>
      <c r="H19" s="226">
        <f t="shared" si="3"/>
        <v>22.320504861249724</v>
      </c>
      <c r="I19" s="226">
        <f t="shared" si="3"/>
        <v>18.632283892124406</v>
      </c>
      <c r="J19" s="226">
        <f t="shared" si="3"/>
        <v>15.127425871831372</v>
      </c>
    </row>
    <row r="20" spans="1:10" x14ac:dyDescent="0.2">
      <c r="A20" s="230">
        <f t="shared" si="5"/>
        <v>1.2</v>
      </c>
      <c r="B20" s="229">
        <f t="shared" si="4"/>
        <v>16.708763306839149</v>
      </c>
      <c r="C20" s="229">
        <f t="shared" si="4"/>
        <v>10.409123823316436</v>
      </c>
      <c r="D20" s="229">
        <f t="shared" si="4"/>
        <v>17.910937077301888</v>
      </c>
      <c r="E20" s="229">
        <f t="shared" si="4"/>
        <v>17.824041066590617</v>
      </c>
      <c r="F20" s="229">
        <f t="shared" si="4"/>
        <v>14.728986645718775</v>
      </c>
      <c r="G20" s="229">
        <f t="shared" si="4"/>
        <v>16.708763306839149</v>
      </c>
      <c r="H20" s="226">
        <f t="shared" si="3"/>
        <v>16.18024115549186</v>
      </c>
      <c r="I20" s="226">
        <f t="shared" si="3"/>
        <v>15.596035933266791</v>
      </c>
      <c r="J20" s="226">
        <f t="shared" si="3"/>
        <v>13.354130165377549</v>
      </c>
    </row>
    <row r="21" spans="1:10" x14ac:dyDescent="0.2">
      <c r="A21" s="230">
        <f t="shared" si="5"/>
        <v>1.3</v>
      </c>
      <c r="B21" s="229">
        <f t="shared" si="4"/>
        <v>9.9849256727654421</v>
      </c>
      <c r="C21" s="229">
        <f t="shared" si="4"/>
        <v>9.0626108199692634</v>
      </c>
      <c r="D21" s="229">
        <f t="shared" si="4"/>
        <v>12.833394257733669</v>
      </c>
      <c r="E21" s="229">
        <f t="shared" si="4"/>
        <v>14.740240118511531</v>
      </c>
      <c r="F21" s="229">
        <f t="shared" si="4"/>
        <v>12.941074971961005</v>
      </c>
      <c r="G21" s="229">
        <f t="shared" si="4"/>
        <v>9.9849256727654421</v>
      </c>
      <c r="H21" s="226">
        <f t="shared" si="3"/>
        <v>11.418741392980939</v>
      </c>
      <c r="I21" s="226">
        <f t="shared" si="3"/>
        <v>12.897710103697589</v>
      </c>
      <c r="J21" s="226">
        <f t="shared" si="3"/>
        <v>11.477195386626541</v>
      </c>
    </row>
    <row r="22" spans="1:10" x14ac:dyDescent="0.2">
      <c r="A22" s="230">
        <f t="shared" si="5"/>
        <v>1.4000000000000001</v>
      </c>
      <c r="B22" s="229">
        <f t="shared" si="4"/>
        <v>5.9132308086761292</v>
      </c>
      <c r="C22" s="229">
        <f t="shared" si="4"/>
        <v>7.8745549164612427</v>
      </c>
      <c r="D22" s="229">
        <f t="shared" si="4"/>
        <v>9.0617112686511732</v>
      </c>
      <c r="E22" s="229">
        <f t="shared" si="4"/>
        <v>12.103020914020137</v>
      </c>
      <c r="F22" s="229">
        <f t="shared" si="4"/>
        <v>11.336154776299878</v>
      </c>
      <c r="G22" s="229">
        <f t="shared" si="4"/>
        <v>5.9132308086761292</v>
      </c>
      <c r="H22" s="226">
        <f t="shared" si="3"/>
        <v>7.9736229999601917</v>
      </c>
      <c r="I22" s="226">
        <f t="shared" si="3"/>
        <v>10.59014329976762</v>
      </c>
      <c r="J22" s="226">
        <f t="shared" si="3"/>
        <v>9.6355451406018719</v>
      </c>
    </row>
    <row r="23" spans="1:10" x14ac:dyDescent="0.2">
      <c r="A23" s="230">
        <f t="shared" si="5"/>
        <v>1.5000000000000002</v>
      </c>
      <c r="B23" s="229">
        <f t="shared" si="4"/>
        <v>4.8056584125471131</v>
      </c>
      <c r="C23" s="229">
        <f t="shared" si="4"/>
        <v>6.8401486988847564</v>
      </c>
      <c r="D23" s="229">
        <f t="shared" si="4"/>
        <v>6.3821300358994755</v>
      </c>
      <c r="E23" s="229">
        <f t="shared" si="4"/>
        <v>9.9071207430340529</v>
      </c>
      <c r="F23" s="229">
        <f t="shared" si="4"/>
        <v>9.9173553719008236</v>
      </c>
      <c r="G23" s="229">
        <f t="shared" si="4"/>
        <v>4.8056584125471131</v>
      </c>
      <c r="H23" s="226">
        <f t="shared" si="3"/>
        <v>5.5720006965000817</v>
      </c>
      <c r="I23" s="226">
        <f t="shared" si="3"/>
        <v>8.6687306501547958</v>
      </c>
      <c r="J23" s="226">
        <f t="shared" si="3"/>
        <v>7.9404466501240645</v>
      </c>
    </row>
    <row r="24" spans="1:10" x14ac:dyDescent="0.2">
      <c r="A24" s="230">
        <f t="shared" si="5"/>
        <v>1.6000000000000003</v>
      </c>
      <c r="B24" s="229">
        <f t="shared" si="4"/>
        <v>4.8056584125471131</v>
      </c>
      <c r="C24" s="229">
        <f t="shared" si="4"/>
        <v>5.9474555233760844</v>
      </c>
      <c r="D24" s="229">
        <f t="shared" si="4"/>
        <v>5.3646071277932883</v>
      </c>
      <c r="E24" s="229">
        <f t="shared" si="4"/>
        <v>8.1100369817686317</v>
      </c>
      <c r="F24" s="229">
        <f t="shared" si="4"/>
        <v>8.6765386395187392</v>
      </c>
      <c r="G24" s="229">
        <f t="shared" si="4"/>
        <v>4.8056584125471131</v>
      </c>
      <c r="H24" s="226">
        <f t="shared" si="3"/>
        <v>3.9233991778061874</v>
      </c>
      <c r="I24" s="226">
        <f t="shared" si="3"/>
        <v>7.096282359047553</v>
      </c>
      <c r="J24" s="226">
        <f t="shared" si="3"/>
        <v>6.4575455127807695</v>
      </c>
    </row>
    <row r="25" spans="1:10" x14ac:dyDescent="0.2">
      <c r="A25" s="230">
        <f>A24+0.1</f>
        <v>1.7000000000000004</v>
      </c>
      <c r="B25" s="229">
        <f t="shared" si="4"/>
        <v>4.8056584125471131</v>
      </c>
      <c r="C25" s="229">
        <f t="shared" si="4"/>
        <v>5.549540202497897</v>
      </c>
      <c r="D25" s="229">
        <f t="shared" si="4"/>
        <v>5.3646071277932883</v>
      </c>
      <c r="E25" s="229">
        <f t="shared" si="4"/>
        <v>6.6541789907606663</v>
      </c>
      <c r="F25" s="229">
        <f t="shared" si="4"/>
        <v>7.5991691575054414</v>
      </c>
      <c r="G25" s="229">
        <f t="shared" si="4"/>
        <v>4.8056584125471131</v>
      </c>
      <c r="H25" s="226">
        <f t="shared" si="3"/>
        <v>2.7938738593779435</v>
      </c>
      <c r="I25" s="226">
        <f t="shared" si="3"/>
        <v>5.8224066169155835</v>
      </c>
      <c r="J25" s="226">
        <f t="shared" si="3"/>
        <v>5.2087212745532554</v>
      </c>
    </row>
    <row r="26" spans="1:10" x14ac:dyDescent="0.2">
      <c r="A26" s="228">
        <v>2</v>
      </c>
      <c r="B26" s="229">
        <f t="shared" si="4"/>
        <v>4.8056584125471131</v>
      </c>
      <c r="C26" s="229">
        <f t="shared" si="4"/>
        <v>5.549540202497897</v>
      </c>
      <c r="D26" s="229">
        <f t="shared" si="4"/>
        <v>5.3646071277932883</v>
      </c>
      <c r="E26" s="229">
        <f t="shared" si="4"/>
        <v>5.4805331462644675</v>
      </c>
      <c r="F26" s="229">
        <f t="shared" si="4"/>
        <v>6.2513349204778095</v>
      </c>
      <c r="G26" s="229">
        <f t="shared" si="4"/>
        <v>4.8056584125471131</v>
      </c>
      <c r="H26" s="226">
        <f t="shared" si="3"/>
        <v>1.0917030567685591</v>
      </c>
      <c r="I26" s="226">
        <f t="shared" si="3"/>
        <v>3.3018867924528301</v>
      </c>
      <c r="J26" s="226">
        <f t="shared" si="3"/>
        <v>2.7027027027027026</v>
      </c>
    </row>
    <row r="27" spans="1:10" x14ac:dyDescent="0.2">
      <c r="A27" s="228">
        <v>2.5</v>
      </c>
      <c r="B27" s="229">
        <f t="shared" si="4"/>
        <v>4.8056584125471131</v>
      </c>
      <c r="C27" s="229">
        <f t="shared" si="4"/>
        <v>5.549540202497897</v>
      </c>
      <c r="D27" s="229">
        <f t="shared" si="4"/>
        <v>5.3646071277932883</v>
      </c>
      <c r="E27" s="229">
        <f t="shared" si="4"/>
        <v>5.4805331462644675</v>
      </c>
      <c r="F27" s="229">
        <f t="shared" si="4"/>
        <v>6.2513349204778095</v>
      </c>
      <c r="G27" s="229">
        <f t="shared" si="4"/>
        <v>4.8056584125471131</v>
      </c>
      <c r="H27" s="226">
        <f t="shared" ref="H27:J27" si="6">H$4/(1+H$5*($A27^H$6))</f>
        <v>0.29086942689633233</v>
      </c>
      <c r="I27" s="226">
        <f t="shared" si="6"/>
        <v>1.4322250639386189</v>
      </c>
      <c r="J27" s="226">
        <f t="shared" si="6"/>
        <v>0.97412480974124804</v>
      </c>
    </row>
    <row r="29" spans="1:10" x14ac:dyDescent="0.2">
      <c r="A29" s="231" t="s">
        <v>210</v>
      </c>
      <c r="B29" s="231"/>
    </row>
    <row r="30" spans="1:10" x14ac:dyDescent="0.2">
      <c r="A30" s="231" t="s">
        <v>127</v>
      </c>
      <c r="B30" s="231"/>
    </row>
    <row r="31" spans="1:10" x14ac:dyDescent="0.2">
      <c r="A31" s="231" t="s">
        <v>128</v>
      </c>
      <c r="B31" s="231"/>
    </row>
    <row r="32" spans="1:10" x14ac:dyDescent="0.2">
      <c r="A32" s="231"/>
      <c r="B32" s="231"/>
    </row>
    <row r="34" spans="1:1" x14ac:dyDescent="0.2">
      <c r="A34" s="232"/>
    </row>
    <row r="35" spans="1:1" x14ac:dyDescent="0.2">
      <c r="A35" s="232"/>
    </row>
    <row r="36" spans="1:1" x14ac:dyDescent="0.2">
      <c r="A36" s="232"/>
    </row>
  </sheetData>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21A5-FFA4-4B76-9AEA-1673786B145A}">
  <sheetPr>
    <tabColor theme="0" tint="-0.499984740745262"/>
  </sheetPr>
  <dimension ref="A1:AK212"/>
  <sheetViews>
    <sheetView view="pageBreakPreview" zoomScale="80" zoomScaleNormal="80" zoomScaleSheetLayoutView="80" workbookViewId="0">
      <selection activeCell="A2" sqref="A2"/>
    </sheetView>
  </sheetViews>
  <sheetFormatPr defaultColWidth="8.85546875" defaultRowHeight="12.75" x14ac:dyDescent="0.2"/>
  <cols>
    <col min="1" max="1" width="4.5703125" style="280" customWidth="1"/>
    <col min="2" max="2" width="32.7109375" style="268" customWidth="1"/>
    <col min="3" max="3" width="8.7109375" style="268" customWidth="1"/>
    <col min="4" max="4" width="8.7109375" style="280" customWidth="1"/>
    <col min="5" max="6" width="8.7109375" style="268" customWidth="1"/>
    <col min="7" max="7" width="8.7109375" style="279" customWidth="1"/>
    <col min="8" max="8" width="8.7109375" style="268" customWidth="1"/>
    <col min="9" max="22" width="10.42578125" style="268" customWidth="1"/>
    <col min="23" max="23" width="8.85546875" style="268" customWidth="1"/>
    <col min="24" max="25" width="8.85546875" style="268"/>
    <col min="26" max="27" width="10.5703125" style="268" bestFit="1" customWidth="1"/>
    <col min="28" max="29" width="8.85546875" style="268"/>
    <col min="30" max="30" width="9" style="268" bestFit="1" customWidth="1"/>
    <col min="31" max="31" width="10.5703125" style="268" bestFit="1" customWidth="1"/>
    <col min="32" max="32" width="9.5703125" style="268" bestFit="1" customWidth="1"/>
    <col min="33" max="16384" width="8.85546875" style="268"/>
  </cols>
  <sheetData>
    <row r="1" spans="1:37" ht="23.25" x14ac:dyDescent="0.35">
      <c r="A1" s="466" t="s">
        <v>556</v>
      </c>
      <c r="B1" s="466"/>
      <c r="C1" s="466"/>
      <c r="D1" s="466"/>
      <c r="E1" s="466"/>
      <c r="F1" s="466"/>
      <c r="G1" s="466"/>
      <c r="H1" s="466"/>
      <c r="I1" s="466"/>
      <c r="J1" s="267"/>
      <c r="K1" s="267"/>
      <c r="L1" s="267"/>
      <c r="M1" s="267"/>
      <c r="N1" s="267"/>
      <c r="O1" s="267"/>
      <c r="P1" s="267"/>
      <c r="Q1" s="267"/>
      <c r="R1" s="267"/>
      <c r="S1" s="267"/>
      <c r="T1" s="267"/>
      <c r="U1" s="267"/>
      <c r="V1" s="267"/>
      <c r="W1" s="267"/>
    </row>
    <row r="2" spans="1:37" s="270" customFormat="1" x14ac:dyDescent="0.2">
      <c r="A2" s="269"/>
      <c r="B2" s="269"/>
      <c r="C2" s="269"/>
      <c r="D2" s="269"/>
      <c r="E2" s="269"/>
      <c r="F2" s="269"/>
      <c r="G2" s="269"/>
      <c r="H2" s="269"/>
      <c r="I2" s="269"/>
      <c r="J2" s="269"/>
      <c r="K2" s="269"/>
      <c r="L2" s="269"/>
      <c r="M2" s="269"/>
      <c r="N2" s="269"/>
      <c r="O2" s="269"/>
      <c r="P2" s="269"/>
      <c r="Q2" s="269"/>
      <c r="R2" s="269"/>
      <c r="S2" s="269"/>
      <c r="T2" s="269"/>
      <c r="U2" s="269"/>
      <c r="V2" s="269"/>
      <c r="W2" s="269"/>
      <c r="AI2" s="271" t="s">
        <v>291</v>
      </c>
      <c r="AJ2" s="272"/>
    </row>
    <row r="3" spans="1:37" s="270" customFormat="1" ht="13.9" customHeight="1" x14ac:dyDescent="0.2">
      <c r="A3" s="269" t="s">
        <v>403</v>
      </c>
      <c r="B3" s="273" t="s">
        <v>404</v>
      </c>
      <c r="C3" s="269"/>
      <c r="D3" s="214" t="s">
        <v>467</v>
      </c>
      <c r="E3" s="269"/>
      <c r="F3" s="269"/>
      <c r="G3" s="269"/>
      <c r="H3" s="269"/>
      <c r="I3" s="274" t="s">
        <v>453</v>
      </c>
      <c r="J3" s="269"/>
      <c r="K3" s="269"/>
      <c r="L3" s="269"/>
      <c r="M3" s="269"/>
      <c r="N3" s="269"/>
      <c r="O3" s="269"/>
      <c r="P3" s="269"/>
      <c r="Q3" s="269"/>
      <c r="R3" s="269"/>
      <c r="S3" s="269"/>
      <c r="T3" s="269"/>
      <c r="U3" s="269"/>
      <c r="V3" s="269"/>
      <c r="W3" s="269"/>
      <c r="AI3" s="275">
        <v>0.09</v>
      </c>
      <c r="AJ3" s="272" t="s">
        <v>460</v>
      </c>
    </row>
    <row r="4" spans="1:37" x14ac:dyDescent="0.2">
      <c r="A4" s="276">
        <v>1</v>
      </c>
      <c r="B4" s="277" t="s">
        <v>499</v>
      </c>
      <c r="D4" s="278">
        <v>10000</v>
      </c>
      <c r="I4" s="272" t="s">
        <v>4</v>
      </c>
    </row>
    <row r="5" spans="1:37" x14ac:dyDescent="0.2">
      <c r="A5" s="276"/>
      <c r="B5" s="277"/>
    </row>
    <row r="6" spans="1:37" x14ac:dyDescent="0.2">
      <c r="A6" s="276"/>
      <c r="B6" s="277"/>
      <c r="F6" s="214" t="s">
        <v>467</v>
      </c>
      <c r="Z6" s="281" t="s">
        <v>261</v>
      </c>
      <c r="AA6" s="281" t="s">
        <v>161</v>
      </c>
      <c r="AB6" s="281" t="s">
        <v>4</v>
      </c>
      <c r="AC6" s="281" t="s">
        <v>3</v>
      </c>
      <c r="AD6" s="282" t="s">
        <v>160</v>
      </c>
      <c r="AI6" s="281"/>
      <c r="AJ6" s="214" t="s">
        <v>483</v>
      </c>
      <c r="AK6" s="283"/>
    </row>
    <row r="7" spans="1:37" x14ac:dyDescent="0.2">
      <c r="A7" s="269"/>
      <c r="B7" s="273"/>
      <c r="C7" s="281" t="s">
        <v>464</v>
      </c>
      <c r="D7" s="214" t="s">
        <v>465</v>
      </c>
      <c r="E7" s="281" t="s">
        <v>466</v>
      </c>
      <c r="F7" s="214" t="s">
        <v>470</v>
      </c>
      <c r="G7" s="281" t="s">
        <v>471</v>
      </c>
      <c r="H7" s="214" t="s">
        <v>472</v>
      </c>
      <c r="I7" s="281" t="s">
        <v>473</v>
      </c>
      <c r="W7" s="272" t="str">
        <f>B8 &amp; ", " &amp; D7</f>
        <v>Principal Arterial, 2 lanes</v>
      </c>
      <c r="X7" s="272"/>
      <c r="Y7" s="272"/>
      <c r="Z7" s="278">
        <f>VLOOKUP($B8,ArtExpFactors,2,FALSE)*VLOOKUP($B8,ArtExpFactors,3,FALSE)*SUMIFS($D$67:$D$68,$B$67:$B$68,"*"&amp;RIGHT($B8,4))*SUMIFS($D$72:$D$74,$B$72:$B$74,"*"&amp;RIGHT($B8,4))*VLOOKUP($B8,ArtExpFactors,4,FALSE)*C$78</f>
        <v>1022.1354</v>
      </c>
      <c r="AA7" s="278">
        <f>VLOOKUP($B8,ArtExpFactors,2,FALSE)*VLOOKUP($B8,ArtExpFactors,3,FALSE)*SUMIFS($D$67:$D$68,$B$67:$B$68,"*"&amp;RIGHT($B8,4))*SUMIFS($D$72:$D$74,$B$72:$B$74,"*"&amp;RIGHT($B8,4))*VLOOKUP($B8,ArtExpFactors,4,FALSE)*D$78</f>
        <v>975.67470000000003</v>
      </c>
      <c r="AB7" s="278">
        <f>VLOOKUP($B8,ArtExpFactors,2,FALSE)*VLOOKUP($B8,ArtExpFactors,3,FALSE)*SUMIFS($D$67:$D$68,$B$67:$B$68,"*"&amp;RIGHT($B8,4))*SUMIFS($D$72:$D$74,$B$72:$B$74,"*"&amp;RIGHT($B8,4))*VLOOKUP($B8,ArtExpFactors,4,FALSE)*E$78</f>
        <v>929.21399999999994</v>
      </c>
      <c r="AC7" s="278">
        <f>VLOOKUP($B8,ArtExpFactors,2,FALSE)*VLOOKUP($B8,ArtExpFactors,3,FALSE)*SUMIFS($D$67:$D$68,$B$67:$B$68,"*"&amp;RIGHT($B8,4))*SUMIFS($D$72:$D$74,$B$72:$B$74,"*"&amp;RIGHT($B8,4))*VLOOKUP($B8,ArtExpFactors,4,FALSE)*F$78</f>
        <v>882.75329999999985</v>
      </c>
      <c r="AD7" s="278">
        <f>VLOOKUP($B8,ArtExpFactors,2,FALSE)*VLOOKUP($B8,ArtExpFactors,3,FALSE)*SUMIFS($D$67:$D$68,$B$67:$B$68,"*"&amp;RIGHT($B8,4))*SUMIFS($D$72:$D$74,$B$72:$B$74,"*"&amp;RIGHT($B8,4))*VLOOKUP($B8,ArtExpFactors,4,FALSE)*G$78</f>
        <v>836.29259999999999</v>
      </c>
      <c r="AI7" s="281" t="s">
        <v>464</v>
      </c>
      <c r="AJ7" s="214" t="s">
        <v>465</v>
      </c>
      <c r="AK7" s="281" t="s">
        <v>466</v>
      </c>
    </row>
    <row r="8" spans="1:37" x14ac:dyDescent="0.2">
      <c r="A8" s="276">
        <v>2</v>
      </c>
      <c r="B8" s="272" t="s">
        <v>454</v>
      </c>
      <c r="C8" s="284">
        <f t="shared" ref="C8:F11" si="0">VLOOKUP($B8,ArtExpFactors,2,FALSE)*VLOOKUP($B8,ArtExpFactors,3,FALSE)*SUMIFS(C$67:C$68,$B$67:$B$68,"*"&amp;RIGHT($B8,4))*SUMIFS(C$72:C$74,$B$72:$B$74,"*"&amp;RIGHT($B8,4))*VLOOKUP($B8,ArtExpFactors,4,FALSE)*HLOOKUP($I$4,ATypeCap,2,FALSE)</f>
        <v>968.24</v>
      </c>
      <c r="D8" s="284">
        <f t="shared" si="0"/>
        <v>929.21399999999994</v>
      </c>
      <c r="E8" s="284">
        <f t="shared" si="0"/>
        <v>890.08920000000001</v>
      </c>
      <c r="F8" s="284">
        <f t="shared" si="0"/>
        <v>869.44</v>
      </c>
      <c r="G8" s="285">
        <f>F8*F8/E8</f>
        <v>849.26984126984132</v>
      </c>
      <c r="H8" s="285">
        <f>G8*G8/F8</f>
        <v>829.56761051999149</v>
      </c>
      <c r="I8" s="285">
        <f>H8*H8/G8</f>
        <v>810.32245227837996</v>
      </c>
      <c r="W8" s="272" t="str">
        <f>B8 &amp; ", " &amp; E7</f>
        <v>Principal Arterial, 3 lanes</v>
      </c>
      <c r="X8" s="272"/>
      <c r="Y8" s="272"/>
      <c r="Z8" s="278">
        <f>VLOOKUP($B8,ArtExpFactors,2,FALSE)*VLOOKUP($B8,ArtExpFactors,3,FALSE)*SUMIFS($E$67:$E$68,$B$67:$B$68,"*"&amp;RIGHT($B8,4))*SUMIFS($E$72:$E$74,$B$72:$B$74,"*"&amp;RIGHT($B8,4))*VLOOKUP($B8,ArtExpFactors,4,FALSE)*C$78</f>
        <v>979.09812000000011</v>
      </c>
      <c r="AA8" s="278">
        <f>VLOOKUP($B8,ArtExpFactors,2,FALSE)*VLOOKUP($B8,ArtExpFactors,3,FALSE)*SUMIFS($E$67:$E$68,$B$67:$B$68,"*"&amp;RIGHT($B8,4))*SUMIFS($E$72:$E$74,$B$72:$B$74,"*"&amp;RIGHT($B8,4))*VLOOKUP($B8,ArtExpFactors,4,FALSE)*D$78</f>
        <v>934.59366</v>
      </c>
      <c r="AB8" s="278">
        <f>VLOOKUP($B8,ArtExpFactors,2,FALSE)*VLOOKUP($B8,ArtExpFactors,3,FALSE)*SUMIFS($E$67:$E$68,$B$67:$B$68,"*"&amp;RIGHT($B8,4))*SUMIFS($E$72:$E$74,$B$72:$B$74,"*"&amp;RIGHT($B8,4))*VLOOKUP($B8,ArtExpFactors,4,FALSE)*E$78</f>
        <v>890.08920000000001</v>
      </c>
      <c r="AC8" s="278">
        <f>VLOOKUP($B8,ArtExpFactors,2,FALSE)*VLOOKUP($B8,ArtExpFactors,3,FALSE)*SUMIFS($E$67:$E$68,$B$67:$B$68,"*"&amp;RIGHT($B8,4))*SUMIFS($E$72:$E$74,$B$72:$B$74,"*"&amp;RIGHT($B8,4))*VLOOKUP($B8,ArtExpFactors,4,FALSE)*F$78</f>
        <v>845.58474000000001</v>
      </c>
      <c r="AD8" s="278">
        <f>VLOOKUP($B8,ArtExpFactors,2,FALSE)*VLOOKUP($B8,ArtExpFactors,3,FALSE)*SUMIFS($E$67:$E$68,$B$67:$B$68,"*"&amp;RIGHT($B8,4))*SUMIFS($E$72:$E$74,$B$72:$B$74,"*"&amp;RIGHT($B8,4))*VLOOKUP($B8,ArtExpFactors,4,FALSE)*G$78</f>
        <v>801.08028000000002</v>
      </c>
      <c r="AI8" s="286">
        <f t="shared" ref="AI8:AK11" si="1">IFERROR(ROUND(C8/$AI$3*2*LEFT(AI$7,1),-3),"")</f>
        <v>22000</v>
      </c>
      <c r="AJ8" s="286">
        <f t="shared" si="1"/>
        <v>41000</v>
      </c>
      <c r="AK8" s="286">
        <f t="shared" si="1"/>
        <v>59000</v>
      </c>
    </row>
    <row r="9" spans="1:37" x14ac:dyDescent="0.2">
      <c r="A9" s="276">
        <v>3</v>
      </c>
      <c r="B9" s="272" t="s">
        <v>408</v>
      </c>
      <c r="C9" s="284">
        <f>VLOOKUP($B9,ArtExpFactors,2,FALSE)*VLOOKUP($B9,ArtExpFactors,3,FALSE)*SUMIFS(C$67:C$68,$B$67:$B$68,"*"&amp;RIGHT($B9,4))*SUMIFS(C$72:C$74,$B$72:$B$74,"*"&amp;RIGHT($B9,4))*VLOOKUP($B9,ArtExpFactors,4,FALSE)*HLOOKUP($I$4,ATypeCap,2,FALSE)</f>
        <v>893.76</v>
      </c>
      <c r="D9" s="284">
        <f t="shared" si="0"/>
        <v>857.73599999999988</v>
      </c>
      <c r="E9" s="284">
        <f t="shared" si="0"/>
        <v>821.62080000000003</v>
      </c>
      <c r="F9" s="284">
        <f t="shared" si="0"/>
        <v>802.56</v>
      </c>
      <c r="G9" s="285">
        <f t="shared" ref="G9:I11" si="2">F9*F9/E9</f>
        <v>783.94139194139177</v>
      </c>
      <c r="H9" s="285">
        <f t="shared" si="2"/>
        <v>765.75471740306875</v>
      </c>
      <c r="I9" s="285">
        <f t="shared" si="2"/>
        <v>747.98995594927328</v>
      </c>
      <c r="W9" s="272" t="str">
        <f>B9 &amp; ", " &amp; D7</f>
        <v>Minor Arterial, 2 lanes</v>
      </c>
      <c r="Z9" s="278">
        <f>VLOOKUP($B9,ArtExpFactors,2,FALSE)*VLOOKUP($B9,ArtExpFactors,3,FALSE)*SUMIFS($D$67:$D$68,$B$67:$B$68,"*"&amp;RIGHT($B9,4))*SUMIFS($D$72:$D$74,$B$72:$B$74,"*"&amp;RIGHT($B9,4))*VLOOKUP($B9,ArtExpFactors,4,FALSE)*C$78</f>
        <v>943.50959999999998</v>
      </c>
      <c r="AA9" s="278">
        <f>VLOOKUP($B9,ArtExpFactors,2,FALSE)*VLOOKUP($B9,ArtExpFactors,3,FALSE)*SUMIFS($D$67:$D$68,$B$67:$B$68,"*"&amp;RIGHT($B9,4))*SUMIFS($D$72:$D$74,$B$72:$B$74,"*"&amp;RIGHT($B9,4))*VLOOKUP($B9,ArtExpFactors,4,FALSE)*D$78</f>
        <v>900.62279999999987</v>
      </c>
      <c r="AB9" s="278">
        <f>VLOOKUP($B9,ArtExpFactors,2,FALSE)*VLOOKUP($B9,ArtExpFactors,3,FALSE)*SUMIFS($D$67:$D$68,$B$67:$B$68,"*"&amp;RIGHT($B9,4))*SUMIFS($D$72:$D$74,$B$72:$B$74,"*"&amp;RIGHT($B9,4))*VLOOKUP($B9,ArtExpFactors,4,FALSE)*E$78</f>
        <v>857.73599999999988</v>
      </c>
      <c r="AC9" s="278">
        <f>VLOOKUP($B9,ArtExpFactors,2,FALSE)*VLOOKUP($B9,ArtExpFactors,3,FALSE)*SUMIFS($D$67:$D$68,$B$67:$B$68,"*"&amp;RIGHT($B9,4))*SUMIFS($D$72:$D$74,$B$72:$B$74,"*"&amp;RIGHT($B9,4))*VLOOKUP($B9,ArtExpFactors,4,FALSE)*F$78</f>
        <v>814.84919999999988</v>
      </c>
      <c r="AD9" s="278">
        <f>VLOOKUP($B9,ArtExpFactors,2,FALSE)*VLOOKUP($B9,ArtExpFactors,3,FALSE)*SUMIFS($D$67:$D$68,$B$67:$B$68,"*"&amp;RIGHT($B9,4))*SUMIFS($D$72:$D$74,$B$72:$B$74,"*"&amp;RIGHT($B9,4))*VLOOKUP($B9,ArtExpFactors,4,FALSE)*G$78</f>
        <v>771.96239999999989</v>
      </c>
      <c r="AI9" s="286">
        <f t="shared" si="1"/>
        <v>20000</v>
      </c>
      <c r="AJ9" s="286">
        <f t="shared" si="1"/>
        <v>38000</v>
      </c>
      <c r="AK9" s="286">
        <f t="shared" si="1"/>
        <v>55000</v>
      </c>
    </row>
    <row r="10" spans="1:37" x14ac:dyDescent="0.2">
      <c r="A10" s="276">
        <v>4</v>
      </c>
      <c r="B10" s="272" t="s">
        <v>420</v>
      </c>
      <c r="C10" s="284">
        <f t="shared" si="0"/>
        <v>748</v>
      </c>
      <c r="D10" s="284">
        <f t="shared" si="0"/>
        <v>710.6</v>
      </c>
      <c r="E10" s="284">
        <f t="shared" si="0"/>
        <v>680.68</v>
      </c>
      <c r="F10" s="284">
        <f t="shared" si="0"/>
        <v>658.24</v>
      </c>
      <c r="G10" s="285">
        <f t="shared" si="2"/>
        <v>636.53978021978025</v>
      </c>
      <c r="H10" s="285">
        <f t="shared" si="2"/>
        <v>615.55495230044687</v>
      </c>
      <c r="I10" s="285">
        <f t="shared" si="2"/>
        <v>595.26193189493767</v>
      </c>
      <c r="W10" s="272" t="str">
        <f>B9 &amp; ", " &amp; E7</f>
        <v>Minor Arterial, 3 lanes</v>
      </c>
      <c r="Z10" s="278">
        <f>VLOOKUP($B9,ArtExpFactors,2,FALSE)*VLOOKUP($B9,ArtExpFactors,3,FALSE)*SUMIFS($E$67:$E$68,$B$67:$B$68,"*"&amp;RIGHT($B9,4))*SUMIFS($E$72:$E$74,$B$72:$B$74,"*"&amp;RIGHT($B9,4))*VLOOKUP($B9,ArtExpFactors,4,FALSE)*C$78</f>
        <v>903.78288000000009</v>
      </c>
      <c r="AA10" s="278">
        <f>VLOOKUP($B9,ArtExpFactors,2,FALSE)*VLOOKUP($B9,ArtExpFactors,3,FALSE)*SUMIFS($E$67:$E$68,$B$67:$B$68,"*"&amp;RIGHT($B9,4))*SUMIFS($E$72:$E$74,$B$72:$B$74,"*"&amp;RIGHT($B9,4))*VLOOKUP($B9,ArtExpFactors,4,FALSE)*D$78</f>
        <v>862.70184000000006</v>
      </c>
      <c r="AB10" s="278">
        <f>VLOOKUP($B9,ArtExpFactors,2,FALSE)*VLOOKUP($B9,ArtExpFactors,3,FALSE)*SUMIFS($E$67:$E$68,$B$67:$B$68,"*"&amp;RIGHT($B9,4))*SUMIFS($E$72:$E$74,$B$72:$B$74,"*"&amp;RIGHT($B9,4))*VLOOKUP($B9,ArtExpFactors,4,FALSE)*E$78</f>
        <v>821.62080000000003</v>
      </c>
      <c r="AC10" s="278">
        <f>VLOOKUP($B9,ArtExpFactors,2,FALSE)*VLOOKUP($B9,ArtExpFactors,3,FALSE)*SUMIFS($E$67:$E$68,$B$67:$B$68,"*"&amp;RIGHT($B9,4))*SUMIFS($E$72:$E$74,$B$72:$B$74,"*"&amp;RIGHT($B9,4))*VLOOKUP($B9,ArtExpFactors,4,FALSE)*F$78</f>
        <v>780.53976</v>
      </c>
      <c r="AD10" s="278">
        <f>VLOOKUP($B9,ArtExpFactors,2,FALSE)*VLOOKUP($B9,ArtExpFactors,3,FALSE)*SUMIFS($E$67:$E$68,$B$67:$B$68,"*"&amp;RIGHT($B9,4))*SUMIFS($E$72:$E$74,$B$72:$B$74,"*"&amp;RIGHT($B9,4))*VLOOKUP($B9,ArtExpFactors,4,FALSE)*G$78</f>
        <v>739.45872000000008</v>
      </c>
      <c r="AI10" s="286">
        <f t="shared" si="1"/>
        <v>17000</v>
      </c>
      <c r="AJ10" s="286">
        <f t="shared" si="1"/>
        <v>32000</v>
      </c>
      <c r="AK10" s="286">
        <f t="shared" si="1"/>
        <v>45000</v>
      </c>
    </row>
    <row r="11" spans="1:37" x14ac:dyDescent="0.2">
      <c r="A11" s="276">
        <v>5</v>
      </c>
      <c r="B11" s="272" t="s">
        <v>421</v>
      </c>
      <c r="C11" s="284">
        <f t="shared" si="0"/>
        <v>525</v>
      </c>
      <c r="D11" s="284">
        <f t="shared" si="0"/>
        <v>498.74999999999994</v>
      </c>
      <c r="E11" s="284">
        <f t="shared" si="0"/>
        <v>477.74999999999994</v>
      </c>
      <c r="F11" s="284">
        <f t="shared" si="0"/>
        <v>461.99999999999994</v>
      </c>
      <c r="G11" s="285">
        <f t="shared" si="2"/>
        <v>446.76923076923072</v>
      </c>
      <c r="H11" s="285">
        <f t="shared" si="2"/>
        <v>432.04057480980549</v>
      </c>
      <c r="I11" s="285">
        <f t="shared" si="2"/>
        <v>417.79747893695475</v>
      </c>
      <c r="W11" s="272" t="str">
        <f>B10 &amp; ", " &amp; C7</f>
        <v>Major Collector, 1 lane</v>
      </c>
      <c r="Z11" s="278">
        <f>VLOOKUP($B10,ArtExpFactors,2,FALSE)*VLOOKUP($B10,ArtExpFactors,3,FALSE)*SUMIFS($C$67:$C$68,$B$67:$B$68,"*"&amp;RIGHT($B10,4))*SUMIFS($C$72:$C$74,$B$72:$B$74,"*"&amp;RIGHT($B10,4))*VLOOKUP($B10,ArtExpFactors,4,FALSE)*C$78</f>
        <v>822.80000000000007</v>
      </c>
      <c r="AA11" s="278">
        <f>VLOOKUP($B10,ArtExpFactors,2,FALSE)*VLOOKUP($B10,ArtExpFactors,3,FALSE)*SUMIFS($C$67:$C$68,$B$67:$B$68,"*"&amp;RIGHT($B10,4))*SUMIFS($C$72:$C$74,$B$72:$B$74,"*"&amp;RIGHT($B10,4))*VLOOKUP($B10,ArtExpFactors,4,FALSE)*D$78</f>
        <v>785.4</v>
      </c>
      <c r="AB11" s="278">
        <f>VLOOKUP($B10,ArtExpFactors,2,FALSE)*VLOOKUP($B10,ArtExpFactors,3,FALSE)*SUMIFS($C$67:$C$68,$B$67:$B$68,"*"&amp;RIGHT($B10,4))*SUMIFS($C$72:$C$74,$B$72:$B$74,"*"&amp;RIGHT($B10,4))*VLOOKUP($B10,ArtExpFactors,4,FALSE)*E$78</f>
        <v>748</v>
      </c>
      <c r="AC11" s="278">
        <f>VLOOKUP($B10,ArtExpFactors,2,FALSE)*VLOOKUP($B10,ArtExpFactors,3,FALSE)*SUMIFS($C$67:$C$68,$B$67:$B$68,"*"&amp;RIGHT($B10,4))*SUMIFS($C$72:$C$74,$B$72:$B$74,"*"&amp;RIGHT($B10,4))*VLOOKUP($B10,ArtExpFactors,4,FALSE)*F$78</f>
        <v>710.6</v>
      </c>
      <c r="AD11" s="278">
        <f>VLOOKUP($B10,ArtExpFactors,2,FALSE)*VLOOKUP($B10,ArtExpFactors,3,FALSE)*SUMIFS($C$67:$C$68,$B$67:$B$68,"*"&amp;RIGHT($B10,4))*SUMIFS($C$72:$C$74,$B$72:$B$74,"*"&amp;RIGHT($B10,4))*VLOOKUP($B10,ArtExpFactors,4,FALSE)*G$78</f>
        <v>673.2</v>
      </c>
      <c r="AI11" s="286">
        <f t="shared" si="1"/>
        <v>12000</v>
      </c>
      <c r="AJ11" s="286">
        <f t="shared" si="1"/>
        <v>22000</v>
      </c>
      <c r="AK11" s="286">
        <f t="shared" si="1"/>
        <v>32000</v>
      </c>
    </row>
    <row r="12" spans="1:37" x14ac:dyDescent="0.2">
      <c r="A12" s="276">
        <v>6</v>
      </c>
      <c r="B12" s="272" t="s">
        <v>159</v>
      </c>
      <c r="C12" s="285">
        <f>C11*0.8</f>
        <v>420</v>
      </c>
      <c r="D12" s="285">
        <f t="shared" ref="D12:I12" si="3">D11*0.8</f>
        <v>399</v>
      </c>
      <c r="E12" s="285">
        <f t="shared" si="3"/>
        <v>382.2</v>
      </c>
      <c r="F12" s="285">
        <f t="shared" si="3"/>
        <v>369.59999999999997</v>
      </c>
      <c r="G12" s="285">
        <f t="shared" si="3"/>
        <v>357.4153846153846</v>
      </c>
      <c r="H12" s="285">
        <f t="shared" si="3"/>
        <v>345.63245984784442</v>
      </c>
      <c r="I12" s="285">
        <f t="shared" si="3"/>
        <v>334.23798314956383</v>
      </c>
      <c r="W12" s="272" t="str">
        <f>B10 &amp; ", " &amp; D7</f>
        <v>Major Collector, 2 lanes</v>
      </c>
      <c r="Z12" s="278">
        <f>VLOOKUP($B10,ArtExpFactors,2,FALSE)*VLOOKUP($B10,ArtExpFactors,3,FALSE)*SUMIFS($D$67:$D$68,$B$67:$B$68,"*"&amp;RIGHT($B10,4))*SUMIFS($D$72:$D$74,$B$72:$B$74,"*"&amp;RIGHT($B10,4))*VLOOKUP($B10,ArtExpFactors,4,FALSE)*C$78</f>
        <v>781.66000000000008</v>
      </c>
      <c r="AA12" s="278">
        <f>VLOOKUP($B10,ArtExpFactors,2,FALSE)*VLOOKUP($B10,ArtExpFactors,3,FALSE)*SUMIFS($D$67:$D$68,$B$67:$B$68,"*"&amp;RIGHT($B10,4))*SUMIFS($D$72:$D$74,$B$72:$B$74,"*"&amp;RIGHT($B10,4))*VLOOKUP($B10,ArtExpFactors,4,FALSE)*D$78</f>
        <v>746.13000000000011</v>
      </c>
      <c r="AB12" s="278">
        <f>VLOOKUP($B10,ArtExpFactors,2,FALSE)*VLOOKUP($B10,ArtExpFactors,3,FALSE)*SUMIFS($D$67:$D$68,$B$67:$B$68,"*"&amp;RIGHT($B10,4))*SUMIFS($D$72:$D$74,$B$72:$B$74,"*"&amp;RIGHT($B10,4))*VLOOKUP($B10,ArtExpFactors,4,FALSE)*E$78</f>
        <v>710.6</v>
      </c>
      <c r="AC12" s="278">
        <f>VLOOKUP($B10,ArtExpFactors,2,FALSE)*VLOOKUP($B10,ArtExpFactors,3,FALSE)*SUMIFS($D$67:$D$68,$B$67:$B$68,"*"&amp;RIGHT($B10,4))*SUMIFS($D$72:$D$74,$B$72:$B$74,"*"&amp;RIGHT($B10,4))*VLOOKUP($B10,ArtExpFactors,4,FALSE)*F$78</f>
        <v>675.06999999999994</v>
      </c>
      <c r="AD12" s="278">
        <f>VLOOKUP($B10,ArtExpFactors,2,FALSE)*VLOOKUP($B10,ArtExpFactors,3,FALSE)*SUMIFS($D$67:$D$68,$B$67:$B$68,"*"&amp;RIGHT($B10,4))*SUMIFS($D$72:$D$74,$B$72:$B$74,"*"&amp;RIGHT($B10,4))*VLOOKUP($B10,ArtExpFactors,4,FALSE)*G$78</f>
        <v>639.54000000000008</v>
      </c>
      <c r="AI12" s="286">
        <f>IFERROR(ROUND(C12/$AI$3*2*LEFT(AI$7,1),-3),"")</f>
        <v>9000</v>
      </c>
      <c r="AJ12" s="286"/>
      <c r="AK12" s="286"/>
    </row>
    <row r="13" spans="1:37" x14ac:dyDescent="0.2">
      <c r="A13" s="276">
        <v>7</v>
      </c>
      <c r="B13" s="272" t="s">
        <v>498</v>
      </c>
      <c r="C13" s="287">
        <v>300</v>
      </c>
      <c r="D13" s="285">
        <f>C13</f>
        <v>300</v>
      </c>
      <c r="E13" s="285">
        <f t="shared" ref="E13:I13" si="4">D13</f>
        <v>300</v>
      </c>
      <c r="F13" s="285">
        <f t="shared" si="4"/>
        <v>300</v>
      </c>
      <c r="G13" s="285">
        <f t="shared" si="4"/>
        <v>300</v>
      </c>
      <c r="H13" s="285">
        <f t="shared" si="4"/>
        <v>300</v>
      </c>
      <c r="I13" s="285">
        <f t="shared" si="4"/>
        <v>300</v>
      </c>
      <c r="W13" s="272" t="str">
        <f>B11 &amp; ", " &amp; C7</f>
        <v>Minor Collector, 1 lane</v>
      </c>
      <c r="Z13" s="278">
        <f>VLOOKUP($B11,ArtExpFactors,2,FALSE)*VLOOKUP($B11,ArtExpFactors,3,FALSE)*SUMIFS($C$67:$C$68,$B$67:$B$68,"*"&amp;RIGHT($B11,4))*SUMIFS($C$72:$C$74,$B$72:$B$74,"*"&amp;RIGHT($B11,4))*VLOOKUP($B11,ArtExpFactors,4,FALSE)*C$78</f>
        <v>577.5</v>
      </c>
      <c r="AA13" s="278">
        <f>VLOOKUP($B11,ArtExpFactors,2,FALSE)*VLOOKUP($B11,ArtExpFactors,3,FALSE)*SUMIFS($C$67:$C$68,$B$67:$B$68,"*"&amp;RIGHT($B11,4))*SUMIFS($C$72:$C$74,$B$72:$B$74,"*"&amp;RIGHT($B11,4))*VLOOKUP($B11,ArtExpFactors,4,FALSE)*D$78</f>
        <v>551.25</v>
      </c>
      <c r="AB13" s="278">
        <f>VLOOKUP($B11,ArtExpFactors,2,FALSE)*VLOOKUP($B11,ArtExpFactors,3,FALSE)*SUMIFS($C$67:$C$68,$B$67:$B$68,"*"&amp;RIGHT($B11,4))*SUMIFS($C$72:$C$74,$B$72:$B$74,"*"&amp;RIGHT($B11,4))*VLOOKUP($B11,ArtExpFactors,4,FALSE)*E$78</f>
        <v>525</v>
      </c>
      <c r="AC13" s="278">
        <f>VLOOKUP($B11,ArtExpFactors,2,FALSE)*VLOOKUP($B11,ArtExpFactors,3,FALSE)*SUMIFS($C$67:$C$68,$B$67:$B$68,"*"&amp;RIGHT($B11,4))*SUMIFS($C$72:$C$74,$B$72:$B$74,"*"&amp;RIGHT($B11,4))*VLOOKUP($B11,ArtExpFactors,4,FALSE)*F$78</f>
        <v>498.75</v>
      </c>
      <c r="AD13" s="278">
        <f>VLOOKUP($B11,ArtExpFactors,2,FALSE)*VLOOKUP($B11,ArtExpFactors,3,FALSE)*SUMIFS($C$67:$C$68,$B$67:$B$68,"*"&amp;RIGHT($B11,4))*SUMIFS($C$72:$C$74,$B$72:$B$74,"*"&amp;RIGHT($B11,4))*VLOOKUP($B11,ArtExpFactors,4,FALSE)*G$78</f>
        <v>472.5</v>
      </c>
      <c r="AI13" s="286"/>
      <c r="AJ13" s="286"/>
      <c r="AK13" s="286"/>
    </row>
    <row r="14" spans="1:37" x14ac:dyDescent="0.2">
      <c r="A14" s="288" t="s">
        <v>492</v>
      </c>
      <c r="B14" s="272"/>
      <c r="C14" s="276"/>
      <c r="D14" s="278"/>
      <c r="E14" s="272"/>
      <c r="G14" s="268"/>
      <c r="AI14" s="276"/>
      <c r="AJ14" s="278"/>
      <c r="AK14" s="272"/>
    </row>
    <row r="15" spans="1:37" x14ac:dyDescent="0.2">
      <c r="G15" s="268"/>
      <c r="W15" s="272"/>
      <c r="X15" s="272"/>
      <c r="Y15" s="272"/>
      <c r="Z15" s="281"/>
      <c r="AA15" s="281"/>
      <c r="AB15" s="281"/>
      <c r="AC15" s="281"/>
      <c r="AD15" s="281"/>
      <c r="AI15" s="279"/>
    </row>
    <row r="16" spans="1:37" x14ac:dyDescent="0.2">
      <c r="A16" s="276">
        <v>12</v>
      </c>
      <c r="B16" s="272" t="str">
        <f>'SFF 8.3'!B15</f>
        <v>Expressway, posted 60-70 mph</v>
      </c>
      <c r="C16" s="284">
        <f t="shared" ref="C16:F19" si="5">VLOOKUP($B16,ArtExpFactors,2,FALSE)*VLOOKUP($B16,ArtExpFactors,3,FALSE)*SUMIFS(C$67:C$69,$B$67:$B$69,LEFT($B16,4)&amp;"*")*SUMIFS(C$72:C$74,$B$72:$B$74,LEFT($B16,4)&amp;"*")*VLOOKUP($B16,ArtExpFactors,4,FALSE)</f>
        <v>1102</v>
      </c>
      <c r="D16" s="284">
        <f t="shared" si="5"/>
        <v>1057.9199999999998</v>
      </c>
      <c r="E16" s="284">
        <f t="shared" si="5"/>
        <v>1024.8599999999999</v>
      </c>
      <c r="F16" s="284">
        <f t="shared" si="5"/>
        <v>1002.8199999999999</v>
      </c>
      <c r="G16" s="285">
        <f>F16*F16/E16</f>
        <v>981.25397849462354</v>
      </c>
      <c r="H16" s="285">
        <f>G16*G16/F16</f>
        <v>960.15174239796499</v>
      </c>
      <c r="I16" s="285">
        <f>H16*H16/G16</f>
        <v>939.50331783026684</v>
      </c>
      <c r="W16" s="272"/>
      <c r="X16" s="272"/>
      <c r="Y16" s="272"/>
      <c r="Z16" s="215"/>
      <c r="AA16" s="215"/>
      <c r="AB16" s="215"/>
      <c r="AC16" s="215"/>
      <c r="AD16" s="215"/>
      <c r="AI16" s="286">
        <f t="shared" ref="AI16:AK19" si="6">IFERROR(ROUND(C16/$AI$3*2*LEFT(AI$7,1),-3),"")</f>
        <v>24000</v>
      </c>
      <c r="AJ16" s="286">
        <f t="shared" si="6"/>
        <v>47000</v>
      </c>
      <c r="AK16" s="286">
        <f t="shared" si="6"/>
        <v>68000</v>
      </c>
    </row>
    <row r="17" spans="1:37" x14ac:dyDescent="0.2">
      <c r="A17" s="276">
        <v>13</v>
      </c>
      <c r="B17" s="272" t="str">
        <f>'SFF 8.3'!B16</f>
        <v>Expressway, posted 55-65 mph</v>
      </c>
      <c r="C17" s="284">
        <f t="shared" si="5"/>
        <v>1064</v>
      </c>
      <c r="D17" s="284">
        <f t="shared" si="5"/>
        <v>1021.44</v>
      </c>
      <c r="E17" s="284">
        <f t="shared" si="5"/>
        <v>989.5200000000001</v>
      </c>
      <c r="F17" s="284">
        <f t="shared" si="5"/>
        <v>968.24000000000012</v>
      </c>
      <c r="G17" s="285">
        <f t="shared" ref="G17:I19" si="7">F17*F17/E17</f>
        <v>947.41763440860223</v>
      </c>
      <c r="H17" s="285">
        <f t="shared" si="7"/>
        <v>927.04306162562148</v>
      </c>
      <c r="I17" s="285">
        <f t="shared" si="7"/>
        <v>907.10665169818867</v>
      </c>
      <c r="W17" s="272"/>
      <c r="X17" s="272"/>
      <c r="Y17" s="272"/>
      <c r="Z17" s="215"/>
      <c r="AA17" s="215"/>
      <c r="AB17" s="215"/>
      <c r="AC17" s="215"/>
      <c r="AD17" s="215"/>
      <c r="AI17" s="286">
        <f t="shared" si="6"/>
        <v>24000</v>
      </c>
      <c r="AJ17" s="286">
        <f t="shared" si="6"/>
        <v>45000</v>
      </c>
      <c r="AK17" s="286">
        <f t="shared" si="6"/>
        <v>66000</v>
      </c>
    </row>
    <row r="18" spans="1:37" x14ac:dyDescent="0.2">
      <c r="A18" s="276">
        <v>14</v>
      </c>
      <c r="B18" s="272" t="str">
        <f>'SFF 8.3'!B17</f>
        <v>Expressway, posted 50-60 mph</v>
      </c>
      <c r="C18" s="284">
        <f t="shared" si="5"/>
        <v>1026</v>
      </c>
      <c r="D18" s="284">
        <f t="shared" si="5"/>
        <v>984.96</v>
      </c>
      <c r="E18" s="284">
        <f t="shared" si="5"/>
        <v>954.18000000000006</v>
      </c>
      <c r="F18" s="284">
        <f t="shared" si="5"/>
        <v>933.66000000000008</v>
      </c>
      <c r="G18" s="285">
        <f t="shared" si="7"/>
        <v>913.58129032258068</v>
      </c>
      <c r="H18" s="285">
        <f t="shared" si="7"/>
        <v>893.93438085327784</v>
      </c>
      <c r="I18" s="285">
        <f t="shared" si="7"/>
        <v>874.7099855661105</v>
      </c>
      <c r="W18" s="272"/>
      <c r="X18" s="272"/>
      <c r="Y18" s="272"/>
      <c r="Z18" s="215"/>
      <c r="AA18" s="215"/>
      <c r="AB18" s="215"/>
      <c r="AC18" s="215"/>
      <c r="AD18" s="215"/>
      <c r="AI18" s="286">
        <f t="shared" si="6"/>
        <v>23000</v>
      </c>
      <c r="AJ18" s="286">
        <f t="shared" si="6"/>
        <v>44000</v>
      </c>
      <c r="AK18" s="286">
        <f t="shared" si="6"/>
        <v>64000</v>
      </c>
    </row>
    <row r="19" spans="1:37" x14ac:dyDescent="0.2">
      <c r="A19" s="276">
        <v>15</v>
      </c>
      <c r="B19" s="272" t="str">
        <f>'SFF 8.3'!B18</f>
        <v>Expressway, posted 45-55 mph</v>
      </c>
      <c r="C19" s="284">
        <f t="shared" si="5"/>
        <v>988</v>
      </c>
      <c r="D19" s="284">
        <f t="shared" si="5"/>
        <v>948.48</v>
      </c>
      <c r="E19" s="284">
        <f t="shared" si="5"/>
        <v>918.84</v>
      </c>
      <c r="F19" s="284">
        <f t="shared" si="5"/>
        <v>899.08</v>
      </c>
      <c r="G19" s="285">
        <f t="shared" si="7"/>
        <v>879.74494623655914</v>
      </c>
      <c r="H19" s="285">
        <f t="shared" si="7"/>
        <v>860.8257000809341</v>
      </c>
      <c r="I19" s="285">
        <f t="shared" si="7"/>
        <v>842.31331943403211</v>
      </c>
      <c r="W19" s="272"/>
      <c r="X19" s="272"/>
      <c r="Y19" s="272"/>
      <c r="Z19" s="215"/>
      <c r="AA19" s="215"/>
      <c r="AB19" s="215"/>
      <c r="AC19" s="215"/>
      <c r="AD19" s="215"/>
      <c r="AI19" s="286">
        <f t="shared" si="6"/>
        <v>22000</v>
      </c>
      <c r="AJ19" s="286">
        <f t="shared" si="6"/>
        <v>42000</v>
      </c>
      <c r="AK19" s="286">
        <f t="shared" si="6"/>
        <v>61000</v>
      </c>
    </row>
    <row r="20" spans="1:37" x14ac:dyDescent="0.2">
      <c r="A20" s="276"/>
      <c r="B20" s="272"/>
      <c r="C20" s="272"/>
      <c r="D20" s="278"/>
      <c r="E20" s="272"/>
      <c r="F20" s="272"/>
      <c r="G20" s="289"/>
      <c r="H20" s="272"/>
      <c r="I20" s="272"/>
      <c r="J20" s="272"/>
      <c r="K20" s="272"/>
      <c r="L20" s="272"/>
      <c r="M20" s="272"/>
      <c r="N20" s="272"/>
      <c r="O20" s="272"/>
      <c r="P20" s="272"/>
      <c r="Q20" s="272"/>
      <c r="R20" s="272"/>
      <c r="S20" s="272"/>
      <c r="T20" s="272"/>
      <c r="U20" s="272"/>
      <c r="V20" s="272"/>
      <c r="W20" s="272"/>
      <c r="X20" s="272"/>
      <c r="Y20" s="272"/>
      <c r="Z20" s="215"/>
      <c r="AA20" s="215"/>
      <c r="AB20" s="215"/>
      <c r="AC20" s="215"/>
      <c r="AD20" s="215"/>
    </row>
    <row r="21" spans="1:37" x14ac:dyDescent="0.2">
      <c r="A21" s="276"/>
      <c r="B21" s="272"/>
      <c r="C21" s="272"/>
      <c r="D21" s="278"/>
      <c r="E21" s="272"/>
      <c r="F21" s="214" t="s">
        <v>467</v>
      </c>
      <c r="G21" s="289"/>
      <c r="H21" s="272"/>
      <c r="I21" s="272"/>
      <c r="J21" s="272"/>
      <c r="K21" s="272"/>
      <c r="L21" s="272"/>
      <c r="M21" s="272"/>
      <c r="N21" s="272"/>
      <c r="O21" s="272"/>
      <c r="P21" s="272"/>
      <c r="Q21" s="272"/>
      <c r="R21" s="272"/>
      <c r="S21" s="272"/>
      <c r="T21" s="272"/>
      <c r="U21" s="272"/>
      <c r="V21" s="272"/>
      <c r="W21" s="272"/>
      <c r="X21" s="272"/>
      <c r="Y21" s="272"/>
      <c r="Z21" s="215"/>
      <c r="AA21" s="215"/>
      <c r="AB21" s="215"/>
      <c r="AC21" s="215"/>
      <c r="AD21" s="215"/>
    </row>
    <row r="22" spans="1:37" x14ac:dyDescent="0.2">
      <c r="A22" s="276"/>
      <c r="B22" s="272"/>
      <c r="C22" s="281" t="s">
        <v>464</v>
      </c>
      <c r="D22" s="214" t="s">
        <v>465</v>
      </c>
      <c r="E22" s="281" t="s">
        <v>466</v>
      </c>
      <c r="F22" s="214" t="s">
        <v>470</v>
      </c>
      <c r="G22" s="281" t="s">
        <v>471</v>
      </c>
      <c r="H22" s="214" t="s">
        <v>472</v>
      </c>
      <c r="I22" s="281" t="s">
        <v>473</v>
      </c>
      <c r="J22" s="272"/>
      <c r="K22" s="272"/>
      <c r="L22" s="272"/>
      <c r="M22" s="272"/>
      <c r="N22" s="272"/>
      <c r="O22" s="272"/>
      <c r="P22" s="272"/>
      <c r="Q22" s="272"/>
      <c r="R22" s="272"/>
      <c r="S22" s="272"/>
      <c r="T22" s="272"/>
      <c r="U22" s="272"/>
      <c r="V22" s="272"/>
      <c r="W22" s="272"/>
      <c r="X22" s="272"/>
      <c r="Y22" s="272"/>
      <c r="Z22" s="215"/>
      <c r="AA22" s="215"/>
      <c r="AB22" s="215"/>
      <c r="AC22" s="215"/>
      <c r="AD22" s="215"/>
      <c r="AI22" s="270" t="s">
        <v>289</v>
      </c>
    </row>
    <row r="23" spans="1:37" x14ac:dyDescent="0.2">
      <c r="A23" s="130">
        <v>20</v>
      </c>
      <c r="B23" s="272" t="s">
        <v>537</v>
      </c>
      <c r="C23" s="316">
        <f>C34</f>
        <v>1350</v>
      </c>
      <c r="D23" s="316">
        <f t="shared" ref="D23:I24" si="8">D34</f>
        <v>1080</v>
      </c>
      <c r="E23" s="316">
        <f t="shared" si="8"/>
        <v>864</v>
      </c>
      <c r="F23" s="316">
        <f t="shared" si="8"/>
        <v>864</v>
      </c>
      <c r="G23" s="316">
        <f t="shared" si="8"/>
        <v>864</v>
      </c>
      <c r="H23" s="316">
        <f t="shared" si="8"/>
        <v>864</v>
      </c>
      <c r="I23" s="316">
        <f t="shared" si="8"/>
        <v>864</v>
      </c>
      <c r="J23" s="272"/>
      <c r="K23" s="272"/>
      <c r="L23" s="272"/>
      <c r="M23" s="272"/>
      <c r="N23" s="272"/>
      <c r="O23" s="272"/>
      <c r="P23" s="272"/>
      <c r="Q23" s="272"/>
      <c r="R23" s="272"/>
      <c r="S23" s="272"/>
      <c r="T23" s="272"/>
      <c r="U23" s="272"/>
      <c r="V23" s="272"/>
      <c r="W23" s="272"/>
      <c r="X23" s="272"/>
      <c r="Y23" s="272"/>
      <c r="Z23" s="215"/>
      <c r="AA23" s="215"/>
      <c r="AB23" s="215"/>
      <c r="AC23" s="215"/>
      <c r="AD23" s="215"/>
      <c r="AI23" s="270"/>
    </row>
    <row r="24" spans="1:37" x14ac:dyDescent="0.2">
      <c r="A24" s="130">
        <v>21</v>
      </c>
      <c r="B24" s="272" t="s">
        <v>538</v>
      </c>
      <c r="C24" s="316">
        <f>C35</f>
        <v>1472.5</v>
      </c>
      <c r="D24" s="316">
        <f t="shared" si="8"/>
        <v>1472.5</v>
      </c>
      <c r="E24" s="316">
        <f t="shared" si="8"/>
        <v>1472.5</v>
      </c>
      <c r="F24" s="316">
        <f t="shared" si="8"/>
        <v>1443.05</v>
      </c>
      <c r="G24" s="316">
        <f t="shared" si="8"/>
        <v>1398.875</v>
      </c>
      <c r="H24" s="316">
        <f t="shared" si="8"/>
        <v>1339.9750000000001</v>
      </c>
      <c r="I24" s="316">
        <f t="shared" si="8"/>
        <v>1295.8</v>
      </c>
      <c r="J24" s="272"/>
      <c r="K24" s="272"/>
      <c r="L24" s="272"/>
      <c r="M24" s="272"/>
      <c r="N24" s="272"/>
      <c r="O24" s="272"/>
      <c r="P24" s="272"/>
      <c r="Q24" s="272"/>
      <c r="R24" s="272"/>
      <c r="S24" s="272"/>
      <c r="T24" s="272"/>
      <c r="U24" s="272"/>
      <c r="V24" s="272"/>
      <c r="W24" s="272"/>
      <c r="X24" s="272"/>
      <c r="Y24" s="272"/>
      <c r="Z24" s="215"/>
      <c r="AA24" s="215"/>
      <c r="AB24" s="215"/>
      <c r="AC24" s="215"/>
      <c r="AD24" s="215"/>
      <c r="AI24" s="270"/>
    </row>
    <row r="25" spans="1:37" x14ac:dyDescent="0.2">
      <c r="A25" s="130">
        <v>22</v>
      </c>
      <c r="B25" s="272" t="s">
        <v>539</v>
      </c>
      <c r="C25" s="318">
        <f t="shared" ref="C25:I26" si="9">$C$86 * VLOOKUP(C$22,FwyFleLookup,2,FALSE)</f>
        <v>2100</v>
      </c>
      <c r="D25" s="318">
        <f t="shared" si="9"/>
        <v>2100</v>
      </c>
      <c r="E25" s="318">
        <f t="shared" si="9"/>
        <v>2100</v>
      </c>
      <c r="F25" s="318">
        <f t="shared" si="9"/>
        <v>2058</v>
      </c>
      <c r="G25" s="318">
        <f t="shared" si="9"/>
        <v>1995</v>
      </c>
      <c r="H25" s="318">
        <f t="shared" si="9"/>
        <v>1911</v>
      </c>
      <c r="I25" s="318">
        <f t="shared" si="9"/>
        <v>1848</v>
      </c>
      <c r="J25" s="272"/>
      <c r="K25" s="272"/>
      <c r="L25" s="272"/>
      <c r="M25" s="272"/>
      <c r="N25" s="272"/>
      <c r="O25" s="272"/>
      <c r="P25" s="272"/>
      <c r="Q25" s="272"/>
      <c r="R25" s="272"/>
      <c r="S25" s="272"/>
      <c r="T25" s="272"/>
      <c r="U25" s="272"/>
      <c r="V25" s="272"/>
      <c r="W25" s="272"/>
      <c r="X25" s="272"/>
      <c r="Y25" s="272"/>
      <c r="Z25" s="215"/>
      <c r="AA25" s="215"/>
      <c r="AB25" s="215"/>
      <c r="AC25" s="215"/>
      <c r="AD25" s="215"/>
      <c r="AI25" s="270"/>
    </row>
    <row r="26" spans="1:37" x14ac:dyDescent="0.2">
      <c r="A26" s="130">
        <v>23</v>
      </c>
      <c r="B26" s="272" t="s">
        <v>540</v>
      </c>
      <c r="C26" s="318">
        <f t="shared" si="9"/>
        <v>2100</v>
      </c>
      <c r="D26" s="318">
        <f t="shared" si="9"/>
        <v>2100</v>
      </c>
      <c r="E26" s="318">
        <f t="shared" si="9"/>
        <v>2100</v>
      </c>
      <c r="F26" s="318">
        <f t="shared" si="9"/>
        <v>2058</v>
      </c>
      <c r="G26" s="318">
        <f t="shared" si="9"/>
        <v>1995</v>
      </c>
      <c r="H26" s="318">
        <f t="shared" si="9"/>
        <v>1911</v>
      </c>
      <c r="I26" s="318">
        <f t="shared" si="9"/>
        <v>1848</v>
      </c>
      <c r="J26" s="272"/>
      <c r="K26" s="272"/>
      <c r="L26" s="272"/>
      <c r="M26" s="272"/>
      <c r="N26" s="272"/>
      <c r="O26" s="272"/>
      <c r="P26" s="272"/>
      <c r="Q26" s="272"/>
      <c r="R26" s="272"/>
      <c r="S26" s="272"/>
      <c r="T26" s="272"/>
      <c r="U26" s="272"/>
      <c r="V26" s="272"/>
      <c r="W26" s="272"/>
      <c r="X26" s="272"/>
      <c r="Y26" s="272"/>
      <c r="Z26" s="215"/>
      <c r="AA26" s="215"/>
      <c r="AB26" s="215"/>
      <c r="AC26" s="215"/>
      <c r="AD26" s="215"/>
      <c r="AI26" s="270"/>
    </row>
    <row r="27" spans="1:37" x14ac:dyDescent="0.2">
      <c r="A27" s="130">
        <v>24</v>
      </c>
      <c r="B27" s="272" t="s">
        <v>541</v>
      </c>
      <c r="C27" s="215">
        <f>D27</f>
        <v>2450</v>
      </c>
      <c r="D27" s="318">
        <f t="shared" ref="D27:I27" si="10">$C$86 * VLOOKUP(D$22,FwyFleLookup,2,FALSE) + $D91/LEFT(D$22,2)</f>
        <v>2450</v>
      </c>
      <c r="E27" s="318">
        <f t="shared" si="10"/>
        <v>2333.3333333333335</v>
      </c>
      <c r="F27" s="318">
        <f t="shared" si="10"/>
        <v>2233</v>
      </c>
      <c r="G27" s="318">
        <f t="shared" si="10"/>
        <v>2135</v>
      </c>
      <c r="H27" s="318">
        <f t="shared" si="10"/>
        <v>2027.6666666666667</v>
      </c>
      <c r="I27" s="318">
        <f t="shared" si="10"/>
        <v>1948</v>
      </c>
      <c r="J27" s="272"/>
      <c r="K27" s="272"/>
      <c r="L27" s="272"/>
      <c r="M27" s="272"/>
      <c r="N27" s="272"/>
      <c r="O27" s="272"/>
      <c r="P27" s="272"/>
      <c r="Q27" s="272"/>
      <c r="R27" s="272"/>
      <c r="S27" s="272"/>
      <c r="T27" s="272"/>
      <c r="U27" s="272"/>
      <c r="V27" s="272"/>
      <c r="W27" s="272"/>
      <c r="X27" s="272"/>
      <c r="Y27" s="272"/>
      <c r="Z27" s="215"/>
      <c r="AA27" s="215"/>
      <c r="AB27" s="215"/>
      <c r="AC27" s="215"/>
      <c r="AD27" s="215"/>
      <c r="AI27" s="270"/>
    </row>
    <row r="28" spans="1:37" x14ac:dyDescent="0.2">
      <c r="A28" s="130">
        <v>25</v>
      </c>
      <c r="B28" s="272" t="s">
        <v>542</v>
      </c>
      <c r="C28" s="318">
        <f t="shared" ref="C28:I28" si="11">$C$86 * VLOOKUP(C$22,FwyFleLookup,2,FALSE)</f>
        <v>2100</v>
      </c>
      <c r="D28" s="318">
        <f t="shared" si="11"/>
        <v>2100</v>
      </c>
      <c r="E28" s="318">
        <f t="shared" si="11"/>
        <v>2100</v>
      </c>
      <c r="F28" s="318">
        <f t="shared" si="11"/>
        <v>2058</v>
      </c>
      <c r="G28" s="318">
        <f t="shared" si="11"/>
        <v>1995</v>
      </c>
      <c r="H28" s="318">
        <f t="shared" si="11"/>
        <v>1911</v>
      </c>
      <c r="I28" s="318">
        <f t="shared" si="11"/>
        <v>1848</v>
      </c>
      <c r="J28" s="272"/>
      <c r="K28" s="272"/>
      <c r="L28" s="272"/>
      <c r="M28" s="272"/>
      <c r="N28" s="272"/>
      <c r="O28" s="272"/>
      <c r="P28" s="272"/>
      <c r="Q28" s="272"/>
      <c r="R28" s="272"/>
      <c r="S28" s="272"/>
      <c r="T28" s="272"/>
      <c r="U28" s="272"/>
      <c r="V28" s="272"/>
      <c r="W28" s="272"/>
      <c r="X28" s="272"/>
      <c r="Y28" s="272"/>
      <c r="Z28" s="215"/>
      <c r="AA28" s="215"/>
      <c r="AB28" s="215"/>
      <c r="AC28" s="215"/>
      <c r="AD28" s="215"/>
      <c r="AI28" s="270"/>
    </row>
    <row r="29" spans="1:37" x14ac:dyDescent="0.2">
      <c r="A29" s="130">
        <v>26</v>
      </c>
      <c r="B29" s="272" t="s">
        <v>543</v>
      </c>
      <c r="C29" s="215">
        <f>D29</f>
        <v>2450</v>
      </c>
      <c r="D29" s="318">
        <f t="shared" ref="D29:I29" si="12">$C$86 * VLOOKUP(D$22,FwyFleLookup,2,FALSE) + $D93/LEFT(D$22,2)</f>
        <v>2450</v>
      </c>
      <c r="E29" s="318">
        <f t="shared" si="12"/>
        <v>2333.3333333333335</v>
      </c>
      <c r="F29" s="318">
        <f t="shared" si="12"/>
        <v>2233</v>
      </c>
      <c r="G29" s="318">
        <f t="shared" si="12"/>
        <v>2135</v>
      </c>
      <c r="H29" s="318">
        <f t="shared" si="12"/>
        <v>2027.6666666666667</v>
      </c>
      <c r="I29" s="318">
        <f t="shared" si="12"/>
        <v>1948</v>
      </c>
      <c r="J29" s="272"/>
      <c r="K29" s="272"/>
      <c r="L29" s="272"/>
      <c r="M29" s="272"/>
      <c r="N29" s="272"/>
      <c r="O29" s="272"/>
      <c r="P29" s="272"/>
      <c r="Q29" s="272"/>
      <c r="R29" s="272"/>
      <c r="S29" s="272"/>
      <c r="T29" s="272"/>
      <c r="U29" s="272"/>
      <c r="V29" s="272"/>
      <c r="W29" s="272"/>
      <c r="X29" s="272"/>
      <c r="Y29" s="272"/>
      <c r="Z29" s="215"/>
      <c r="AA29" s="215"/>
      <c r="AB29" s="215"/>
      <c r="AC29" s="215"/>
      <c r="AD29" s="215"/>
      <c r="AI29" s="270"/>
    </row>
    <row r="30" spans="1:37" x14ac:dyDescent="0.2">
      <c r="A30" s="130">
        <v>27</v>
      </c>
      <c r="B30" s="272" t="s">
        <v>535</v>
      </c>
      <c r="C30" s="318">
        <f t="shared" ref="C30:I30" si="13">$C$86 * VLOOKUP(C$22,FwyFleLookup,2,FALSE)</f>
        <v>2100</v>
      </c>
      <c r="D30" s="318">
        <f t="shared" si="13"/>
        <v>2100</v>
      </c>
      <c r="E30" s="318">
        <f t="shared" si="13"/>
        <v>2100</v>
      </c>
      <c r="F30" s="318">
        <f t="shared" si="13"/>
        <v>2058</v>
      </c>
      <c r="G30" s="318">
        <f t="shared" si="13"/>
        <v>1995</v>
      </c>
      <c r="H30" s="318">
        <f t="shared" si="13"/>
        <v>1911</v>
      </c>
      <c r="I30" s="318">
        <f t="shared" si="13"/>
        <v>1848</v>
      </c>
      <c r="J30" s="272"/>
      <c r="K30" s="272"/>
      <c r="L30" s="272"/>
      <c r="M30" s="272"/>
      <c r="N30" s="272"/>
      <c r="O30" s="272"/>
      <c r="P30" s="272"/>
      <c r="Q30" s="272"/>
      <c r="R30" s="272"/>
      <c r="S30" s="272"/>
      <c r="T30" s="272"/>
      <c r="U30" s="272"/>
      <c r="V30" s="272"/>
      <c r="W30" s="272"/>
      <c r="X30" s="272"/>
      <c r="Y30" s="272"/>
      <c r="Z30" s="215"/>
      <c r="AA30" s="215"/>
      <c r="AB30" s="215"/>
      <c r="AC30" s="215"/>
      <c r="AD30" s="215"/>
      <c r="AI30" s="270"/>
    </row>
    <row r="31" spans="1:37" x14ac:dyDescent="0.2">
      <c r="A31" s="130">
        <v>28</v>
      </c>
      <c r="B31" s="272" t="s">
        <v>544</v>
      </c>
      <c r="C31" s="316">
        <f>C45</f>
        <v>1200</v>
      </c>
      <c r="D31" s="316">
        <f t="shared" ref="D31:I32" si="14">D45</f>
        <v>900</v>
      </c>
      <c r="E31" s="316">
        <f t="shared" si="14"/>
        <v>600</v>
      </c>
      <c r="F31" s="316">
        <f t="shared" si="14"/>
        <v>600</v>
      </c>
      <c r="G31" s="316">
        <f t="shared" si="14"/>
        <v>600</v>
      </c>
      <c r="H31" s="316">
        <f t="shared" si="14"/>
        <v>600</v>
      </c>
      <c r="I31" s="316">
        <f t="shared" si="14"/>
        <v>600</v>
      </c>
      <c r="J31" s="272"/>
      <c r="K31" s="272"/>
      <c r="L31" s="272"/>
      <c r="M31" s="272"/>
      <c r="N31" s="272"/>
      <c r="O31" s="272"/>
      <c r="P31" s="272"/>
      <c r="Q31" s="272"/>
      <c r="R31" s="272"/>
      <c r="S31" s="272"/>
      <c r="T31" s="272"/>
      <c r="U31" s="272"/>
      <c r="V31" s="272"/>
      <c r="W31" s="272"/>
      <c r="X31" s="272"/>
      <c r="Y31" s="272"/>
      <c r="Z31" s="215"/>
      <c r="AA31" s="215"/>
      <c r="AB31" s="215"/>
      <c r="AC31" s="215"/>
      <c r="AD31" s="215"/>
      <c r="AI31" s="270"/>
    </row>
    <row r="32" spans="1:37" x14ac:dyDescent="0.2">
      <c r="A32" s="130">
        <v>29</v>
      </c>
      <c r="B32" s="272" t="s">
        <v>545</v>
      </c>
      <c r="C32" s="316">
        <f>C46</f>
        <v>983.13600000000008</v>
      </c>
      <c r="D32" s="316">
        <f t="shared" si="14"/>
        <v>943.50959999999998</v>
      </c>
      <c r="E32" s="316">
        <f t="shared" si="14"/>
        <v>903.78288000000009</v>
      </c>
      <c r="F32" s="316">
        <f t="shared" si="14"/>
        <v>882.81600000000003</v>
      </c>
      <c r="G32" s="316">
        <f t="shared" si="14"/>
        <v>862.33553113553103</v>
      </c>
      <c r="H32" s="316">
        <f t="shared" si="14"/>
        <v>842.33018914337572</v>
      </c>
      <c r="I32" s="316">
        <f t="shared" si="14"/>
        <v>822.7889515442007</v>
      </c>
      <c r="J32" s="272"/>
      <c r="K32" s="272"/>
      <c r="L32" s="272"/>
      <c r="M32" s="272"/>
      <c r="N32" s="272"/>
      <c r="O32" s="272"/>
      <c r="P32" s="272"/>
      <c r="Q32" s="272"/>
      <c r="R32" s="272"/>
      <c r="S32" s="272"/>
      <c r="T32" s="272"/>
      <c r="U32" s="272"/>
      <c r="V32" s="272"/>
      <c r="W32" s="272"/>
      <c r="X32" s="272"/>
      <c r="Y32" s="272"/>
      <c r="Z32" s="215"/>
      <c r="AA32" s="215"/>
      <c r="AB32" s="215"/>
      <c r="AC32" s="215"/>
      <c r="AD32" s="215"/>
      <c r="AI32" s="270"/>
    </row>
    <row r="33" spans="1:37" x14ac:dyDescent="0.2">
      <c r="A33" s="276"/>
      <c r="B33" s="272"/>
      <c r="C33" s="281"/>
      <c r="D33" s="214"/>
      <c r="E33" s="281"/>
      <c r="F33" s="214"/>
      <c r="G33" s="281"/>
      <c r="H33" s="214"/>
      <c r="I33" s="281"/>
      <c r="J33" s="272"/>
      <c r="K33" s="272"/>
      <c r="L33" s="272"/>
      <c r="M33" s="272"/>
      <c r="N33" s="272"/>
      <c r="O33" s="272"/>
      <c r="P33" s="272"/>
      <c r="Q33" s="272"/>
      <c r="R33" s="272"/>
      <c r="S33" s="272"/>
      <c r="T33" s="272"/>
      <c r="U33" s="272"/>
      <c r="V33" s="272"/>
      <c r="W33" s="272"/>
      <c r="X33" s="272"/>
      <c r="Y33" s="272"/>
      <c r="Z33" s="215"/>
      <c r="AA33" s="215"/>
      <c r="AB33" s="215"/>
      <c r="AC33" s="215"/>
      <c r="AD33" s="215"/>
      <c r="AI33" s="270"/>
    </row>
    <row r="34" spans="1:37" x14ac:dyDescent="0.2">
      <c r="A34" s="276">
        <v>30</v>
      </c>
      <c r="B34" s="272" t="s">
        <v>497</v>
      </c>
      <c r="C34" s="290">
        <f>MROUND((VLOOKUP($B34,FwyCapFactors,2,FALSE)*LEFT(C$22,1)*$C$99*VLOOKUP(C$22,FwyFleLookup,2,FALSE)*$C$100+VLOOKUP($B34,FwyCapFactors,3,FALSE))/LEFT(C$22,1),50)</f>
        <v>1350</v>
      </c>
      <c r="D34" s="245">
        <f>C34*0.8</f>
        <v>1080</v>
      </c>
      <c r="E34" s="245">
        <f>D34*0.8</f>
        <v>864</v>
      </c>
      <c r="F34" s="215">
        <f>E34</f>
        <v>864</v>
      </c>
      <c r="G34" s="215">
        <f>F34</f>
        <v>864</v>
      </c>
      <c r="H34" s="215">
        <f t="shared" ref="H34:I34" si="15">G34</f>
        <v>864</v>
      </c>
      <c r="I34" s="215">
        <f t="shared" si="15"/>
        <v>864</v>
      </c>
      <c r="J34" s="272"/>
      <c r="K34" s="272"/>
      <c r="L34" s="272"/>
      <c r="M34" s="272"/>
      <c r="N34" s="272"/>
      <c r="O34" s="272"/>
      <c r="P34" s="272"/>
      <c r="Q34" s="272"/>
      <c r="R34" s="272"/>
      <c r="S34" s="272"/>
      <c r="T34" s="272"/>
      <c r="U34" s="272"/>
      <c r="V34" s="272"/>
      <c r="W34" s="272"/>
      <c r="X34" s="272"/>
      <c r="Y34" s="272"/>
      <c r="Z34" s="215"/>
      <c r="AA34" s="215"/>
      <c r="AB34" s="215"/>
      <c r="AC34" s="215"/>
      <c r="AD34" s="215"/>
      <c r="AI34" s="268" t="s">
        <v>150</v>
      </c>
      <c r="AJ34" s="268" t="s">
        <v>298</v>
      </c>
      <c r="AK34" s="268" t="s">
        <v>289</v>
      </c>
    </row>
    <row r="35" spans="1:37" x14ac:dyDescent="0.2">
      <c r="A35" s="276">
        <v>31</v>
      </c>
      <c r="B35" s="272" t="s">
        <v>491</v>
      </c>
      <c r="C35" s="290">
        <f t="shared" ref="C35:I37" si="16">(VLOOKUP($B35,FwyCapFactors,2,FALSE)*LEFT(C$22,1)*$C$99*VLOOKUP(C$22,FwyFleLookup,2,FALSE)*$C$100+VLOOKUP($B35,FwyCapFactors,3,FALSE))/LEFT(C$22,1)</f>
        <v>1472.5</v>
      </c>
      <c r="D35" s="290">
        <f t="shared" si="16"/>
        <v>1472.5</v>
      </c>
      <c r="E35" s="290">
        <f t="shared" si="16"/>
        <v>1472.5</v>
      </c>
      <c r="F35" s="290">
        <f t="shared" si="16"/>
        <v>1443.05</v>
      </c>
      <c r="G35" s="290">
        <f t="shared" si="16"/>
        <v>1398.875</v>
      </c>
      <c r="H35" s="290">
        <f t="shared" si="16"/>
        <v>1339.9750000000001</v>
      </c>
      <c r="I35" s="290">
        <f t="shared" si="16"/>
        <v>1295.8</v>
      </c>
      <c r="J35" s="272"/>
      <c r="K35" s="272"/>
      <c r="L35" s="272"/>
      <c r="M35" s="272"/>
      <c r="N35" s="272"/>
      <c r="O35" s="272"/>
      <c r="P35" s="272"/>
      <c r="Q35" s="272"/>
      <c r="R35" s="272"/>
      <c r="S35" s="272"/>
      <c r="T35" s="272"/>
      <c r="U35" s="272"/>
      <c r="V35" s="272"/>
      <c r="W35" s="272"/>
      <c r="X35" s="272"/>
      <c r="Y35" s="272"/>
      <c r="Z35" s="215"/>
      <c r="AA35" s="215"/>
      <c r="AB35" s="215"/>
      <c r="AC35" s="215"/>
      <c r="AD35" s="215"/>
      <c r="AI35" s="268">
        <v>2</v>
      </c>
      <c r="AJ35" s="291">
        <f>C91</f>
        <v>1821.25</v>
      </c>
      <c r="AK35" s="291">
        <f>D38</f>
        <v>2080.1875</v>
      </c>
    </row>
    <row r="36" spans="1:37" x14ac:dyDescent="0.2">
      <c r="A36" s="276">
        <v>32</v>
      </c>
      <c r="B36" s="272" t="s">
        <v>494</v>
      </c>
      <c r="C36" s="290">
        <f t="shared" si="16"/>
        <v>1693.375</v>
      </c>
      <c r="D36" s="290">
        <f t="shared" si="16"/>
        <v>1693.375</v>
      </c>
      <c r="E36" s="290">
        <f t="shared" si="16"/>
        <v>1693.375</v>
      </c>
      <c r="F36" s="290">
        <f t="shared" si="16"/>
        <v>1659.5074999999999</v>
      </c>
      <c r="G36" s="290">
        <f t="shared" si="16"/>
        <v>1608.70625</v>
      </c>
      <c r="H36" s="290">
        <f t="shared" si="16"/>
        <v>1540.9712499999998</v>
      </c>
      <c r="I36" s="290">
        <f t="shared" si="16"/>
        <v>1490.17</v>
      </c>
      <c r="J36" s="272"/>
      <c r="K36" s="272"/>
      <c r="L36" s="272"/>
      <c r="M36" s="272"/>
      <c r="N36" s="272"/>
      <c r="O36" s="272"/>
      <c r="P36" s="272"/>
      <c r="Q36" s="272"/>
      <c r="R36" s="272"/>
      <c r="S36" s="272"/>
      <c r="T36" s="272"/>
      <c r="U36" s="272"/>
      <c r="V36" s="272"/>
      <c r="W36" s="272"/>
      <c r="X36" s="272"/>
      <c r="Y36" s="272"/>
      <c r="Z36" s="215"/>
      <c r="AA36" s="215"/>
      <c r="AB36" s="215"/>
      <c r="AC36" s="215"/>
      <c r="AD36" s="215"/>
      <c r="AI36" s="268">
        <v>3</v>
      </c>
      <c r="AJ36" s="292">
        <f>AJ35</f>
        <v>1821.25</v>
      </c>
      <c r="AK36" s="291">
        <f>E38</f>
        <v>1963.5208333333333</v>
      </c>
    </row>
    <row r="37" spans="1:37" x14ac:dyDescent="0.2">
      <c r="A37" s="276">
        <v>33</v>
      </c>
      <c r="B37" s="272" t="s">
        <v>496</v>
      </c>
      <c r="C37" s="290">
        <f t="shared" si="16"/>
        <v>1730.1875</v>
      </c>
      <c r="D37" s="290">
        <f t="shared" si="16"/>
        <v>1730.1875</v>
      </c>
      <c r="E37" s="290">
        <f t="shared" si="16"/>
        <v>1730.1875</v>
      </c>
      <c r="F37" s="290">
        <f t="shared" si="16"/>
        <v>1695.58375</v>
      </c>
      <c r="G37" s="290">
        <f t="shared" si="16"/>
        <v>1643.6781249999999</v>
      </c>
      <c r="H37" s="290">
        <f t="shared" si="16"/>
        <v>1574.4706249999999</v>
      </c>
      <c r="I37" s="290">
        <f t="shared" si="16"/>
        <v>1522.5650000000001</v>
      </c>
      <c r="J37" s="272"/>
      <c r="K37" s="272"/>
      <c r="L37" s="272"/>
      <c r="M37" s="272"/>
      <c r="N37" s="272"/>
      <c r="O37" s="272"/>
      <c r="P37" s="272"/>
      <c r="Q37" s="272"/>
      <c r="R37" s="272"/>
      <c r="S37" s="272"/>
      <c r="T37" s="272"/>
      <c r="U37" s="272"/>
      <c r="V37" s="272"/>
      <c r="W37" s="272"/>
      <c r="X37" s="272"/>
      <c r="Y37" s="272"/>
      <c r="Z37" s="215"/>
      <c r="AA37" s="215"/>
      <c r="AB37" s="215"/>
      <c r="AC37" s="215"/>
      <c r="AD37" s="215"/>
      <c r="AI37" s="268">
        <v>4</v>
      </c>
      <c r="AJ37" s="292">
        <f t="shared" ref="AJ37:AJ40" si="17">AJ36</f>
        <v>1821.25</v>
      </c>
      <c r="AK37" s="291">
        <f>F38</f>
        <v>1870.58375</v>
      </c>
    </row>
    <row r="38" spans="1:37" x14ac:dyDescent="0.2">
      <c r="A38" s="276">
        <v>34</v>
      </c>
      <c r="B38" s="272" t="s">
        <v>495</v>
      </c>
      <c r="C38" s="215">
        <f>D38</f>
        <v>2080.1875</v>
      </c>
      <c r="D38" s="290">
        <f t="shared" ref="D38:I40" si="18">(VLOOKUP($B38,FwyCapFactors,2,FALSE)*LEFT(D$22,1)*$C$99*VLOOKUP(D$22,FwyFleLookup,2,FALSE)*$C$100+VLOOKUP($B38,FwyCapFactors,3,FALSE))/LEFT(D$22,1)</f>
        <v>2080.1875</v>
      </c>
      <c r="E38" s="290">
        <f t="shared" si="18"/>
        <v>1963.5208333333333</v>
      </c>
      <c r="F38" s="290">
        <f t="shared" si="18"/>
        <v>1870.58375</v>
      </c>
      <c r="G38" s="290">
        <f t="shared" si="18"/>
        <v>1783.6781249999999</v>
      </c>
      <c r="H38" s="290">
        <f t="shared" si="18"/>
        <v>1691.1372916666667</v>
      </c>
      <c r="I38" s="290">
        <f t="shared" si="18"/>
        <v>1622.5650000000001</v>
      </c>
      <c r="J38" s="272"/>
      <c r="K38" s="272"/>
      <c r="L38" s="272"/>
      <c r="M38" s="272"/>
      <c r="N38" s="272"/>
      <c r="O38" s="272"/>
      <c r="P38" s="272"/>
      <c r="Q38" s="272"/>
      <c r="R38" s="272"/>
      <c r="S38" s="272"/>
      <c r="T38" s="272"/>
      <c r="U38" s="272"/>
      <c r="V38" s="272"/>
      <c r="W38" s="272"/>
      <c r="Z38" s="215"/>
      <c r="AA38" s="215"/>
      <c r="AB38" s="215"/>
      <c r="AI38" s="268">
        <v>5</v>
      </c>
      <c r="AJ38" s="292">
        <f t="shared" si="17"/>
        <v>1821.25</v>
      </c>
      <c r="AK38" s="291">
        <f>G38</f>
        <v>1783.6781249999999</v>
      </c>
    </row>
    <row r="39" spans="1:37" x14ac:dyDescent="0.2">
      <c r="A39" s="276">
        <v>35</v>
      </c>
      <c r="B39" s="272" t="s">
        <v>501</v>
      </c>
      <c r="C39" s="290">
        <f>(VLOOKUP($B39,FwyCapFactors,2,FALSE)*LEFT(C$22,1)*$C$99*VLOOKUP(C$22,FwyFleLookup,2,FALSE)*$C$100+VLOOKUP($B39,FwyCapFactors,3,FALSE))/LEFT(C$22,1)</f>
        <v>1767</v>
      </c>
      <c r="D39" s="290">
        <f t="shared" si="18"/>
        <v>1767</v>
      </c>
      <c r="E39" s="290">
        <f t="shared" si="18"/>
        <v>1767</v>
      </c>
      <c r="F39" s="290">
        <f t="shared" si="18"/>
        <v>1731.66</v>
      </c>
      <c r="G39" s="290">
        <f t="shared" si="18"/>
        <v>1678.65</v>
      </c>
      <c r="H39" s="290">
        <f t="shared" si="18"/>
        <v>1607.97</v>
      </c>
      <c r="I39" s="290">
        <f t="shared" si="18"/>
        <v>1554.9599999999998</v>
      </c>
      <c r="J39" s="272"/>
      <c r="K39" s="272"/>
      <c r="L39" s="272"/>
      <c r="M39" s="272"/>
      <c r="N39" s="272"/>
      <c r="O39" s="272"/>
      <c r="P39" s="272"/>
      <c r="Q39" s="272"/>
      <c r="R39" s="272"/>
      <c r="S39" s="272"/>
      <c r="T39" s="272"/>
      <c r="U39" s="272"/>
      <c r="V39" s="272"/>
      <c r="W39" s="272"/>
      <c r="Z39" s="215"/>
      <c r="AA39" s="215"/>
      <c r="AB39" s="215"/>
      <c r="AI39" s="268">
        <v>6</v>
      </c>
      <c r="AJ39" s="292">
        <f>AJ38</f>
        <v>1821.25</v>
      </c>
      <c r="AK39" s="291">
        <f>H38</f>
        <v>1691.1372916666667</v>
      </c>
    </row>
    <row r="40" spans="1:37" x14ac:dyDescent="0.2">
      <c r="A40" s="276">
        <v>36</v>
      </c>
      <c r="B40" s="272" t="s">
        <v>500</v>
      </c>
      <c r="C40" s="215">
        <f>D40</f>
        <v>2117</v>
      </c>
      <c r="D40" s="290">
        <f t="shared" si="18"/>
        <v>2117</v>
      </c>
      <c r="E40" s="290">
        <f t="shared" si="18"/>
        <v>2000.3333333333333</v>
      </c>
      <c r="F40" s="290">
        <f t="shared" si="18"/>
        <v>1906.66</v>
      </c>
      <c r="G40" s="290">
        <f t="shared" si="18"/>
        <v>1818.65</v>
      </c>
      <c r="H40" s="290">
        <f t="shared" si="18"/>
        <v>1724.6366666666665</v>
      </c>
      <c r="I40" s="290">
        <f t="shared" si="18"/>
        <v>1654.9599999999998</v>
      </c>
      <c r="J40" s="272"/>
      <c r="K40" s="272"/>
      <c r="L40" s="272"/>
      <c r="M40" s="272"/>
      <c r="N40" s="272"/>
      <c r="O40" s="272"/>
      <c r="P40" s="272"/>
      <c r="Q40" s="272"/>
      <c r="R40" s="272"/>
      <c r="S40" s="272"/>
      <c r="T40" s="272"/>
      <c r="U40" s="272"/>
      <c r="V40" s="272"/>
      <c r="W40" s="272"/>
      <c r="Z40" s="215"/>
      <c r="AA40" s="215"/>
      <c r="AB40" s="215"/>
      <c r="AI40" s="268">
        <v>7</v>
      </c>
      <c r="AJ40" s="292">
        <f t="shared" si="17"/>
        <v>1821.25</v>
      </c>
      <c r="AK40" s="291">
        <f>I38</f>
        <v>1622.5650000000001</v>
      </c>
    </row>
    <row r="41" spans="1:37" x14ac:dyDescent="0.2">
      <c r="A41" s="276">
        <v>37</v>
      </c>
      <c r="B41" s="272" t="s">
        <v>489</v>
      </c>
      <c r="C41" s="290">
        <f t="shared" ref="C41:I41" si="19">(VLOOKUP($B41,FwyCapFactors,2,FALSE)*LEFT(C$22,1)*$C$99*VLOOKUP(C$22,FwyFleLookup,2,FALSE)+VLOOKUP($B41,FwyCapFactors,3,FALSE))/LEFT(C$22,1)</f>
        <v>1767</v>
      </c>
      <c r="D41" s="290">
        <f t="shared" si="19"/>
        <v>1767</v>
      </c>
      <c r="E41" s="290">
        <f t="shared" si="19"/>
        <v>1767</v>
      </c>
      <c r="F41" s="290">
        <f t="shared" si="19"/>
        <v>1731.66</v>
      </c>
      <c r="G41" s="290">
        <f t="shared" si="19"/>
        <v>1678.65</v>
      </c>
      <c r="H41" s="290">
        <f t="shared" si="19"/>
        <v>1607.97</v>
      </c>
      <c r="I41" s="290">
        <f t="shared" si="19"/>
        <v>1554.9599999999998</v>
      </c>
      <c r="J41" s="272"/>
      <c r="K41" s="272"/>
      <c r="L41" s="272"/>
      <c r="M41" s="272"/>
      <c r="N41" s="272"/>
      <c r="O41" s="272"/>
      <c r="P41" s="272"/>
      <c r="Q41" s="272"/>
      <c r="R41" s="272"/>
      <c r="S41" s="272"/>
      <c r="T41" s="272"/>
      <c r="U41" s="272"/>
      <c r="V41" s="272"/>
    </row>
    <row r="42" spans="1:37" x14ac:dyDescent="0.2">
      <c r="A42" s="276">
        <v>38</v>
      </c>
      <c r="B42" s="272" t="s">
        <v>490</v>
      </c>
      <c r="C42" s="290">
        <f>C41</f>
        <v>1767</v>
      </c>
      <c r="D42" s="290">
        <f t="shared" ref="D42:I43" si="20">D41</f>
        <v>1767</v>
      </c>
      <c r="E42" s="290">
        <f t="shared" si="20"/>
        <v>1767</v>
      </c>
      <c r="F42" s="290">
        <f t="shared" si="20"/>
        <v>1731.66</v>
      </c>
      <c r="G42" s="290">
        <f t="shared" si="20"/>
        <v>1678.65</v>
      </c>
      <c r="H42" s="290">
        <f t="shared" si="20"/>
        <v>1607.97</v>
      </c>
      <c r="I42" s="290">
        <f t="shared" si="20"/>
        <v>1554.9599999999998</v>
      </c>
      <c r="J42" s="272"/>
      <c r="K42" s="272"/>
      <c r="L42" s="272"/>
      <c r="M42" s="272"/>
      <c r="N42" s="272"/>
      <c r="O42" s="272"/>
      <c r="P42" s="272"/>
      <c r="Q42" s="272"/>
      <c r="R42" s="272"/>
      <c r="S42" s="272"/>
      <c r="T42" s="272"/>
      <c r="U42" s="272"/>
      <c r="V42" s="272"/>
      <c r="AI42" s="270" t="s">
        <v>511</v>
      </c>
    </row>
    <row r="43" spans="1:37" x14ac:dyDescent="0.2">
      <c r="A43" s="276">
        <v>39</v>
      </c>
      <c r="B43" s="272" t="s">
        <v>488</v>
      </c>
      <c r="C43" s="290">
        <f>C42</f>
        <v>1767</v>
      </c>
      <c r="D43" s="290">
        <f t="shared" si="20"/>
        <v>1767</v>
      </c>
      <c r="E43" s="290">
        <f t="shared" si="20"/>
        <v>1767</v>
      </c>
      <c r="F43" s="290">
        <f t="shared" si="20"/>
        <v>1731.66</v>
      </c>
      <c r="G43" s="290">
        <f t="shared" si="20"/>
        <v>1678.65</v>
      </c>
      <c r="H43" s="290">
        <f t="shared" si="20"/>
        <v>1607.97</v>
      </c>
      <c r="I43" s="290">
        <f t="shared" si="20"/>
        <v>1554.9599999999998</v>
      </c>
      <c r="J43" s="272"/>
      <c r="K43" s="272"/>
      <c r="L43" s="272"/>
      <c r="M43" s="272"/>
      <c r="N43" s="272"/>
      <c r="O43" s="272"/>
      <c r="P43" s="272"/>
      <c r="Q43" s="272"/>
      <c r="R43" s="272"/>
      <c r="S43" s="272"/>
      <c r="T43" s="272"/>
      <c r="U43" s="272"/>
      <c r="V43" s="272"/>
      <c r="W43" s="293"/>
      <c r="AI43" s="268" t="s">
        <v>150</v>
      </c>
      <c r="AJ43" s="294" t="s">
        <v>324</v>
      </c>
      <c r="AK43" s="294" t="s">
        <v>325</v>
      </c>
    </row>
    <row r="44" spans="1:37" x14ac:dyDescent="0.2">
      <c r="A44" s="276">
        <v>40</v>
      </c>
      <c r="B44" s="272" t="s">
        <v>431</v>
      </c>
      <c r="C44" s="245">
        <v>1800</v>
      </c>
      <c r="D44" s="215">
        <f>D43/C43*C44</f>
        <v>1800</v>
      </c>
      <c r="E44" s="215">
        <f t="shared" ref="E44:I44" si="21">E43/D43*D44</f>
        <v>1800</v>
      </c>
      <c r="F44" s="215">
        <f t="shared" si="21"/>
        <v>1764.0000000000002</v>
      </c>
      <c r="G44" s="215">
        <f t="shared" si="21"/>
        <v>1710.0000000000002</v>
      </c>
      <c r="H44" s="215">
        <f t="shared" si="21"/>
        <v>1638.0000000000002</v>
      </c>
      <c r="I44" s="215">
        <f t="shared" si="21"/>
        <v>1584</v>
      </c>
      <c r="J44" s="272"/>
      <c r="K44" s="272"/>
      <c r="L44" s="272"/>
      <c r="M44" s="272"/>
      <c r="N44" s="272"/>
      <c r="O44" s="272"/>
      <c r="P44" s="272"/>
      <c r="Q44" s="272"/>
      <c r="R44" s="272"/>
      <c r="S44" s="272"/>
      <c r="T44" s="272"/>
      <c r="U44" s="272"/>
      <c r="V44" s="272"/>
      <c r="W44" s="293"/>
      <c r="AC44" s="295"/>
      <c r="AI44" s="268">
        <f t="shared" ref="AI44:AI49" si="22">AI35</f>
        <v>2</v>
      </c>
      <c r="AJ44" s="296">
        <f t="shared" ref="AJ44:AJ49" si="23">AI44*AJ35</f>
        <v>3642.5</v>
      </c>
      <c r="AK44" s="296">
        <f t="shared" ref="AK44:AK49" si="24">AK35*AI44</f>
        <v>4160.375</v>
      </c>
    </row>
    <row r="45" spans="1:37" x14ac:dyDescent="0.2">
      <c r="A45" s="276">
        <v>41</v>
      </c>
      <c r="B45" s="272" t="s">
        <v>428</v>
      </c>
      <c r="C45" s="245">
        <v>1200</v>
      </c>
      <c r="D45" s="245">
        <v>900</v>
      </c>
      <c r="E45" s="245">
        <v>600</v>
      </c>
      <c r="F45" s="215">
        <f>E45</f>
        <v>600</v>
      </c>
      <c r="G45" s="215">
        <f t="shared" ref="G45:I45" si="25">F45</f>
        <v>600</v>
      </c>
      <c r="H45" s="215">
        <f t="shared" si="25"/>
        <v>600</v>
      </c>
      <c r="I45" s="215">
        <f t="shared" si="25"/>
        <v>600</v>
      </c>
      <c r="J45" s="272"/>
      <c r="K45" s="272"/>
      <c r="L45" s="272"/>
      <c r="M45" s="272"/>
      <c r="N45" s="272"/>
      <c r="O45" s="272"/>
      <c r="P45" s="272"/>
      <c r="Q45" s="272"/>
      <c r="R45" s="272"/>
      <c r="S45" s="272"/>
      <c r="T45" s="272"/>
      <c r="U45" s="272"/>
      <c r="V45" s="272"/>
      <c r="W45" s="293"/>
      <c r="AC45" s="295"/>
      <c r="AI45" s="268">
        <f t="shared" si="22"/>
        <v>3</v>
      </c>
      <c r="AJ45" s="296">
        <f t="shared" si="23"/>
        <v>5463.75</v>
      </c>
      <c r="AK45" s="296">
        <f t="shared" si="24"/>
        <v>5890.5625</v>
      </c>
    </row>
    <row r="46" spans="1:37" x14ac:dyDescent="0.2">
      <c r="A46" s="276">
        <v>42</v>
      </c>
      <c r="B46" s="272" t="s">
        <v>429</v>
      </c>
      <c r="C46" s="215">
        <f>C9*1.1</f>
        <v>983.13600000000008</v>
      </c>
      <c r="D46" s="215">
        <f>D9*1.1</f>
        <v>943.50959999999998</v>
      </c>
      <c r="E46" s="215">
        <f>E9*1.1</f>
        <v>903.78288000000009</v>
      </c>
      <c r="F46" s="215">
        <f t="shared" ref="F46:I46" si="26">F9*1.1</f>
        <v>882.81600000000003</v>
      </c>
      <c r="G46" s="215">
        <f t="shared" si="26"/>
        <v>862.33553113553103</v>
      </c>
      <c r="H46" s="215">
        <f t="shared" si="26"/>
        <v>842.33018914337572</v>
      </c>
      <c r="I46" s="215">
        <f t="shared" si="26"/>
        <v>822.7889515442007</v>
      </c>
      <c r="J46" s="272"/>
      <c r="K46" s="272"/>
      <c r="L46" s="272"/>
      <c r="M46" s="272"/>
      <c r="N46" s="272"/>
      <c r="O46" s="272"/>
      <c r="P46" s="272"/>
      <c r="Q46" s="272"/>
      <c r="R46" s="272"/>
      <c r="S46" s="272"/>
      <c r="T46" s="272"/>
      <c r="U46" s="272"/>
      <c r="V46" s="272"/>
      <c r="W46" s="293"/>
      <c r="AC46" s="295"/>
      <c r="AI46" s="268">
        <f t="shared" si="22"/>
        <v>4</v>
      </c>
      <c r="AJ46" s="296">
        <f t="shared" si="23"/>
        <v>7285</v>
      </c>
      <c r="AK46" s="296">
        <f t="shared" si="24"/>
        <v>7482.335</v>
      </c>
    </row>
    <row r="47" spans="1:37" x14ac:dyDescent="0.2">
      <c r="A47" s="276"/>
      <c r="B47" s="272"/>
      <c r="C47" s="215"/>
      <c r="D47" s="215"/>
      <c r="E47" s="215"/>
      <c r="F47" s="215"/>
      <c r="G47" s="215"/>
      <c r="H47" s="215"/>
      <c r="I47" s="215"/>
      <c r="J47" s="272"/>
      <c r="K47" s="272"/>
      <c r="L47" s="272"/>
      <c r="M47" s="272"/>
      <c r="N47" s="272"/>
      <c r="O47" s="272"/>
      <c r="P47" s="272"/>
      <c r="Q47" s="272"/>
      <c r="R47" s="272"/>
      <c r="S47" s="272"/>
      <c r="T47" s="272"/>
      <c r="U47" s="272"/>
      <c r="V47" s="272"/>
      <c r="W47" s="293"/>
      <c r="AC47" s="295"/>
      <c r="AI47" s="268">
        <f t="shared" si="22"/>
        <v>5</v>
      </c>
      <c r="AJ47" s="296">
        <f t="shared" si="23"/>
        <v>9106.25</v>
      </c>
      <c r="AK47" s="296">
        <f t="shared" si="24"/>
        <v>8918.390625</v>
      </c>
    </row>
    <row r="48" spans="1:37" ht="15" x14ac:dyDescent="0.2">
      <c r="A48" s="276"/>
      <c r="B48" s="297" t="s">
        <v>435</v>
      </c>
      <c r="C48" s="272"/>
      <c r="D48" s="276"/>
      <c r="E48" s="272"/>
      <c r="F48" s="272"/>
      <c r="G48" s="289"/>
      <c r="H48" s="272"/>
      <c r="I48" s="272"/>
      <c r="J48" s="272"/>
      <c r="K48" s="272"/>
      <c r="L48" s="272"/>
      <c r="M48" s="272"/>
      <c r="N48" s="272"/>
      <c r="O48" s="272"/>
      <c r="P48" s="272"/>
      <c r="Q48" s="272"/>
      <c r="R48" s="272"/>
      <c r="S48" s="272"/>
      <c r="T48" s="272"/>
      <c r="U48" s="272"/>
      <c r="V48" s="272"/>
      <c r="W48" s="272"/>
      <c r="AI48" s="268">
        <f t="shared" si="22"/>
        <v>6</v>
      </c>
      <c r="AJ48" s="296">
        <f t="shared" si="23"/>
        <v>10927.5</v>
      </c>
      <c r="AK48" s="296">
        <f t="shared" si="24"/>
        <v>10146.82375</v>
      </c>
    </row>
    <row r="49" spans="2:37" x14ac:dyDescent="0.2">
      <c r="B49" s="298" t="s">
        <v>502</v>
      </c>
      <c r="C49" s="298"/>
      <c r="D49" s="298"/>
      <c r="E49" s="298"/>
      <c r="F49" s="298"/>
      <c r="G49" s="299"/>
      <c r="H49" s="299"/>
      <c r="I49" s="299"/>
      <c r="J49" s="299"/>
      <c r="K49" s="299"/>
      <c r="L49" s="299"/>
      <c r="M49" s="299"/>
      <c r="N49" s="299"/>
      <c r="O49" s="299"/>
      <c r="P49" s="299"/>
      <c r="Q49" s="299"/>
      <c r="R49" s="299"/>
      <c r="S49" s="299"/>
      <c r="T49" s="299"/>
      <c r="U49" s="299"/>
      <c r="V49" s="299"/>
      <c r="W49" s="299"/>
      <c r="AI49" s="268">
        <f t="shared" si="22"/>
        <v>7</v>
      </c>
      <c r="AJ49" s="296">
        <f t="shared" si="23"/>
        <v>12748.75</v>
      </c>
      <c r="AK49" s="296">
        <f t="shared" si="24"/>
        <v>11357.955</v>
      </c>
    </row>
    <row r="50" spans="2:37" x14ac:dyDescent="0.2">
      <c r="B50" s="298" t="s">
        <v>493</v>
      </c>
      <c r="C50" s="298"/>
      <c r="D50" s="298"/>
      <c r="E50" s="298"/>
      <c r="F50" s="298"/>
      <c r="G50" s="299"/>
      <c r="H50" s="299"/>
      <c r="I50" s="299"/>
      <c r="J50" s="299"/>
      <c r="K50" s="299"/>
      <c r="L50" s="299"/>
      <c r="M50" s="299"/>
      <c r="N50" s="299"/>
      <c r="O50" s="299"/>
      <c r="P50" s="299"/>
      <c r="Q50" s="299"/>
      <c r="R50" s="299"/>
      <c r="S50" s="299"/>
      <c r="T50" s="299"/>
      <c r="U50" s="299"/>
      <c r="V50" s="299"/>
      <c r="W50" s="299"/>
    </row>
    <row r="51" spans="2:37" x14ac:dyDescent="0.2">
      <c r="B51" s="298"/>
      <c r="C51" s="298"/>
      <c r="D51" s="298"/>
      <c r="E51" s="298"/>
      <c r="F51" s="298"/>
      <c r="G51" s="299"/>
      <c r="H51" s="299"/>
      <c r="I51" s="299"/>
      <c r="AE51" s="296"/>
      <c r="AF51" s="296"/>
      <c r="AI51" s="270" t="s">
        <v>512</v>
      </c>
    </row>
    <row r="52" spans="2:37" ht="15" x14ac:dyDescent="0.2">
      <c r="B52" s="297" t="s">
        <v>468</v>
      </c>
      <c r="H52" s="294"/>
      <c r="I52" s="294"/>
      <c r="AI52" s="268" t="s">
        <v>150</v>
      </c>
      <c r="AJ52" s="294" t="s">
        <v>324</v>
      </c>
      <c r="AK52" s="294" t="s">
        <v>325</v>
      </c>
    </row>
    <row r="53" spans="2:37" x14ac:dyDescent="0.2">
      <c r="B53" s="300" t="s">
        <v>260</v>
      </c>
      <c r="H53" s="294"/>
      <c r="I53" s="294"/>
      <c r="AI53" s="268">
        <f t="shared" ref="AI53:AI58" si="27">AI44</f>
        <v>2</v>
      </c>
      <c r="AJ53" s="296">
        <f t="shared" ref="AJ53:AK58" si="28">MROUND(AJ44/$AI$3*2, 1000)</f>
        <v>81000</v>
      </c>
      <c r="AK53" s="296">
        <f t="shared" si="28"/>
        <v>92000</v>
      </c>
    </row>
    <row r="54" spans="2:37" x14ac:dyDescent="0.2">
      <c r="B54" s="300"/>
      <c r="H54" s="294"/>
      <c r="I54" s="294"/>
      <c r="AI54" s="268">
        <f t="shared" si="27"/>
        <v>3</v>
      </c>
      <c r="AJ54" s="296">
        <f t="shared" si="28"/>
        <v>121000</v>
      </c>
      <c r="AK54" s="296">
        <f t="shared" si="28"/>
        <v>131000</v>
      </c>
    </row>
    <row r="55" spans="2:37" x14ac:dyDescent="0.2">
      <c r="C55" s="281" t="s">
        <v>461</v>
      </c>
      <c r="D55" s="281" t="s">
        <v>228</v>
      </c>
      <c r="E55" s="282" t="s">
        <v>463</v>
      </c>
      <c r="F55" s="279"/>
      <c r="G55" s="294"/>
      <c r="H55" s="294"/>
      <c r="AI55" s="268">
        <f t="shared" si="27"/>
        <v>4</v>
      </c>
      <c r="AJ55" s="296">
        <f t="shared" si="28"/>
        <v>162000</v>
      </c>
      <c r="AK55" s="296">
        <f t="shared" si="28"/>
        <v>166000</v>
      </c>
    </row>
    <row r="56" spans="2:37" x14ac:dyDescent="0.2">
      <c r="B56" s="300" t="s">
        <v>454</v>
      </c>
      <c r="C56" s="301">
        <v>1900</v>
      </c>
      <c r="D56" s="302">
        <v>1</v>
      </c>
      <c r="E56" s="302">
        <v>0.52</v>
      </c>
      <c r="F56" s="279"/>
      <c r="G56" s="294"/>
      <c r="H56" s="294"/>
      <c r="AI56" s="268">
        <f t="shared" si="27"/>
        <v>5</v>
      </c>
      <c r="AJ56" s="296">
        <f t="shared" si="28"/>
        <v>202000</v>
      </c>
      <c r="AK56" s="296">
        <f t="shared" si="28"/>
        <v>198000</v>
      </c>
    </row>
    <row r="57" spans="2:37" x14ac:dyDescent="0.2">
      <c r="B57" s="300" t="s">
        <v>408</v>
      </c>
      <c r="C57" s="301">
        <v>1900</v>
      </c>
      <c r="D57" s="302">
        <v>1</v>
      </c>
      <c r="E57" s="302">
        <v>0.48</v>
      </c>
      <c r="F57" s="279"/>
      <c r="G57" s="294"/>
      <c r="H57" s="294"/>
      <c r="AI57" s="268">
        <f t="shared" si="27"/>
        <v>6</v>
      </c>
      <c r="AJ57" s="296">
        <f t="shared" si="28"/>
        <v>243000</v>
      </c>
      <c r="AK57" s="296">
        <f t="shared" si="28"/>
        <v>225000</v>
      </c>
    </row>
    <row r="58" spans="2:37" x14ac:dyDescent="0.2">
      <c r="B58" s="300" t="s">
        <v>420</v>
      </c>
      <c r="C58" s="301">
        <v>1700</v>
      </c>
      <c r="D58" s="302">
        <v>1</v>
      </c>
      <c r="E58" s="302">
        <v>0.44</v>
      </c>
      <c r="F58" s="279"/>
      <c r="G58" s="294"/>
      <c r="H58" s="294"/>
      <c r="AI58" s="268">
        <f t="shared" si="27"/>
        <v>7</v>
      </c>
      <c r="AJ58" s="296">
        <f t="shared" si="28"/>
        <v>283000</v>
      </c>
      <c r="AK58" s="296">
        <f t="shared" si="28"/>
        <v>252000</v>
      </c>
    </row>
    <row r="59" spans="2:37" x14ac:dyDescent="0.2">
      <c r="B59" s="300" t="s">
        <v>421</v>
      </c>
      <c r="C59" s="301">
        <v>1500</v>
      </c>
      <c r="D59" s="302">
        <v>1</v>
      </c>
      <c r="E59" s="302">
        <v>0.35</v>
      </c>
      <c r="F59" s="279"/>
      <c r="G59" s="294"/>
      <c r="H59" s="294"/>
    </row>
    <row r="60" spans="2:37" x14ac:dyDescent="0.2">
      <c r="B60" s="300"/>
      <c r="C60" s="278"/>
      <c r="D60" s="303"/>
      <c r="E60" s="303"/>
      <c r="F60" s="279"/>
      <c r="G60" s="294"/>
      <c r="H60" s="294"/>
    </row>
    <row r="61" spans="2:37" x14ac:dyDescent="0.2">
      <c r="B61" s="300" t="str">
        <f>'SFF 8.3'!B15</f>
        <v>Expressway, posted 60-70 mph</v>
      </c>
      <c r="C61" s="301">
        <v>1900</v>
      </c>
      <c r="D61" s="302">
        <v>1</v>
      </c>
      <c r="E61" s="302">
        <v>0.57999999999999996</v>
      </c>
      <c r="F61" s="279"/>
      <c r="G61" s="294"/>
      <c r="H61" s="294"/>
    </row>
    <row r="62" spans="2:37" x14ac:dyDescent="0.2">
      <c r="B62" s="300" t="str">
        <f>'SFF 8.3'!B16</f>
        <v>Expressway, posted 55-65 mph</v>
      </c>
      <c r="C62" s="301">
        <v>1900</v>
      </c>
      <c r="D62" s="302">
        <v>1</v>
      </c>
      <c r="E62" s="302">
        <v>0.56000000000000005</v>
      </c>
      <c r="F62" s="279"/>
      <c r="G62" s="294"/>
      <c r="H62" s="294"/>
    </row>
    <row r="63" spans="2:37" x14ac:dyDescent="0.2">
      <c r="B63" s="300" t="str">
        <f>'SFF 8.3'!B17</f>
        <v>Expressway, posted 50-60 mph</v>
      </c>
      <c r="C63" s="301">
        <v>1900</v>
      </c>
      <c r="D63" s="302">
        <v>1</v>
      </c>
      <c r="E63" s="302">
        <v>0.54</v>
      </c>
      <c r="F63" s="279"/>
      <c r="G63" s="294"/>
      <c r="H63" s="294"/>
    </row>
    <row r="64" spans="2:37" x14ac:dyDescent="0.2">
      <c r="B64" s="300" t="str">
        <f>'SFF 8.3'!B18</f>
        <v>Expressway, posted 45-55 mph</v>
      </c>
      <c r="C64" s="301">
        <v>1900</v>
      </c>
      <c r="D64" s="302">
        <v>1</v>
      </c>
      <c r="E64" s="302">
        <v>0.52</v>
      </c>
      <c r="F64" s="279"/>
      <c r="G64" s="294"/>
      <c r="H64" s="294"/>
    </row>
    <row r="65" spans="2:23" x14ac:dyDescent="0.2">
      <c r="B65" s="300"/>
      <c r="C65" s="278"/>
      <c r="D65" s="303"/>
      <c r="E65" s="303"/>
      <c r="F65" s="303"/>
      <c r="H65" s="294"/>
      <c r="I65" s="294"/>
    </row>
    <row r="66" spans="2:23" x14ac:dyDescent="0.2">
      <c r="B66" s="281" t="s">
        <v>486</v>
      </c>
      <c r="C66" s="214" t="s">
        <v>464</v>
      </c>
      <c r="D66" s="304" t="s">
        <v>465</v>
      </c>
      <c r="E66" s="304" t="s">
        <v>466</v>
      </c>
      <c r="F66" s="304" t="s">
        <v>470</v>
      </c>
      <c r="H66" s="294"/>
      <c r="I66" s="294"/>
    </row>
    <row r="67" spans="2:23" x14ac:dyDescent="0.2">
      <c r="B67" s="300" t="s">
        <v>484</v>
      </c>
      <c r="C67" s="302">
        <v>0.98</v>
      </c>
      <c r="D67" s="302">
        <v>0.99</v>
      </c>
      <c r="E67" s="302">
        <v>0.99</v>
      </c>
      <c r="F67" s="302">
        <v>1</v>
      </c>
      <c r="H67" s="294"/>
      <c r="I67" s="294"/>
    </row>
    <row r="68" spans="2:23" x14ac:dyDescent="0.2">
      <c r="B68" s="300" t="s">
        <v>485</v>
      </c>
      <c r="C68" s="302">
        <v>1</v>
      </c>
      <c r="D68" s="302">
        <v>1</v>
      </c>
      <c r="E68" s="302">
        <v>1</v>
      </c>
      <c r="F68" s="302">
        <v>1</v>
      </c>
      <c r="H68" s="294"/>
      <c r="I68" s="294"/>
    </row>
    <row r="69" spans="2:23" x14ac:dyDescent="0.2">
      <c r="B69" s="300" t="s">
        <v>487</v>
      </c>
      <c r="C69" s="302">
        <v>1</v>
      </c>
      <c r="D69" s="302">
        <v>1</v>
      </c>
      <c r="E69" s="302">
        <v>1</v>
      </c>
      <c r="F69" s="302">
        <v>1</v>
      </c>
      <c r="H69" s="294"/>
      <c r="I69" s="294"/>
    </row>
    <row r="70" spans="2:23" x14ac:dyDescent="0.2">
      <c r="B70" s="300"/>
      <c r="C70" s="278"/>
      <c r="D70" s="303"/>
      <c r="E70" s="303"/>
      <c r="F70" s="303"/>
      <c r="H70" s="294"/>
      <c r="I70" s="294"/>
    </row>
    <row r="71" spans="2:23" x14ac:dyDescent="0.2">
      <c r="B71" s="281" t="s">
        <v>462</v>
      </c>
      <c r="C71" s="214" t="s">
        <v>464</v>
      </c>
      <c r="D71" s="304" t="s">
        <v>465</v>
      </c>
      <c r="E71" s="304" t="s">
        <v>466</v>
      </c>
      <c r="F71" s="304" t="s">
        <v>470</v>
      </c>
      <c r="H71" s="294"/>
      <c r="I71" s="294"/>
    </row>
    <row r="72" spans="2:23" x14ac:dyDescent="0.2">
      <c r="B72" s="300" t="s">
        <v>484</v>
      </c>
      <c r="C72" s="302">
        <v>1</v>
      </c>
      <c r="D72" s="302">
        <v>0.95</v>
      </c>
      <c r="E72" s="302">
        <v>0.91</v>
      </c>
      <c r="F72" s="302">
        <v>0.88</v>
      </c>
      <c r="H72" s="294"/>
      <c r="I72" s="294"/>
    </row>
    <row r="73" spans="2:23" x14ac:dyDescent="0.2">
      <c r="B73" s="300" t="s">
        <v>485</v>
      </c>
      <c r="C73" s="302">
        <v>1</v>
      </c>
      <c r="D73" s="302">
        <v>0.95</v>
      </c>
      <c r="E73" s="302">
        <v>0.91</v>
      </c>
      <c r="F73" s="302">
        <v>0.88</v>
      </c>
      <c r="H73" s="294"/>
      <c r="I73" s="294"/>
    </row>
    <row r="74" spans="2:23" x14ac:dyDescent="0.2">
      <c r="B74" s="300" t="s">
        <v>487</v>
      </c>
      <c r="C74" s="302">
        <v>1</v>
      </c>
      <c r="D74" s="302">
        <v>0.96</v>
      </c>
      <c r="E74" s="302">
        <v>0.93</v>
      </c>
      <c r="F74" s="302">
        <v>0.91</v>
      </c>
      <c r="H74" s="294"/>
      <c r="I74" s="294"/>
    </row>
    <row r="75" spans="2:23" x14ac:dyDescent="0.2">
      <c r="B75" s="300"/>
      <c r="C75" s="278"/>
      <c r="D75" s="303"/>
      <c r="E75" s="303"/>
      <c r="F75" s="303"/>
      <c r="H75" s="294"/>
      <c r="I75" s="294"/>
      <c r="J75" s="272"/>
      <c r="K75" s="272"/>
      <c r="L75" s="272"/>
      <c r="M75" s="272"/>
      <c r="N75" s="272"/>
      <c r="O75" s="272"/>
      <c r="P75" s="272"/>
      <c r="Q75" s="272"/>
      <c r="R75" s="272"/>
      <c r="S75" s="272"/>
      <c r="T75" s="272"/>
      <c r="U75" s="272"/>
      <c r="V75" s="272"/>
      <c r="W75" s="272"/>
    </row>
    <row r="76" spans="2:23" x14ac:dyDescent="0.2">
      <c r="B76" s="272"/>
      <c r="C76" s="281">
        <v>1</v>
      </c>
      <c r="D76" s="281">
        <v>2</v>
      </c>
      <c r="E76" s="281">
        <v>3</v>
      </c>
      <c r="F76" s="281">
        <v>4</v>
      </c>
      <c r="G76" s="282">
        <v>5</v>
      </c>
      <c r="H76" s="272"/>
      <c r="I76" s="272"/>
      <c r="J76" s="272"/>
      <c r="K76" s="272"/>
      <c r="L76" s="272"/>
      <c r="M76" s="272"/>
      <c r="N76" s="272"/>
      <c r="O76" s="272"/>
      <c r="P76" s="272"/>
      <c r="Q76" s="272"/>
      <c r="R76" s="272"/>
      <c r="S76" s="272"/>
      <c r="T76" s="272"/>
      <c r="U76" s="272"/>
      <c r="V76" s="272"/>
      <c r="W76" s="272"/>
    </row>
    <row r="77" spans="2:23" x14ac:dyDescent="0.2">
      <c r="C77" s="281" t="s">
        <v>261</v>
      </c>
      <c r="D77" s="281" t="s">
        <v>161</v>
      </c>
      <c r="E77" s="281" t="s">
        <v>4</v>
      </c>
      <c r="F77" s="281" t="s">
        <v>3</v>
      </c>
      <c r="G77" s="282" t="s">
        <v>160</v>
      </c>
      <c r="H77" s="272"/>
      <c r="I77" s="272"/>
      <c r="J77" s="272"/>
      <c r="K77" s="272"/>
      <c r="L77" s="272"/>
      <c r="M77" s="272"/>
      <c r="N77" s="272"/>
      <c r="O77" s="272"/>
      <c r="P77" s="272"/>
      <c r="Q77" s="272"/>
      <c r="R77" s="272"/>
      <c r="S77" s="272"/>
      <c r="T77" s="272"/>
      <c r="U77" s="272"/>
      <c r="V77" s="272"/>
      <c r="W77" s="272"/>
    </row>
    <row r="78" spans="2:23" x14ac:dyDescent="0.2">
      <c r="B78" s="298" t="s">
        <v>453</v>
      </c>
      <c r="C78" s="302">
        <v>1.1000000000000001</v>
      </c>
      <c r="D78" s="305">
        <v>1.05</v>
      </c>
      <c r="E78" s="302">
        <v>1</v>
      </c>
      <c r="F78" s="302">
        <v>0.95</v>
      </c>
      <c r="G78" s="302">
        <v>0.9</v>
      </c>
      <c r="H78" s="272"/>
      <c r="I78" s="272"/>
    </row>
    <row r="79" spans="2:23" x14ac:dyDescent="0.2">
      <c r="H79" s="294"/>
      <c r="I79" s="294"/>
    </row>
    <row r="80" spans="2:23" x14ac:dyDescent="0.2">
      <c r="H80" s="294"/>
      <c r="I80" s="294"/>
    </row>
    <row r="81" spans="1:23" ht="15" x14ac:dyDescent="0.2">
      <c r="B81" s="297" t="s">
        <v>469</v>
      </c>
      <c r="J81" s="272"/>
      <c r="K81" s="272"/>
      <c r="L81" s="272"/>
      <c r="M81" s="272"/>
      <c r="N81" s="272"/>
      <c r="O81" s="272"/>
      <c r="P81" s="272"/>
      <c r="Q81" s="272"/>
      <c r="R81" s="272"/>
      <c r="S81" s="272"/>
      <c r="T81" s="272"/>
      <c r="U81" s="272"/>
      <c r="V81" s="272"/>
      <c r="W81" s="272"/>
    </row>
    <row r="82" spans="1:23" x14ac:dyDescent="0.2">
      <c r="A82" s="276"/>
      <c r="B82" s="298" t="s">
        <v>285</v>
      </c>
      <c r="C82" s="272"/>
      <c r="D82" s="276"/>
      <c r="E82" s="272"/>
      <c r="F82" s="306"/>
      <c r="G82" s="289"/>
      <c r="H82" s="272"/>
      <c r="I82" s="272"/>
      <c r="J82" s="272"/>
      <c r="K82" s="272"/>
      <c r="L82" s="272"/>
      <c r="M82" s="272"/>
      <c r="N82" s="272"/>
      <c r="O82" s="272"/>
      <c r="P82" s="272"/>
      <c r="Q82" s="272"/>
      <c r="R82" s="272"/>
      <c r="S82" s="272"/>
      <c r="T82" s="272"/>
      <c r="U82" s="272"/>
      <c r="V82" s="272"/>
      <c r="W82" s="272"/>
    </row>
    <row r="83" spans="1:23" ht="13.9" customHeight="1" x14ac:dyDescent="0.2">
      <c r="A83" s="276"/>
      <c r="B83" s="298" t="s">
        <v>286</v>
      </c>
      <c r="C83" s="272"/>
      <c r="D83" s="276"/>
      <c r="E83" s="272"/>
      <c r="F83" s="272"/>
      <c r="G83" s="289"/>
      <c r="H83" s="276" t="s">
        <v>534</v>
      </c>
      <c r="I83" s="272"/>
      <c r="J83" s="272"/>
      <c r="K83" s="272"/>
      <c r="L83" s="272"/>
      <c r="M83" s="272"/>
      <c r="N83" s="272"/>
      <c r="O83" s="272"/>
      <c r="P83" s="272"/>
      <c r="Q83" s="272"/>
      <c r="R83" s="272"/>
      <c r="S83" s="272"/>
      <c r="T83" s="272"/>
      <c r="U83" s="272"/>
      <c r="V83" s="272"/>
      <c r="W83" s="272"/>
    </row>
    <row r="84" spans="1:23" ht="13.9" customHeight="1" x14ac:dyDescent="0.2">
      <c r="A84" s="276"/>
      <c r="B84" s="298"/>
      <c r="C84" s="272"/>
      <c r="D84" s="276"/>
      <c r="E84" s="272"/>
      <c r="F84" s="272"/>
      <c r="G84" s="289"/>
      <c r="H84" s="321">
        <v>0.77500000000000002</v>
      </c>
      <c r="I84" s="272"/>
      <c r="J84" s="272"/>
      <c r="K84" s="272"/>
      <c r="L84" s="272"/>
      <c r="M84" s="272"/>
      <c r="N84" s="272"/>
      <c r="O84" s="272"/>
      <c r="P84" s="272"/>
      <c r="Q84" s="272"/>
      <c r="R84" s="272"/>
      <c r="S84" s="272"/>
      <c r="T84" s="272"/>
      <c r="U84" s="272"/>
      <c r="V84" s="272"/>
      <c r="W84" s="272"/>
    </row>
    <row r="85" spans="1:23" ht="13.9" customHeight="1" x14ac:dyDescent="0.2">
      <c r="A85" s="276"/>
      <c r="B85" s="298"/>
      <c r="C85" s="281" t="s">
        <v>297</v>
      </c>
      <c r="D85" s="281" t="s">
        <v>274</v>
      </c>
      <c r="E85" s="272"/>
      <c r="F85" s="272"/>
      <c r="G85" s="282" t="s">
        <v>273</v>
      </c>
      <c r="H85" s="314" t="s">
        <v>533</v>
      </c>
      <c r="I85" s="272"/>
      <c r="J85" s="272"/>
      <c r="K85" s="272"/>
      <c r="L85" s="272"/>
      <c r="M85" s="272"/>
      <c r="N85" s="272"/>
      <c r="O85" s="272"/>
      <c r="P85" s="272"/>
      <c r="Q85" s="272"/>
      <c r="R85" s="272"/>
      <c r="S85" s="272"/>
      <c r="T85" s="272"/>
      <c r="U85" s="272"/>
      <c r="V85" s="272"/>
      <c r="W85" s="272"/>
    </row>
    <row r="86" spans="1:23" ht="13.9" customHeight="1" x14ac:dyDescent="0.2">
      <c r="A86" s="276"/>
      <c r="B86" s="272" t="s">
        <v>551</v>
      </c>
      <c r="C86" s="320">
        <v>2100</v>
      </c>
      <c r="D86" s="301">
        <v>700</v>
      </c>
      <c r="E86" s="272"/>
      <c r="F86" s="272" t="s">
        <v>464</v>
      </c>
      <c r="G86" s="302">
        <v>1</v>
      </c>
      <c r="H86" s="315">
        <v>1800</v>
      </c>
      <c r="I86" s="272"/>
      <c r="J86" s="272"/>
      <c r="K86" s="272"/>
      <c r="L86" s="272"/>
      <c r="M86" s="272"/>
      <c r="N86" s="272"/>
      <c r="O86" s="272"/>
      <c r="P86" s="272"/>
      <c r="Q86" s="272"/>
      <c r="R86" s="272"/>
      <c r="S86" s="272"/>
      <c r="T86" s="272"/>
      <c r="U86" s="272"/>
      <c r="V86" s="272"/>
      <c r="W86" s="272"/>
    </row>
    <row r="87" spans="1:23" ht="13.9" customHeight="1" x14ac:dyDescent="0.2">
      <c r="A87" s="276"/>
      <c r="B87" s="272" t="str">
        <f t="shared" ref="B87:B94" si="29">B34</f>
        <v>Fwy: fwy-to-fwy loop ramp</v>
      </c>
      <c r="C87" s="286">
        <f>H86*$H$84</f>
        <v>1395</v>
      </c>
      <c r="D87" s="301">
        <v>0</v>
      </c>
      <c r="E87" s="272"/>
      <c r="F87" s="272" t="s">
        <v>465</v>
      </c>
      <c r="G87" s="302">
        <v>1</v>
      </c>
      <c r="H87" s="315">
        <v>2000</v>
      </c>
      <c r="I87" s="272"/>
      <c r="J87" s="272"/>
      <c r="K87" s="272"/>
      <c r="L87" s="272"/>
      <c r="M87" s="272"/>
      <c r="N87" s="272"/>
      <c r="O87" s="272"/>
      <c r="P87" s="272"/>
      <c r="Q87" s="272"/>
      <c r="R87" s="272"/>
      <c r="S87" s="272"/>
      <c r="T87" s="272"/>
      <c r="U87" s="272"/>
      <c r="V87" s="272"/>
      <c r="W87" s="272"/>
    </row>
    <row r="88" spans="1:23" ht="13.9" customHeight="1" x14ac:dyDescent="0.2">
      <c r="A88" s="276"/>
      <c r="B88" s="272" t="str">
        <f t="shared" si="29"/>
        <v>Fwy: C-D road, flyover ramp</v>
      </c>
      <c r="C88" s="286">
        <f t="shared" ref="C88:C97" si="30">H87*$H$84</f>
        <v>1550</v>
      </c>
      <c r="D88" s="301">
        <v>0</v>
      </c>
      <c r="E88" s="272"/>
      <c r="F88" s="272" t="s">
        <v>466</v>
      </c>
      <c r="G88" s="302">
        <v>1</v>
      </c>
      <c r="H88" s="315">
        <v>2300</v>
      </c>
      <c r="I88" s="272"/>
      <c r="J88" s="272"/>
      <c r="K88" s="272"/>
      <c r="L88" s="272"/>
      <c r="M88" s="272"/>
      <c r="N88" s="272"/>
      <c r="O88" s="272"/>
      <c r="P88" s="272"/>
      <c r="Q88" s="272"/>
      <c r="R88" s="272"/>
      <c r="S88" s="272"/>
      <c r="T88" s="272"/>
      <c r="U88" s="272"/>
      <c r="V88" s="272"/>
      <c r="W88" s="272"/>
    </row>
    <row r="89" spans="1:23" ht="13.9" customHeight="1" x14ac:dyDescent="0.2">
      <c r="A89" s="276"/>
      <c r="B89" s="272" t="str">
        <f t="shared" si="29"/>
        <v>Fwy: posted 55-60 mph</v>
      </c>
      <c r="C89" s="286">
        <f t="shared" si="30"/>
        <v>1782.5</v>
      </c>
      <c r="D89" s="301">
        <v>0</v>
      </c>
      <c r="E89" s="272"/>
      <c r="F89" s="272" t="s">
        <v>470</v>
      </c>
      <c r="G89" s="302">
        <v>0.98</v>
      </c>
      <c r="H89" s="315">
        <v>2350</v>
      </c>
      <c r="I89" s="272"/>
      <c r="J89" s="272"/>
      <c r="K89" s="272"/>
      <c r="L89" s="272"/>
      <c r="M89" s="272"/>
      <c r="N89" s="272"/>
      <c r="O89" s="272"/>
      <c r="P89" s="272"/>
      <c r="Q89" s="272"/>
      <c r="R89" s="272"/>
      <c r="S89" s="272"/>
      <c r="T89" s="272"/>
      <c r="U89" s="272"/>
      <c r="V89" s="272"/>
      <c r="W89" s="272"/>
    </row>
    <row r="90" spans="1:23" ht="13.9" customHeight="1" x14ac:dyDescent="0.2">
      <c r="A90" s="276"/>
      <c r="B90" s="272" t="str">
        <f t="shared" si="29"/>
        <v>Fwy: posted 65 mph, no aux lane</v>
      </c>
      <c r="C90" s="286">
        <f t="shared" si="30"/>
        <v>1821.25</v>
      </c>
      <c r="D90" s="301">
        <v>0</v>
      </c>
      <c r="E90" s="272"/>
      <c r="F90" s="272" t="s">
        <v>471</v>
      </c>
      <c r="G90" s="302">
        <v>0.95</v>
      </c>
      <c r="H90" s="315">
        <v>2350</v>
      </c>
      <c r="I90" s="272"/>
      <c r="J90" s="272"/>
      <c r="K90" s="272"/>
      <c r="L90" s="272"/>
      <c r="M90" s="272"/>
      <c r="N90" s="272"/>
      <c r="O90" s="272"/>
      <c r="P90" s="272"/>
      <c r="Q90" s="272"/>
      <c r="R90" s="272"/>
      <c r="S90" s="272"/>
      <c r="T90" s="272"/>
      <c r="U90" s="272"/>
      <c r="V90" s="272"/>
      <c r="W90" s="272"/>
    </row>
    <row r="91" spans="1:23" ht="13.9" customHeight="1" x14ac:dyDescent="0.2">
      <c r="A91" s="276"/>
      <c r="B91" s="272" t="str">
        <f t="shared" si="29"/>
        <v>Fwy: posted 65 mph, aux lane</v>
      </c>
      <c r="C91" s="286">
        <f t="shared" si="30"/>
        <v>1821.25</v>
      </c>
      <c r="D91" s="301">
        <v>700</v>
      </c>
      <c r="E91" s="272"/>
      <c r="F91" s="272" t="s">
        <v>472</v>
      </c>
      <c r="G91" s="302">
        <v>0.91</v>
      </c>
      <c r="H91" s="315">
        <v>2400</v>
      </c>
      <c r="I91" s="272"/>
      <c r="J91" s="272"/>
      <c r="K91" s="272"/>
      <c r="L91" s="272"/>
      <c r="M91" s="272"/>
      <c r="N91" s="272"/>
      <c r="O91" s="272"/>
      <c r="P91" s="272"/>
      <c r="Q91" s="272"/>
      <c r="R91" s="272"/>
      <c r="S91" s="272"/>
      <c r="T91" s="272"/>
      <c r="U91" s="272"/>
      <c r="V91" s="272"/>
      <c r="W91" s="272"/>
    </row>
    <row r="92" spans="1:23" ht="13.9" customHeight="1" x14ac:dyDescent="0.2">
      <c r="A92" s="276"/>
      <c r="B92" s="272" t="str">
        <f t="shared" si="29"/>
        <v>Fwy: posted 75 mph, no aux lane</v>
      </c>
      <c r="C92" s="286">
        <f t="shared" si="30"/>
        <v>1860</v>
      </c>
      <c r="D92" s="301">
        <v>0</v>
      </c>
      <c r="E92" s="272"/>
      <c r="F92" s="272" t="s">
        <v>473</v>
      </c>
      <c r="G92" s="302">
        <v>0.88</v>
      </c>
      <c r="H92" s="315">
        <v>2400</v>
      </c>
      <c r="I92" s="272"/>
      <c r="J92" s="272"/>
      <c r="K92" s="272"/>
      <c r="L92" s="272"/>
      <c r="M92" s="272"/>
      <c r="N92" s="272"/>
      <c r="O92" s="272"/>
      <c r="P92" s="272"/>
      <c r="Q92" s="272"/>
      <c r="R92" s="272"/>
      <c r="S92" s="272"/>
      <c r="T92" s="272"/>
      <c r="U92" s="272"/>
      <c r="V92" s="272"/>
      <c r="W92" s="272"/>
    </row>
    <row r="93" spans="1:23" x14ac:dyDescent="0.2">
      <c r="A93" s="276"/>
      <c r="B93" s="272" t="str">
        <f t="shared" si="29"/>
        <v>Fwy: posted 75 mph, aux lane</v>
      </c>
      <c r="C93" s="286">
        <f t="shared" si="30"/>
        <v>1860</v>
      </c>
      <c r="D93" s="301">
        <v>700</v>
      </c>
      <c r="E93" s="272"/>
      <c r="G93" s="268"/>
      <c r="H93" s="315">
        <v>2400</v>
      </c>
      <c r="I93" s="272"/>
      <c r="J93" s="272"/>
      <c r="K93" s="272"/>
      <c r="L93" s="272"/>
      <c r="M93" s="272"/>
      <c r="N93" s="272"/>
      <c r="O93" s="272"/>
      <c r="P93" s="272"/>
      <c r="Q93" s="272"/>
      <c r="R93" s="272"/>
      <c r="S93" s="272"/>
      <c r="T93" s="272"/>
      <c r="U93" s="272"/>
      <c r="V93" s="272"/>
      <c r="W93" s="272"/>
    </row>
    <row r="94" spans="1:23" x14ac:dyDescent="0.2">
      <c r="A94" s="276"/>
      <c r="B94" s="272" t="str">
        <f t="shared" si="29"/>
        <v>Fwy: HOV lane</v>
      </c>
      <c r="C94" s="286">
        <f t="shared" si="30"/>
        <v>1860</v>
      </c>
      <c r="D94" s="301">
        <v>0</v>
      </c>
      <c r="E94" s="272"/>
      <c r="G94" s="268"/>
      <c r="H94" s="315">
        <v>2400</v>
      </c>
      <c r="I94" s="272"/>
      <c r="J94" s="272"/>
      <c r="K94" s="272"/>
      <c r="L94" s="272"/>
      <c r="M94" s="272"/>
      <c r="N94" s="272"/>
      <c r="O94" s="272"/>
      <c r="P94" s="272"/>
      <c r="Q94" s="272"/>
      <c r="R94" s="272"/>
      <c r="S94" s="272"/>
      <c r="T94" s="272"/>
      <c r="U94" s="272"/>
      <c r="V94" s="272"/>
      <c r="W94" s="272"/>
    </row>
    <row r="95" spans="1:23" x14ac:dyDescent="0.2">
      <c r="A95" s="276"/>
      <c r="B95" s="272" t="s">
        <v>418</v>
      </c>
      <c r="C95" s="286">
        <f t="shared" si="30"/>
        <v>1860</v>
      </c>
      <c r="D95" s="301">
        <v>0</v>
      </c>
      <c r="E95" s="272"/>
      <c r="F95" s="272"/>
      <c r="G95" s="289"/>
      <c r="H95" s="315">
        <v>2400</v>
      </c>
      <c r="I95" s="272"/>
      <c r="J95" s="272"/>
      <c r="K95" s="272"/>
      <c r="L95" s="272"/>
      <c r="M95" s="272"/>
      <c r="N95" s="272"/>
      <c r="O95" s="272"/>
      <c r="P95" s="272"/>
      <c r="Q95" s="272"/>
      <c r="R95" s="272"/>
      <c r="S95" s="272"/>
      <c r="T95" s="272"/>
      <c r="U95" s="272"/>
      <c r="V95" s="272"/>
      <c r="W95" s="272"/>
    </row>
    <row r="96" spans="1:23" x14ac:dyDescent="0.2">
      <c r="A96" s="276"/>
      <c r="B96" s="272" t="s">
        <v>430</v>
      </c>
      <c r="C96" s="286">
        <f t="shared" si="30"/>
        <v>1860</v>
      </c>
      <c r="D96" s="301">
        <v>0</v>
      </c>
      <c r="E96" s="272"/>
      <c r="F96" s="272"/>
      <c r="G96" s="289"/>
      <c r="H96" s="315">
        <v>2400</v>
      </c>
      <c r="I96" s="272"/>
      <c r="J96" s="272"/>
      <c r="K96" s="272"/>
      <c r="L96" s="272"/>
      <c r="M96" s="272"/>
      <c r="N96" s="272"/>
      <c r="O96" s="272"/>
      <c r="P96" s="272"/>
      <c r="Q96" s="272"/>
      <c r="R96" s="272"/>
      <c r="S96" s="272"/>
      <c r="T96" s="272"/>
      <c r="U96" s="272"/>
      <c r="V96" s="272"/>
      <c r="W96" s="272"/>
    </row>
    <row r="97" spans="1:23" x14ac:dyDescent="0.2">
      <c r="A97" s="276"/>
      <c r="B97" s="272" t="s">
        <v>431</v>
      </c>
      <c r="C97" s="286">
        <f t="shared" si="30"/>
        <v>1860</v>
      </c>
      <c r="D97" s="301">
        <v>0</v>
      </c>
      <c r="E97" s="272"/>
      <c r="F97" s="272"/>
      <c r="G97" s="289"/>
      <c r="H97" s="272"/>
      <c r="I97" s="272"/>
      <c r="J97" s="272"/>
      <c r="K97" s="272"/>
      <c r="L97" s="272"/>
      <c r="M97" s="272"/>
      <c r="N97" s="272"/>
      <c r="O97" s="272"/>
      <c r="P97" s="272"/>
      <c r="Q97" s="272"/>
      <c r="R97" s="272"/>
      <c r="S97" s="272"/>
      <c r="T97" s="272"/>
      <c r="U97" s="272"/>
      <c r="V97" s="272"/>
      <c r="W97" s="272"/>
    </row>
    <row r="98" spans="1:23" x14ac:dyDescent="0.2">
      <c r="A98" s="276"/>
      <c r="D98" s="268"/>
      <c r="E98" s="272"/>
      <c r="F98" s="272"/>
      <c r="G98" s="289"/>
      <c r="H98" s="272"/>
      <c r="I98" s="272"/>
      <c r="J98" s="272"/>
      <c r="K98" s="272"/>
      <c r="L98" s="272"/>
      <c r="M98" s="272"/>
      <c r="N98" s="272"/>
      <c r="O98" s="272"/>
      <c r="P98" s="272"/>
      <c r="Q98" s="272"/>
      <c r="R98" s="272"/>
      <c r="S98" s="272"/>
      <c r="T98" s="272"/>
      <c r="U98" s="272"/>
      <c r="V98" s="272"/>
      <c r="W98" s="272"/>
    </row>
    <row r="99" spans="1:23" x14ac:dyDescent="0.2">
      <c r="A99" s="276"/>
      <c r="B99" s="272" t="s">
        <v>227</v>
      </c>
      <c r="C99" s="302">
        <v>0.95</v>
      </c>
      <c r="D99" s="278"/>
      <c r="E99" s="272"/>
      <c r="F99" s="272"/>
      <c r="G99" s="289"/>
      <c r="H99" s="272"/>
      <c r="I99" s="272"/>
      <c r="J99" s="272"/>
      <c r="K99" s="272"/>
      <c r="L99" s="272"/>
      <c r="M99" s="272"/>
      <c r="N99" s="272"/>
      <c r="O99" s="272"/>
      <c r="P99" s="272"/>
      <c r="Q99" s="272"/>
      <c r="R99" s="272"/>
      <c r="S99" s="272"/>
      <c r="T99" s="272"/>
      <c r="U99" s="272"/>
      <c r="V99" s="272"/>
      <c r="W99" s="272"/>
    </row>
    <row r="100" spans="1:23" x14ac:dyDescent="0.2">
      <c r="A100" s="276"/>
      <c r="B100" s="272" t="s">
        <v>228</v>
      </c>
      <c r="C100" s="307">
        <v>1</v>
      </c>
      <c r="D100" s="278"/>
      <c r="E100" s="272"/>
      <c r="F100" s="272"/>
      <c r="G100" s="289"/>
      <c r="H100" s="272"/>
      <c r="I100" s="272"/>
      <c r="J100" s="272"/>
      <c r="K100" s="272"/>
      <c r="L100" s="272"/>
      <c r="M100" s="272"/>
      <c r="N100" s="272"/>
      <c r="O100" s="272"/>
      <c r="P100" s="272"/>
      <c r="Q100" s="272"/>
      <c r="R100" s="272"/>
      <c r="S100" s="272"/>
      <c r="T100" s="272"/>
      <c r="U100" s="272"/>
      <c r="V100" s="272"/>
      <c r="W100" s="272"/>
    </row>
    <row r="101" spans="1:23" x14ac:dyDescent="0.2">
      <c r="A101" s="276"/>
      <c r="B101" s="298"/>
      <c r="C101" s="272"/>
      <c r="D101" s="276"/>
      <c r="E101" s="272"/>
      <c r="F101" s="272"/>
      <c r="G101" s="289"/>
      <c r="H101" s="272"/>
      <c r="I101" s="272"/>
      <c r="J101" s="299"/>
      <c r="K101" s="299"/>
      <c r="L101" s="299"/>
      <c r="M101" s="299"/>
      <c r="N101" s="299"/>
      <c r="O101" s="299"/>
      <c r="P101" s="299"/>
      <c r="Q101" s="299"/>
      <c r="R101" s="299"/>
      <c r="S101" s="299"/>
      <c r="T101" s="299"/>
      <c r="U101" s="299"/>
      <c r="V101" s="299"/>
      <c r="W101" s="299"/>
    </row>
    <row r="102" spans="1:23" ht="15" x14ac:dyDescent="0.2">
      <c r="B102" s="297" t="s">
        <v>435</v>
      </c>
      <c r="C102" s="272"/>
      <c r="D102" s="276"/>
      <c r="E102" s="298"/>
      <c r="F102" s="298"/>
      <c r="G102" s="299"/>
      <c r="H102" s="299"/>
      <c r="I102" s="299"/>
      <c r="J102" s="299"/>
      <c r="K102" s="299"/>
      <c r="L102" s="299"/>
      <c r="M102" s="299"/>
      <c r="N102" s="299"/>
      <c r="O102" s="299"/>
      <c r="P102" s="299"/>
      <c r="Q102" s="299"/>
      <c r="R102" s="299"/>
      <c r="S102" s="299"/>
      <c r="T102" s="299"/>
      <c r="U102" s="299"/>
      <c r="V102" s="299"/>
      <c r="W102" s="299"/>
    </row>
    <row r="103" spans="1:23" ht="13.9" customHeight="1" x14ac:dyDescent="0.2">
      <c r="B103" s="298" t="s">
        <v>546</v>
      </c>
      <c r="C103" s="298"/>
      <c r="D103" s="298"/>
      <c r="E103" s="272"/>
      <c r="F103" s="272"/>
      <c r="G103" s="272"/>
      <c r="H103" s="272"/>
      <c r="I103" s="272"/>
      <c r="J103" s="272"/>
      <c r="K103" s="272"/>
      <c r="L103" s="272"/>
      <c r="M103" s="272"/>
      <c r="N103" s="272"/>
      <c r="O103" s="272"/>
      <c r="P103" s="272"/>
      <c r="Q103" s="272"/>
      <c r="R103" s="272"/>
      <c r="S103" s="272"/>
      <c r="T103" s="272"/>
      <c r="U103" s="272"/>
      <c r="V103" s="272"/>
      <c r="W103" s="272"/>
    </row>
    <row r="104" spans="1:23" ht="13.9" customHeight="1" x14ac:dyDescent="0.2">
      <c r="B104" s="298" t="s">
        <v>482</v>
      </c>
      <c r="C104" s="272"/>
      <c r="D104" s="272"/>
      <c r="E104" s="272"/>
      <c r="F104" s="272"/>
      <c r="G104" s="272"/>
      <c r="H104" s="272"/>
      <c r="I104" s="272"/>
      <c r="J104" s="272"/>
      <c r="K104" s="272"/>
      <c r="L104" s="272"/>
      <c r="M104" s="272"/>
      <c r="N104" s="272"/>
      <c r="O104" s="272"/>
      <c r="P104" s="272"/>
      <c r="Q104" s="272"/>
      <c r="R104" s="272"/>
      <c r="S104" s="272"/>
      <c r="T104" s="272"/>
      <c r="U104" s="272"/>
      <c r="V104" s="272"/>
      <c r="W104" s="272"/>
    </row>
    <row r="105" spans="1:23" ht="13.9" customHeight="1" x14ac:dyDescent="0.2">
      <c r="B105" s="298" t="s">
        <v>476</v>
      </c>
      <c r="C105" s="272"/>
      <c r="D105" s="272"/>
      <c r="E105" s="308"/>
      <c r="F105" s="308"/>
      <c r="G105" s="308"/>
      <c r="H105" s="308"/>
      <c r="I105" s="308"/>
      <c r="J105" s="308"/>
      <c r="K105" s="308"/>
      <c r="L105" s="308"/>
      <c r="M105" s="308"/>
      <c r="N105" s="308"/>
      <c r="O105" s="308"/>
      <c r="P105" s="308"/>
      <c r="Q105" s="308"/>
      <c r="R105" s="308"/>
      <c r="S105" s="308"/>
      <c r="T105" s="308"/>
      <c r="U105" s="308"/>
      <c r="V105" s="308"/>
      <c r="W105" s="308"/>
    </row>
    <row r="106" spans="1:23" x14ac:dyDescent="0.2">
      <c r="B106" s="298" t="s">
        <v>477</v>
      </c>
      <c r="C106" s="308"/>
      <c r="D106" s="308"/>
      <c r="E106" s="312"/>
      <c r="F106" s="312"/>
      <c r="G106" s="312"/>
      <c r="H106" s="312"/>
      <c r="I106" s="312"/>
      <c r="J106" s="312"/>
      <c r="K106" s="312"/>
      <c r="L106" s="312"/>
      <c r="M106" s="312"/>
      <c r="N106" s="312"/>
      <c r="O106" s="312"/>
      <c r="P106" s="312"/>
      <c r="Q106" s="312"/>
      <c r="R106" s="312"/>
      <c r="S106" s="312"/>
      <c r="T106" s="312"/>
      <c r="U106" s="312"/>
      <c r="V106" s="312"/>
      <c r="W106" s="312"/>
    </row>
    <row r="107" spans="1:23" x14ac:dyDescent="0.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row>
    <row r="108" spans="1:23" x14ac:dyDescent="0.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row>
    <row r="109" spans="1:23" x14ac:dyDescent="0.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row>
    <row r="110" spans="1:23" x14ac:dyDescent="0.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row>
    <row r="111" spans="1:23" x14ac:dyDescent="0.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row>
    <row r="112" spans="1:23" x14ac:dyDescent="0.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row>
    <row r="113" spans="2:23" x14ac:dyDescent="0.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row>
    <row r="114" spans="2:23" x14ac:dyDescent="0.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row>
    <row r="115" spans="2:23" x14ac:dyDescent="0.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row>
    <row r="116" spans="2:23" x14ac:dyDescent="0.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row>
    <row r="117" spans="2:23" x14ac:dyDescent="0.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row>
    <row r="118" spans="2:23" x14ac:dyDescent="0.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row>
    <row r="119" spans="2:23" x14ac:dyDescent="0.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row>
    <row r="120" spans="2:23" x14ac:dyDescent="0.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row>
    <row r="121" spans="2:23" x14ac:dyDescent="0.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row>
    <row r="122" spans="2:23" x14ac:dyDescent="0.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row>
    <row r="123" spans="2:23" x14ac:dyDescent="0.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row>
    <row r="124" spans="2:23" x14ac:dyDescent="0.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row>
    <row r="125" spans="2:23" x14ac:dyDescent="0.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row>
    <row r="126" spans="2:23" x14ac:dyDescent="0.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row>
    <row r="127" spans="2:23" x14ac:dyDescent="0.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row>
    <row r="128" spans="2:23" x14ac:dyDescent="0.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row>
    <row r="129" spans="2:23" x14ac:dyDescent="0.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row>
    <row r="130" spans="2:23" x14ac:dyDescent="0.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row>
    <row r="131" spans="2:23" x14ac:dyDescent="0.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row>
    <row r="132" spans="2:23" x14ac:dyDescent="0.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row>
    <row r="133" spans="2:23" x14ac:dyDescent="0.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row>
    <row r="134" spans="2:23" x14ac:dyDescent="0.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row>
    <row r="135" spans="2:23" x14ac:dyDescent="0.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row>
    <row r="136" spans="2:23" x14ac:dyDescent="0.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row>
    <row r="137" spans="2:23" x14ac:dyDescent="0.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row>
    <row r="138" spans="2:23" x14ac:dyDescent="0.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row>
    <row r="139" spans="2:23" x14ac:dyDescent="0.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row>
    <row r="140" spans="2:23" x14ac:dyDescent="0.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row>
    <row r="141" spans="2:23" x14ac:dyDescent="0.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row>
    <row r="142" spans="2:23" x14ac:dyDescent="0.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row>
    <row r="143" spans="2:23" x14ac:dyDescent="0.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row>
    <row r="144" spans="2:23" x14ac:dyDescent="0.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row>
    <row r="145" spans="2:23" x14ac:dyDescent="0.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row>
    <row r="146" spans="2:23" x14ac:dyDescent="0.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row>
    <row r="147" spans="2:23" x14ac:dyDescent="0.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row>
    <row r="148" spans="2:23" x14ac:dyDescent="0.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row>
    <row r="149" spans="2:23" x14ac:dyDescent="0.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row>
    <row r="150" spans="2:23" x14ac:dyDescent="0.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row>
    <row r="151" spans="2:23" x14ac:dyDescent="0.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row>
    <row r="152" spans="2:23" x14ac:dyDescent="0.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row>
    <row r="153" spans="2:23" x14ac:dyDescent="0.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row>
    <row r="154" spans="2:23" x14ac:dyDescent="0.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row>
    <row r="155" spans="2:23" x14ac:dyDescent="0.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row>
    <row r="156" spans="2:23" x14ac:dyDescent="0.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row>
    <row r="157" spans="2:23" x14ac:dyDescent="0.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row>
    <row r="158" spans="2:23" x14ac:dyDescent="0.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row>
    <row r="159" spans="2:23" x14ac:dyDescent="0.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row>
    <row r="160" spans="2:23" x14ac:dyDescent="0.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row>
    <row r="161" spans="2:26" x14ac:dyDescent="0.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row>
    <row r="162" spans="2:26" x14ac:dyDescent="0.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row>
    <row r="163" spans="2:26" x14ac:dyDescent="0.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row>
    <row r="164" spans="2:26" x14ac:dyDescent="0.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row>
    <row r="165" spans="2:26" x14ac:dyDescent="0.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row>
    <row r="166" spans="2:26" x14ac:dyDescent="0.2">
      <c r="B166" s="312"/>
      <c r="C166" s="312"/>
      <c r="D166" s="312"/>
    </row>
    <row r="175" spans="2:26" x14ac:dyDescent="0.2">
      <c r="X175" s="294"/>
      <c r="Y175" s="309"/>
      <c r="Z175" s="294"/>
    </row>
    <row r="176" spans="2:26" x14ac:dyDescent="0.2">
      <c r="Y176" s="280"/>
    </row>
    <row r="177" spans="25:30" x14ac:dyDescent="0.2">
      <c r="Y177" s="280"/>
      <c r="AD177" s="279"/>
    </row>
    <row r="178" spans="25:30" x14ac:dyDescent="0.2">
      <c r="Y178" s="280"/>
      <c r="Z178" s="279"/>
      <c r="AA178" s="279"/>
      <c r="AB178" s="279"/>
      <c r="AC178" s="279"/>
      <c r="AD178" s="279"/>
    </row>
    <row r="179" spans="25:30" x14ac:dyDescent="0.2">
      <c r="Y179" s="280"/>
      <c r="Z179" s="279"/>
      <c r="AA179" s="279"/>
      <c r="AB179" s="279"/>
      <c r="AC179" s="279"/>
      <c r="AD179" s="279"/>
    </row>
    <row r="180" spans="25:30" x14ac:dyDescent="0.2">
      <c r="Y180" s="280"/>
      <c r="Z180" s="279"/>
      <c r="AA180" s="279"/>
      <c r="AB180" s="279"/>
      <c r="AC180" s="279"/>
      <c r="AD180" s="279"/>
    </row>
    <row r="181" spans="25:30" x14ac:dyDescent="0.2">
      <c r="Y181" s="280"/>
      <c r="Z181" s="279"/>
      <c r="AA181" s="279"/>
      <c r="AB181" s="279"/>
      <c r="AC181" s="279"/>
      <c r="AD181" s="279"/>
    </row>
    <row r="182" spans="25:30" x14ac:dyDescent="0.2">
      <c r="Y182" s="280"/>
      <c r="Z182" s="279"/>
      <c r="AA182" s="279"/>
      <c r="AB182" s="279"/>
      <c r="AC182" s="279"/>
      <c r="AD182" s="279"/>
    </row>
    <row r="183" spans="25:30" x14ac:dyDescent="0.2">
      <c r="Y183" s="280"/>
      <c r="Z183" s="279"/>
      <c r="AA183" s="279"/>
      <c r="AB183" s="279"/>
      <c r="AC183" s="279"/>
      <c r="AD183" s="279"/>
    </row>
    <row r="184" spans="25:30" x14ac:dyDescent="0.2">
      <c r="Y184" s="280"/>
      <c r="Z184" s="279"/>
      <c r="AA184" s="279"/>
      <c r="AB184" s="279"/>
      <c r="AC184" s="279"/>
    </row>
    <row r="185" spans="25:30" x14ac:dyDescent="0.2">
      <c r="Z185" s="279"/>
    </row>
    <row r="186" spans="25:30" x14ac:dyDescent="0.2">
      <c r="Z186" s="279"/>
    </row>
    <row r="187" spans="25:30" x14ac:dyDescent="0.2">
      <c r="Z187" s="279"/>
    </row>
    <row r="188" spans="25:30" x14ac:dyDescent="0.2">
      <c r="Z188" s="279"/>
    </row>
    <row r="189" spans="25:30" x14ac:dyDescent="0.2">
      <c r="Z189" s="279"/>
    </row>
    <row r="203" spans="23:23" x14ac:dyDescent="0.2">
      <c r="W203" s="310"/>
    </row>
    <row r="204" spans="23:23" x14ac:dyDescent="0.2">
      <c r="W204" s="311"/>
    </row>
    <row r="205" spans="23:23" x14ac:dyDescent="0.2">
      <c r="W205" s="310"/>
    </row>
    <row r="206" spans="23:23" x14ac:dyDescent="0.2">
      <c r="W206" s="310"/>
    </row>
    <row r="207" spans="23:23" x14ac:dyDescent="0.2">
      <c r="W207" s="310"/>
    </row>
    <row r="208" spans="23:23" x14ac:dyDescent="0.2">
      <c r="W208" s="310"/>
    </row>
    <row r="209" spans="23:23" x14ac:dyDescent="0.2">
      <c r="W209" s="310"/>
    </row>
    <row r="210" spans="23:23" x14ac:dyDescent="0.2">
      <c r="W210" s="310"/>
    </row>
    <row r="211" spans="23:23" x14ac:dyDescent="0.2">
      <c r="W211" s="311"/>
    </row>
    <row r="212" spans="23:23" x14ac:dyDescent="0.2">
      <c r="W212" s="311"/>
    </row>
  </sheetData>
  <mergeCells count="1">
    <mergeCell ref="A1:I1"/>
  </mergeCells>
  <dataValidations count="1">
    <dataValidation type="list" allowBlank="1" showInputMessage="1" showErrorMessage="1" sqref="I4" xr:uid="{E1AF2F01-F503-43B3-AB52-C50AD58B948A}">
      <formula1>$C$77:$G$77</formula1>
    </dataValidation>
  </dataValidations>
  <printOptions horizontalCentered="1"/>
  <pageMargins left="0.75" right="0.75" top="1" bottom="0.75" header="0.5" footer="0.5"/>
  <pageSetup scale="89" fitToHeight="2" orientation="portrait" r:id="rId1"/>
  <headerFooter alignWithMargins="0">
    <oddFooter>&amp;L&amp;"Calibri,Regular"&amp;9&amp;F</oddFooter>
  </headerFooter>
  <rowBreaks count="1" manualBreakCount="1">
    <brk id="50" max="8"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K94"/>
  <sheetViews>
    <sheetView showGridLines="0" view="pageBreakPreview" topLeftCell="A31" zoomScale="85" zoomScaleNormal="85" zoomScaleSheetLayoutView="85" workbookViewId="0">
      <selection activeCell="E16" sqref="E16"/>
    </sheetView>
  </sheetViews>
  <sheetFormatPr defaultColWidth="9.140625" defaultRowHeight="12.75" x14ac:dyDescent="0.2"/>
  <cols>
    <col min="1" max="1" width="6.7109375" style="211" customWidth="1"/>
    <col min="2" max="2" width="14.28515625" style="211" customWidth="1"/>
    <col min="3" max="3" width="6.7109375" style="125" customWidth="1"/>
    <col min="4" max="4" width="34.7109375" style="124" customWidth="1"/>
    <col min="5" max="5" width="8.7109375" style="133" customWidth="1"/>
    <col min="6" max="6" width="8.7109375" style="125" customWidth="1"/>
    <col min="7" max="7" width="8.7109375" style="124" customWidth="1"/>
    <col min="8" max="8" width="8.7109375" style="134" customWidth="1"/>
    <col min="9" max="9" width="8.7109375" style="124" customWidth="1"/>
    <col min="10" max="10" width="5.7109375" style="124" customWidth="1"/>
    <col min="11" max="11" width="6" style="124" customWidth="1"/>
    <col min="12" max="12" width="41.140625" style="124" bestFit="1" customWidth="1"/>
    <col min="13" max="16384" width="9.140625" style="124"/>
  </cols>
  <sheetData>
    <row r="1" spans="1:11" ht="23.25" x14ac:dyDescent="0.35">
      <c r="A1" s="242"/>
      <c r="B1" s="242"/>
      <c r="C1" s="465" t="s">
        <v>548</v>
      </c>
      <c r="D1" s="465"/>
      <c r="E1" s="465"/>
      <c r="F1" s="465"/>
      <c r="G1" s="465"/>
      <c r="H1" s="465"/>
      <c r="I1" s="465"/>
      <c r="J1" s="465"/>
      <c r="K1" s="319"/>
    </row>
    <row r="2" spans="1:11" ht="24.75" customHeight="1" x14ac:dyDescent="0.2">
      <c r="D2" s="126"/>
      <c r="E2" s="463" t="s">
        <v>402</v>
      </c>
      <c r="F2" s="463"/>
      <c r="G2" s="463"/>
      <c r="H2" s="463"/>
      <c r="I2" s="463"/>
    </row>
    <row r="3" spans="1:11" x14ac:dyDescent="0.2">
      <c r="A3" s="243" t="s">
        <v>456</v>
      </c>
      <c r="B3" s="243"/>
      <c r="C3" s="127" t="s">
        <v>455</v>
      </c>
      <c r="D3" s="126"/>
      <c r="E3" s="127">
        <v>1</v>
      </c>
      <c r="F3" s="127">
        <v>2</v>
      </c>
      <c r="G3" s="127">
        <v>3</v>
      </c>
      <c r="H3" s="127">
        <v>4</v>
      </c>
      <c r="I3" s="127">
        <v>5</v>
      </c>
    </row>
    <row r="4" spans="1:11" ht="13.9" customHeight="1" x14ac:dyDescent="0.2">
      <c r="A4" s="243" t="s">
        <v>403</v>
      </c>
      <c r="B4" s="243"/>
      <c r="C4" s="127" t="s">
        <v>403</v>
      </c>
      <c r="D4" s="128" t="s">
        <v>404</v>
      </c>
      <c r="E4" s="128" t="s">
        <v>261</v>
      </c>
      <c r="F4" s="128" t="s">
        <v>161</v>
      </c>
      <c r="G4" s="128" t="s">
        <v>4</v>
      </c>
      <c r="H4" s="128" t="s">
        <v>3</v>
      </c>
      <c r="I4" s="128" t="s">
        <v>405</v>
      </c>
      <c r="J4" s="127"/>
      <c r="K4" s="127"/>
    </row>
    <row r="5" spans="1:11" s="127" customFormat="1" x14ac:dyDescent="0.2">
      <c r="A5" s="211">
        <v>1</v>
      </c>
      <c r="B5" s="211"/>
      <c r="C5" s="125">
        <v>1</v>
      </c>
      <c r="D5" s="124" t="s">
        <v>406</v>
      </c>
      <c r="E5" s="213">
        <f t="shared" ref="E5:I8" si="0">1 / ((1/E53) + (E65*E$77/3600))</f>
        <v>30</v>
      </c>
      <c r="F5" s="213">
        <f t="shared" si="0"/>
        <v>24</v>
      </c>
      <c r="G5" s="213">
        <f t="shared" si="0"/>
        <v>20.16</v>
      </c>
      <c r="H5" s="213">
        <f t="shared" si="0"/>
        <v>17.034700315457414</v>
      </c>
      <c r="I5" s="213">
        <f t="shared" si="0"/>
        <v>13.535791757049891</v>
      </c>
      <c r="J5" s="124"/>
      <c r="K5" s="124"/>
    </row>
    <row r="6" spans="1:11" x14ac:dyDescent="0.2">
      <c r="A6" s="211">
        <v>2</v>
      </c>
      <c r="C6" s="125">
        <v>2</v>
      </c>
      <c r="D6" s="124" t="s">
        <v>454</v>
      </c>
      <c r="E6" s="212">
        <f t="shared" si="0"/>
        <v>60</v>
      </c>
      <c r="F6" s="212">
        <f t="shared" si="0"/>
        <v>47.710843373493979</v>
      </c>
      <c r="G6" s="212">
        <f t="shared" si="0"/>
        <v>39.560439560439562</v>
      </c>
      <c r="H6" s="212">
        <f t="shared" si="0"/>
        <v>32.757051865332116</v>
      </c>
      <c r="I6" s="212">
        <f t="shared" si="0"/>
        <v>24.347826086956523</v>
      </c>
      <c r="J6" s="135"/>
    </row>
    <row r="7" spans="1:11" x14ac:dyDescent="0.2">
      <c r="A7" s="211">
        <v>3</v>
      </c>
      <c r="C7" s="125">
        <v>3</v>
      </c>
      <c r="D7" s="124" t="s">
        <v>408</v>
      </c>
      <c r="E7" s="212">
        <f t="shared" si="0"/>
        <v>53</v>
      </c>
      <c r="F7" s="212">
        <f t="shared" si="0"/>
        <v>41.379310344827587</v>
      </c>
      <c r="G7" s="212">
        <f t="shared" si="0"/>
        <v>35.294117647058826</v>
      </c>
      <c r="H7" s="212">
        <f t="shared" si="0"/>
        <v>30.120940138434623</v>
      </c>
      <c r="I7" s="212">
        <f t="shared" si="0"/>
        <v>21.290322580645164</v>
      </c>
      <c r="J7" s="135"/>
    </row>
    <row r="8" spans="1:11" x14ac:dyDescent="0.2">
      <c r="A8" s="246">
        <v>4</v>
      </c>
      <c r="B8" s="246"/>
      <c r="C8" s="130">
        <v>4</v>
      </c>
      <c r="D8" s="124" t="s">
        <v>420</v>
      </c>
      <c r="E8" s="212">
        <f t="shared" si="0"/>
        <v>45</v>
      </c>
      <c r="F8" s="212">
        <f t="shared" si="0"/>
        <v>34.708520179372194</v>
      </c>
      <c r="G8" s="212">
        <f t="shared" si="0"/>
        <v>28.799999999999997</v>
      </c>
      <c r="H8" s="212">
        <f t="shared" si="0"/>
        <v>25.678098432710659</v>
      </c>
      <c r="I8" s="212">
        <f t="shared" si="0"/>
        <v>18.378378378378379</v>
      </c>
      <c r="J8" s="135"/>
    </row>
    <row r="9" spans="1:11" x14ac:dyDescent="0.2">
      <c r="A9" s="211">
        <v>5</v>
      </c>
      <c r="C9" s="125">
        <v>5</v>
      </c>
      <c r="D9" s="124" t="s">
        <v>421</v>
      </c>
      <c r="E9" s="212">
        <f>E8-3</f>
        <v>42</v>
      </c>
      <c r="F9" s="212">
        <f>F8-3</f>
        <v>31.708520179372194</v>
      </c>
      <c r="G9" s="212">
        <f>G8-3</f>
        <v>25.799999999999997</v>
      </c>
      <c r="H9" s="212">
        <f>H8-3</f>
        <v>22.678098432710659</v>
      </c>
      <c r="I9" s="212">
        <f>I8-3</f>
        <v>15.378378378378379</v>
      </c>
      <c r="J9" s="135"/>
    </row>
    <row r="10" spans="1:11" x14ac:dyDescent="0.2">
      <c r="A10" s="246" t="s">
        <v>457</v>
      </c>
      <c r="B10" s="246"/>
      <c r="C10" s="130">
        <v>6</v>
      </c>
      <c r="D10" s="124" t="s">
        <v>159</v>
      </c>
      <c r="E10" s="132">
        <f>E5</f>
        <v>30</v>
      </c>
      <c r="F10" s="132">
        <f>F5</f>
        <v>24</v>
      </c>
      <c r="G10" s="132">
        <f>G5</f>
        <v>20.16</v>
      </c>
      <c r="H10" s="132">
        <f>H5</f>
        <v>17.034700315457414</v>
      </c>
      <c r="I10" s="132">
        <f>I5</f>
        <v>13.535791757049891</v>
      </c>
      <c r="J10" s="135"/>
    </row>
    <row r="11" spans="1:11" x14ac:dyDescent="0.2">
      <c r="A11" s="246" t="s">
        <v>457</v>
      </c>
      <c r="B11" s="246"/>
      <c r="C11" s="125">
        <v>7</v>
      </c>
      <c r="D11" s="124" t="s">
        <v>498</v>
      </c>
      <c r="E11" s="234">
        <v>15</v>
      </c>
      <c r="F11" s="132">
        <f>E11</f>
        <v>15</v>
      </c>
      <c r="G11" s="132">
        <f>F11</f>
        <v>15</v>
      </c>
      <c r="H11" s="132">
        <f>G11</f>
        <v>15</v>
      </c>
      <c r="I11" s="132">
        <f>H11</f>
        <v>15</v>
      </c>
      <c r="J11" s="135"/>
    </row>
    <row r="12" spans="1:11" x14ac:dyDescent="0.2">
      <c r="E12" s="129"/>
      <c r="F12" s="129"/>
      <c r="G12" s="129"/>
      <c r="H12" s="129"/>
      <c r="I12" s="129"/>
    </row>
    <row r="13" spans="1:11" x14ac:dyDescent="0.2">
      <c r="A13" s="243" t="s">
        <v>456</v>
      </c>
      <c r="B13" s="243"/>
      <c r="C13" s="127" t="s">
        <v>455</v>
      </c>
      <c r="E13" s="128" t="s">
        <v>455</v>
      </c>
      <c r="F13" s="128" t="s">
        <v>456</v>
      </c>
      <c r="G13" s="129"/>
      <c r="H13" s="129"/>
      <c r="I13" s="129"/>
    </row>
    <row r="14" spans="1:11" x14ac:dyDescent="0.2">
      <c r="A14" s="243" t="s">
        <v>403</v>
      </c>
      <c r="B14" s="243"/>
      <c r="C14" s="127" t="s">
        <v>403</v>
      </c>
      <c r="D14" s="128" t="s">
        <v>404</v>
      </c>
      <c r="E14" s="128" t="s">
        <v>410</v>
      </c>
      <c r="F14" s="128" t="s">
        <v>410</v>
      </c>
      <c r="G14" s="142" t="s">
        <v>441</v>
      </c>
    </row>
    <row r="15" spans="1:11" x14ac:dyDescent="0.2">
      <c r="A15" s="246" t="s">
        <v>457</v>
      </c>
      <c r="B15" s="246"/>
      <c r="C15" s="130">
        <v>12</v>
      </c>
      <c r="D15" s="124" t="s">
        <v>478</v>
      </c>
      <c r="E15" s="213">
        <f>1 / ((1/E58) + (E70*E79/3600))</f>
        <v>59.617834394904463</v>
      </c>
      <c r="F15" s="134"/>
      <c r="G15" s="135"/>
      <c r="H15" s="135"/>
    </row>
    <row r="16" spans="1:11" x14ac:dyDescent="0.2">
      <c r="A16" s="211" t="s">
        <v>457</v>
      </c>
      <c r="C16" s="125">
        <v>13</v>
      </c>
      <c r="D16" s="124" t="s">
        <v>479</v>
      </c>
      <c r="E16" s="213">
        <f>1 / ((1/E59) + (E71*E80/3600))</f>
        <v>53.333333333333336</v>
      </c>
      <c r="F16" s="134"/>
      <c r="G16" s="135"/>
    </row>
    <row r="17" spans="1:10" x14ac:dyDescent="0.2">
      <c r="A17" s="211">
        <v>11</v>
      </c>
      <c r="B17" s="207">
        <v>50</v>
      </c>
      <c r="C17" s="125">
        <v>14</v>
      </c>
      <c r="D17" s="124" t="s">
        <v>480</v>
      </c>
      <c r="E17" s="213">
        <f>1 / ((1/E60) + (E72*E81/3600))</f>
        <v>47.710843373493979</v>
      </c>
      <c r="G17" s="135"/>
      <c r="H17" s="135"/>
    </row>
    <row r="18" spans="1:10" x14ac:dyDescent="0.2">
      <c r="A18" s="246" t="s">
        <v>457</v>
      </c>
      <c r="B18" s="239"/>
      <c r="C18" s="130">
        <v>15</v>
      </c>
      <c r="D18" s="124" t="s">
        <v>481</v>
      </c>
      <c r="E18" s="213">
        <f>1 / ((1/E61) + (E73*E82/3600))</f>
        <v>42.603550295857993</v>
      </c>
      <c r="G18" s="135"/>
      <c r="H18" s="135"/>
    </row>
    <row r="19" spans="1:10" x14ac:dyDescent="0.2">
      <c r="A19" s="246"/>
      <c r="B19" s="240"/>
      <c r="C19" s="130"/>
      <c r="E19" s="129"/>
      <c r="G19" s="135"/>
      <c r="H19" s="135"/>
    </row>
    <row r="20" spans="1:10" x14ac:dyDescent="0.2">
      <c r="A20" s="246"/>
      <c r="B20" s="240"/>
      <c r="C20" s="130">
        <v>20</v>
      </c>
      <c r="D20" s="124" t="str">
        <f>'Cap1hr1ln V8.1'!B23</f>
        <v>MM: fwy-to-fwy loop ramp</v>
      </c>
      <c r="E20" s="322">
        <f t="shared" ref="E20:E27" si="1">E31</f>
        <v>35</v>
      </c>
      <c r="G20" s="135"/>
      <c r="H20" s="135"/>
    </row>
    <row r="21" spans="1:10" x14ac:dyDescent="0.2">
      <c r="A21" s="246"/>
      <c r="B21" s="240"/>
      <c r="C21" s="130">
        <v>21</v>
      </c>
      <c r="D21" s="124" t="str">
        <f>'Cap1hr1ln V8.1'!B24</f>
        <v>MM: C-D road, flyover ramp</v>
      </c>
      <c r="E21" s="322">
        <f t="shared" si="1"/>
        <v>55</v>
      </c>
      <c r="G21" s="135"/>
      <c r="H21" s="135"/>
    </row>
    <row r="22" spans="1:10" x14ac:dyDescent="0.2">
      <c r="A22" s="246"/>
      <c r="B22" s="240"/>
      <c r="C22" s="130">
        <v>22</v>
      </c>
      <c r="D22" s="124" t="str">
        <f>'Cap1hr1ln V8.1'!B25</f>
        <v>MM: posted 55-60 mph</v>
      </c>
      <c r="E22" s="322">
        <f t="shared" si="1"/>
        <v>62</v>
      </c>
      <c r="G22" s="135"/>
      <c r="H22" s="135"/>
    </row>
    <row r="23" spans="1:10" x14ac:dyDescent="0.2">
      <c r="A23" s="246"/>
      <c r="B23" s="240"/>
      <c r="C23" s="130">
        <v>23</v>
      </c>
      <c r="D23" s="124" t="str">
        <f>'Cap1hr1ln V8.1'!B26</f>
        <v>MM: posted 65 mph, no aux lane</v>
      </c>
      <c r="E23" s="322">
        <f t="shared" si="1"/>
        <v>67</v>
      </c>
      <c r="G23" s="135"/>
      <c r="H23" s="135"/>
    </row>
    <row r="24" spans="1:10" x14ac:dyDescent="0.2">
      <c r="A24" s="246"/>
      <c r="B24" s="240"/>
      <c r="C24" s="130">
        <v>24</v>
      </c>
      <c r="D24" s="124" t="str">
        <f>'Cap1hr1ln V8.1'!B27</f>
        <v>MM: posted 65 mph, aux lane</v>
      </c>
      <c r="E24" s="322">
        <f t="shared" si="1"/>
        <v>67</v>
      </c>
      <c r="G24" s="135"/>
      <c r="H24" s="135"/>
    </row>
    <row r="25" spans="1:10" x14ac:dyDescent="0.2">
      <c r="A25" s="246"/>
      <c r="B25" s="240"/>
      <c r="C25" s="130">
        <v>25</v>
      </c>
      <c r="D25" s="124" t="str">
        <f>'Cap1hr1ln V8.1'!B28</f>
        <v>MM: posted 75 mph, no aux lane</v>
      </c>
      <c r="E25" s="322">
        <f t="shared" si="1"/>
        <v>75</v>
      </c>
      <c r="G25" s="135"/>
      <c r="H25" s="135"/>
    </row>
    <row r="26" spans="1:10" x14ac:dyDescent="0.2">
      <c r="A26" s="246"/>
      <c r="B26" s="240"/>
      <c r="C26" s="130">
        <v>26</v>
      </c>
      <c r="D26" s="124" t="str">
        <f>'Cap1hr1ln V8.1'!B29</f>
        <v>MM: posted 75 mph, aux lane</v>
      </c>
      <c r="E26" s="322">
        <f t="shared" si="1"/>
        <v>75</v>
      </c>
      <c r="G26" s="135"/>
      <c r="H26" s="135"/>
    </row>
    <row r="27" spans="1:10" x14ac:dyDescent="0.2">
      <c r="A27" s="246"/>
      <c r="B27" s="240"/>
      <c r="C27" s="130">
        <v>27</v>
      </c>
      <c r="D27" s="124" t="str">
        <f>'Cap1hr1ln V8.1'!B30</f>
        <v>place holder</v>
      </c>
      <c r="E27" s="322">
        <f t="shared" si="1"/>
        <v>70</v>
      </c>
      <c r="G27" s="135"/>
      <c r="H27" s="135"/>
    </row>
    <row r="28" spans="1:10" x14ac:dyDescent="0.2">
      <c r="A28" s="246"/>
      <c r="B28" s="240"/>
      <c r="C28" s="130">
        <v>28</v>
      </c>
      <c r="D28" s="124" t="str">
        <f>'Cap1hr1ln V8.1'!B31</f>
        <v>MM: On-ramp</v>
      </c>
      <c r="E28" s="212">
        <f>E42</f>
        <v>23</v>
      </c>
      <c r="G28" s="135"/>
      <c r="H28" s="135"/>
    </row>
    <row r="29" spans="1:10" x14ac:dyDescent="0.2">
      <c r="A29" s="246"/>
      <c r="B29" s="240"/>
      <c r="C29" s="130">
        <v>29</v>
      </c>
      <c r="D29" s="124" t="str">
        <f>'Cap1hr1ln V8.1'!B32</f>
        <v>MM: Off-ramp</v>
      </c>
      <c r="E29" s="212">
        <f>E43</f>
        <v>26</v>
      </c>
      <c r="G29" s="135"/>
      <c r="H29" s="135"/>
    </row>
    <row r="30" spans="1:10" x14ac:dyDescent="0.2">
      <c r="A30" s="246"/>
      <c r="B30" s="240"/>
      <c r="C30" s="130"/>
      <c r="E30" s="129"/>
      <c r="G30" s="135"/>
      <c r="H30" s="135"/>
    </row>
    <row r="31" spans="1:10" x14ac:dyDescent="0.2">
      <c r="A31" s="211">
        <v>29</v>
      </c>
      <c r="B31" s="207">
        <v>40</v>
      </c>
      <c r="C31" s="125">
        <v>30</v>
      </c>
      <c r="D31" s="124" t="str">
        <f>'Cap1hr1ln V8.1'!B34</f>
        <v>Fwy: fwy-to-fwy loop ramp</v>
      </c>
      <c r="E31" s="234">
        <v>35</v>
      </c>
      <c r="G31" s="143"/>
      <c r="H31" s="143"/>
      <c r="I31" s="143"/>
      <c r="J31" s="145"/>
    </row>
    <row r="32" spans="1:10" x14ac:dyDescent="0.2">
      <c r="A32" s="211">
        <v>33</v>
      </c>
      <c r="B32" s="207">
        <v>55</v>
      </c>
      <c r="C32" s="125">
        <v>31</v>
      </c>
      <c r="D32" s="124" t="str">
        <f>'Cap1hr1ln V8.1'!B35</f>
        <v>Fwy: C-D road, flyover ramp</v>
      </c>
      <c r="E32" s="234">
        <v>55</v>
      </c>
      <c r="G32" s="143"/>
      <c r="H32" s="143"/>
      <c r="I32" s="143"/>
      <c r="J32" s="146"/>
    </row>
    <row r="33" spans="1:10" x14ac:dyDescent="0.2">
      <c r="A33" s="207" t="s">
        <v>457</v>
      </c>
      <c r="B33" s="207" t="s">
        <v>457</v>
      </c>
      <c r="C33" s="125">
        <v>32</v>
      </c>
      <c r="D33" s="124" t="str">
        <f>'Cap1hr1ln V8.1'!B36</f>
        <v>Fwy: posted 55-60 mph</v>
      </c>
      <c r="E33" s="234">
        <v>62</v>
      </c>
      <c r="G33" s="143"/>
      <c r="H33" s="143"/>
      <c r="I33" s="143"/>
      <c r="J33" s="145"/>
    </row>
    <row r="34" spans="1:10" x14ac:dyDescent="0.2">
      <c r="A34" s="211">
        <v>32</v>
      </c>
      <c r="B34" s="207">
        <v>67</v>
      </c>
      <c r="C34" s="125">
        <v>33</v>
      </c>
      <c r="D34" s="124" t="str">
        <f>'Cap1hr1ln V8.1'!B37</f>
        <v>Fwy: posted 65 mph, no aux lane</v>
      </c>
      <c r="E34" s="234">
        <v>67</v>
      </c>
      <c r="G34" s="143"/>
      <c r="H34" s="143"/>
      <c r="I34" s="143"/>
      <c r="J34" s="145"/>
    </row>
    <row r="35" spans="1:10" x14ac:dyDescent="0.2">
      <c r="A35" s="211">
        <v>31</v>
      </c>
      <c r="B35" s="207">
        <v>67</v>
      </c>
      <c r="C35" s="125">
        <v>34</v>
      </c>
      <c r="D35" s="124" t="str">
        <f>'Cap1hr1ln V8.1'!B38</f>
        <v>Fwy: posted 65 mph, aux lane</v>
      </c>
      <c r="E35" s="234">
        <v>67</v>
      </c>
      <c r="G35" s="143"/>
      <c r="H35" s="143"/>
      <c r="I35" s="143"/>
      <c r="J35" s="148"/>
    </row>
    <row r="36" spans="1:10" x14ac:dyDescent="0.2">
      <c r="A36" s="207" t="s">
        <v>457</v>
      </c>
      <c r="B36" s="207" t="s">
        <v>457</v>
      </c>
      <c r="C36" s="125">
        <v>35</v>
      </c>
      <c r="D36" s="124" t="str">
        <f>'Cap1hr1ln V8.1'!B39</f>
        <v>Fwy: posted 75 mph, no aux lane</v>
      </c>
      <c r="E36" s="234">
        <v>75</v>
      </c>
      <c r="G36" s="143"/>
      <c r="H36" s="143"/>
      <c r="I36" s="143"/>
      <c r="J36" s="146"/>
    </row>
    <row r="37" spans="1:10" x14ac:dyDescent="0.2">
      <c r="A37" s="211">
        <v>35</v>
      </c>
      <c r="B37" s="207">
        <v>75</v>
      </c>
      <c r="C37" s="125">
        <v>36</v>
      </c>
      <c r="D37" s="124" t="str">
        <f>'Cap1hr1ln V8.1'!B40</f>
        <v>Fwy: posted 75 mph, aux lane</v>
      </c>
      <c r="E37" s="234">
        <v>75</v>
      </c>
      <c r="G37" s="143"/>
      <c r="H37" s="143"/>
      <c r="I37" s="143"/>
      <c r="J37" s="146"/>
    </row>
    <row r="38" spans="1:10" x14ac:dyDescent="0.2">
      <c r="A38" s="211">
        <v>34</v>
      </c>
      <c r="B38" s="207">
        <v>70</v>
      </c>
      <c r="C38" s="125">
        <v>37</v>
      </c>
      <c r="D38" s="124" t="str">
        <f>'Cap1hr1ln V8.1'!B41</f>
        <v>Fwy: HOV lane</v>
      </c>
      <c r="E38" s="234">
        <v>70</v>
      </c>
      <c r="G38" s="135"/>
      <c r="H38" s="124"/>
    </row>
    <row r="39" spans="1:10" x14ac:dyDescent="0.2">
      <c r="A39" s="211">
        <v>39</v>
      </c>
      <c r="B39" s="207">
        <v>70</v>
      </c>
      <c r="C39" s="125">
        <v>38</v>
      </c>
      <c r="D39" s="124" t="str">
        <f>'Cap1hr1ln V8.1'!B42</f>
        <v>Fwy: Managed lane</v>
      </c>
      <c r="E39" s="234">
        <v>70</v>
      </c>
      <c r="G39" s="147"/>
      <c r="H39" s="148"/>
      <c r="I39" s="148"/>
      <c r="J39" s="148"/>
    </row>
    <row r="40" spans="1:10" x14ac:dyDescent="0.2">
      <c r="A40" s="211">
        <v>38</v>
      </c>
      <c r="B40" s="207">
        <v>70</v>
      </c>
      <c r="C40" s="125">
        <v>39</v>
      </c>
      <c r="D40" s="124" t="str">
        <f>'Cap1hr1ln V8.1'!B43</f>
        <v>Fwy: Managed lane access</v>
      </c>
      <c r="E40" s="234">
        <v>70</v>
      </c>
      <c r="G40" s="135"/>
      <c r="H40" s="124"/>
    </row>
    <row r="41" spans="1:10" x14ac:dyDescent="0.2">
      <c r="A41" s="211">
        <v>40</v>
      </c>
      <c r="B41" s="241" t="s">
        <v>474</v>
      </c>
      <c r="C41" s="125">
        <v>40</v>
      </c>
      <c r="D41" s="124" t="str">
        <f>'Cap1hr1ln V8.1'!B44</f>
        <v>Fwy: Tollway</v>
      </c>
      <c r="E41" s="235">
        <v>77</v>
      </c>
      <c r="G41" s="135"/>
      <c r="H41" s="124"/>
    </row>
    <row r="42" spans="1:10" x14ac:dyDescent="0.2">
      <c r="A42" s="211">
        <v>36</v>
      </c>
      <c r="B42" s="207">
        <v>23</v>
      </c>
      <c r="C42" s="125">
        <v>41</v>
      </c>
      <c r="D42" s="124" t="str">
        <f>'Cap1hr1ln V8.1'!B45</f>
        <v>Fwy: On-ramp</v>
      </c>
      <c r="E42" s="234">
        <v>23</v>
      </c>
    </row>
    <row r="43" spans="1:10" x14ac:dyDescent="0.2">
      <c r="A43" s="211">
        <v>37</v>
      </c>
      <c r="B43" s="207">
        <v>26</v>
      </c>
      <c r="C43" s="125">
        <v>42</v>
      </c>
      <c r="D43" s="124" t="str">
        <f>'Cap1hr1ln V8.1'!B46</f>
        <v>Fwy: Off-ramp</v>
      </c>
      <c r="E43" s="234">
        <v>26</v>
      </c>
    </row>
    <row r="44" spans="1:10" x14ac:dyDescent="0.2">
      <c r="E44" s="131"/>
      <c r="F44" s="131"/>
      <c r="G44" s="131"/>
      <c r="H44" s="131"/>
      <c r="I44" s="131"/>
    </row>
    <row r="45" spans="1:10" ht="15" x14ac:dyDescent="0.25">
      <c r="A45" s="247"/>
      <c r="B45" s="247"/>
      <c r="C45" s="144" t="s">
        <v>435</v>
      </c>
    </row>
    <row r="46" spans="1:10" x14ac:dyDescent="0.2">
      <c r="A46" s="248"/>
      <c r="B46" s="248"/>
      <c r="C46" s="137" t="s">
        <v>458</v>
      </c>
    </row>
    <row r="47" spans="1:10" x14ac:dyDescent="0.2">
      <c r="A47" s="248"/>
      <c r="B47" s="248"/>
      <c r="C47" s="137" t="s">
        <v>459</v>
      </c>
    </row>
    <row r="48" spans="1:10" x14ac:dyDescent="0.2">
      <c r="A48" s="248"/>
      <c r="B48" s="248"/>
      <c r="C48" s="137"/>
    </row>
    <row r="49" spans="1:10" ht="15" x14ac:dyDescent="0.25">
      <c r="A49" s="247"/>
      <c r="B49" s="247"/>
      <c r="C49" s="144" t="s">
        <v>554</v>
      </c>
      <c r="D49" s="136"/>
    </row>
    <row r="50" spans="1:10" x14ac:dyDescent="0.2">
      <c r="A50" s="248"/>
      <c r="B50" s="248"/>
      <c r="C50" s="137" t="s">
        <v>419</v>
      </c>
    </row>
    <row r="51" spans="1:10" x14ac:dyDescent="0.2">
      <c r="D51" s="464" t="s">
        <v>168</v>
      </c>
      <c r="E51" s="464"/>
      <c r="F51" s="464"/>
      <c r="G51" s="464"/>
      <c r="H51" s="464"/>
      <c r="I51" s="464"/>
    </row>
    <row r="52" spans="1:10" x14ac:dyDescent="0.2">
      <c r="D52" s="125"/>
      <c r="E52" s="138" t="s">
        <v>261</v>
      </c>
      <c r="F52" s="138" t="s">
        <v>161</v>
      </c>
      <c r="G52" s="138" t="s">
        <v>4</v>
      </c>
      <c r="H52" s="138" t="s">
        <v>3</v>
      </c>
      <c r="I52" s="128" t="s">
        <v>405</v>
      </c>
    </row>
    <row r="53" spans="1:10" x14ac:dyDescent="0.2">
      <c r="D53" s="139" t="s">
        <v>406</v>
      </c>
      <c r="E53" s="244">
        <v>30</v>
      </c>
      <c r="F53" s="244">
        <v>30</v>
      </c>
      <c r="G53" s="236">
        <v>28</v>
      </c>
      <c r="H53" s="236">
        <v>27</v>
      </c>
      <c r="I53" s="244">
        <v>26</v>
      </c>
    </row>
    <row r="54" spans="1:10" x14ac:dyDescent="0.2">
      <c r="D54" s="139" t="s">
        <v>407</v>
      </c>
      <c r="E54" s="236">
        <v>60</v>
      </c>
      <c r="F54" s="236">
        <v>55</v>
      </c>
      <c r="G54" s="244">
        <v>50</v>
      </c>
      <c r="H54" s="244">
        <v>45</v>
      </c>
      <c r="I54" s="244">
        <v>35</v>
      </c>
    </row>
    <row r="55" spans="1:10" x14ac:dyDescent="0.2">
      <c r="D55" s="139" t="s">
        <v>408</v>
      </c>
      <c r="E55" s="236">
        <v>53</v>
      </c>
      <c r="F55" s="236">
        <v>50</v>
      </c>
      <c r="G55" s="236">
        <v>48</v>
      </c>
      <c r="H55" s="236">
        <v>44</v>
      </c>
      <c r="I55" s="236">
        <v>33</v>
      </c>
    </row>
    <row r="56" spans="1:10" x14ac:dyDescent="0.2">
      <c r="D56" s="139" t="s">
        <v>409</v>
      </c>
      <c r="E56" s="236">
        <v>45</v>
      </c>
      <c r="F56" s="236">
        <v>43</v>
      </c>
      <c r="G56" s="236">
        <v>40</v>
      </c>
      <c r="H56" s="244">
        <v>37</v>
      </c>
      <c r="I56" s="244">
        <v>34</v>
      </c>
    </row>
    <row r="57" spans="1:10" x14ac:dyDescent="0.2">
      <c r="D57" s="139"/>
      <c r="E57" s="207"/>
      <c r="F57" s="207"/>
      <c r="G57" s="207"/>
      <c r="H57" s="207"/>
      <c r="I57" s="207"/>
    </row>
    <row r="58" spans="1:10" x14ac:dyDescent="0.2">
      <c r="D58" s="139" t="str">
        <f>D15</f>
        <v>Expressway, posted 60-70 mph</v>
      </c>
      <c r="E58" s="244">
        <v>65</v>
      </c>
      <c r="F58" s="208"/>
      <c r="G58" s="208"/>
      <c r="H58" s="208"/>
      <c r="I58" s="211"/>
    </row>
    <row r="59" spans="1:10" x14ac:dyDescent="0.2">
      <c r="D59" s="139" t="str">
        <f>D16</f>
        <v>Expressway, posted 55-65 mph</v>
      </c>
      <c r="E59" s="244">
        <v>60</v>
      </c>
      <c r="F59" s="208"/>
      <c r="G59" s="208"/>
      <c r="H59" s="208"/>
      <c r="I59" s="211"/>
    </row>
    <row r="60" spans="1:10" x14ac:dyDescent="0.2">
      <c r="D60" s="139" t="str">
        <f>D17</f>
        <v>Expressway, posted 50-60 mph</v>
      </c>
      <c r="E60" s="244">
        <v>55</v>
      </c>
      <c r="F60" s="208"/>
      <c r="G60" s="208"/>
      <c r="H60" s="208"/>
      <c r="I60" s="211"/>
    </row>
    <row r="61" spans="1:10" x14ac:dyDescent="0.2">
      <c r="D61" s="139" t="str">
        <f>D18</f>
        <v>Expressway, posted 45-55 mph</v>
      </c>
      <c r="E61" s="244">
        <v>50</v>
      </c>
      <c r="F61" s="208"/>
      <c r="G61" s="208"/>
      <c r="H61" s="208"/>
      <c r="I61" s="211"/>
    </row>
    <row r="62" spans="1:10" x14ac:dyDescent="0.2">
      <c r="F62" s="131"/>
      <c r="G62" s="131"/>
      <c r="H62" s="131"/>
      <c r="I62" s="125"/>
      <c r="J62" s="131"/>
    </row>
    <row r="63" spans="1:10" x14ac:dyDescent="0.2">
      <c r="D63" s="464" t="s">
        <v>163</v>
      </c>
      <c r="E63" s="464"/>
      <c r="F63" s="464"/>
      <c r="G63" s="464"/>
      <c r="H63" s="464"/>
      <c r="I63" s="464"/>
      <c r="J63" s="131"/>
    </row>
    <row r="64" spans="1:10" x14ac:dyDescent="0.2">
      <c r="D64" s="125"/>
      <c r="E64" s="138" t="s">
        <v>261</v>
      </c>
      <c r="F64" s="138" t="s">
        <v>161</v>
      </c>
      <c r="G64" s="138" t="s">
        <v>4</v>
      </c>
      <c r="H64" s="138" t="s">
        <v>3</v>
      </c>
      <c r="I64" s="128" t="s">
        <v>405</v>
      </c>
      <c r="J64" s="131"/>
    </row>
    <row r="65" spans="4:9" x14ac:dyDescent="0.2">
      <c r="D65" s="139" t="s">
        <v>406</v>
      </c>
      <c r="E65" s="237">
        <v>0</v>
      </c>
      <c r="F65" s="237">
        <v>3</v>
      </c>
      <c r="G65" s="237">
        <v>5</v>
      </c>
      <c r="H65" s="237">
        <v>6</v>
      </c>
      <c r="I65" s="237">
        <v>8.5</v>
      </c>
    </row>
    <row r="66" spans="4:9" x14ac:dyDescent="0.2">
      <c r="D66" s="139" t="s">
        <v>407</v>
      </c>
      <c r="E66" s="237">
        <v>0</v>
      </c>
      <c r="F66" s="237">
        <v>1</v>
      </c>
      <c r="G66" s="237">
        <v>1.9</v>
      </c>
      <c r="H66" s="237">
        <v>2.2999999999999998</v>
      </c>
      <c r="I66" s="237">
        <v>3</v>
      </c>
    </row>
    <row r="67" spans="4:9" x14ac:dyDescent="0.2">
      <c r="D67" s="139" t="s">
        <v>408</v>
      </c>
      <c r="E67" s="237">
        <v>0</v>
      </c>
      <c r="F67" s="237">
        <v>1.5</v>
      </c>
      <c r="G67" s="237">
        <v>2.7</v>
      </c>
      <c r="H67" s="237">
        <v>2.9</v>
      </c>
      <c r="I67" s="237">
        <v>4</v>
      </c>
    </row>
    <row r="68" spans="4:9" x14ac:dyDescent="0.2">
      <c r="D68" s="139" t="s">
        <v>409</v>
      </c>
      <c r="E68" s="237">
        <v>0</v>
      </c>
      <c r="F68" s="237">
        <v>2</v>
      </c>
      <c r="G68" s="237">
        <v>3.5</v>
      </c>
      <c r="H68" s="237">
        <v>3.3</v>
      </c>
      <c r="I68" s="237">
        <v>6</v>
      </c>
    </row>
    <row r="69" spans="4:9" x14ac:dyDescent="0.2">
      <c r="D69" s="139"/>
      <c r="E69" s="208"/>
      <c r="F69" s="208"/>
      <c r="G69" s="208"/>
      <c r="H69" s="208"/>
      <c r="I69" s="208"/>
    </row>
    <row r="70" spans="4:9" x14ac:dyDescent="0.2">
      <c r="D70" s="139" t="str">
        <f>D58</f>
        <v>Expressway, posted 60-70 mph</v>
      </c>
      <c r="E70" s="238">
        <v>0.5</v>
      </c>
      <c r="F70" s="208"/>
      <c r="G70" s="208"/>
      <c r="H70" s="208"/>
      <c r="I70" s="211"/>
    </row>
    <row r="71" spans="4:9" x14ac:dyDescent="0.2">
      <c r="D71" s="139" t="str">
        <f t="shared" ref="D71:D73" si="2">D59</f>
        <v>Expressway, posted 55-65 mph</v>
      </c>
      <c r="E71" s="238">
        <v>0.75</v>
      </c>
      <c r="F71" s="208"/>
      <c r="G71" s="208"/>
      <c r="H71" s="208"/>
      <c r="I71" s="211"/>
    </row>
    <row r="72" spans="4:9" x14ac:dyDescent="0.2">
      <c r="D72" s="139" t="str">
        <f t="shared" si="2"/>
        <v>Expressway, posted 50-60 mph</v>
      </c>
      <c r="E72" s="238">
        <v>1</v>
      </c>
      <c r="F72" s="208"/>
      <c r="G72" s="208"/>
      <c r="H72" s="208"/>
      <c r="I72" s="211"/>
    </row>
    <row r="73" spans="4:9" x14ac:dyDescent="0.2">
      <c r="D73" s="139" t="str">
        <f t="shared" si="2"/>
        <v>Expressway, posted 45-55 mph</v>
      </c>
      <c r="E73" s="238">
        <v>1.25</v>
      </c>
      <c r="F73" s="208"/>
      <c r="G73" s="208"/>
      <c r="H73" s="208"/>
      <c r="I73" s="211"/>
    </row>
    <row r="74" spans="4:9" x14ac:dyDescent="0.2">
      <c r="F74" s="131"/>
      <c r="G74" s="131"/>
      <c r="H74" s="131"/>
      <c r="I74" s="125"/>
    </row>
    <row r="75" spans="4:9" x14ac:dyDescent="0.2">
      <c r="D75" s="464" t="s">
        <v>170</v>
      </c>
      <c r="E75" s="464"/>
      <c r="F75" s="464"/>
      <c r="G75" s="464"/>
      <c r="H75" s="464"/>
      <c r="I75" s="464"/>
    </row>
    <row r="76" spans="4:9" x14ac:dyDescent="0.2">
      <c r="D76" s="125"/>
      <c r="E76" s="138" t="s">
        <v>261</v>
      </c>
      <c r="F76" s="138" t="s">
        <v>161</v>
      </c>
      <c r="G76" s="138" t="s">
        <v>4</v>
      </c>
      <c r="H76" s="138" t="s">
        <v>3</v>
      </c>
      <c r="I76" s="128" t="s">
        <v>405</v>
      </c>
    </row>
    <row r="77" spans="4:9" x14ac:dyDescent="0.2">
      <c r="D77" s="139" t="s">
        <v>171</v>
      </c>
      <c r="E77" s="235">
        <v>0</v>
      </c>
      <c r="F77" s="235">
        <v>10</v>
      </c>
      <c r="G77" s="235">
        <v>10</v>
      </c>
      <c r="H77" s="235">
        <v>13</v>
      </c>
      <c r="I77" s="235">
        <v>15</v>
      </c>
    </row>
    <row r="78" spans="4:9" x14ac:dyDescent="0.2">
      <c r="D78" s="139"/>
      <c r="E78" s="125"/>
      <c r="G78" s="125"/>
      <c r="H78" s="125"/>
      <c r="I78" s="125"/>
    </row>
    <row r="79" spans="4:9" x14ac:dyDescent="0.2">
      <c r="D79" s="139" t="str">
        <f>D70</f>
        <v>Expressway, posted 60-70 mph</v>
      </c>
      <c r="E79" s="244">
        <v>10</v>
      </c>
    </row>
    <row r="80" spans="4:9" x14ac:dyDescent="0.2">
      <c r="D80" s="139" t="str">
        <f t="shared" ref="D80:D82" si="3">D71</f>
        <v>Expressway, posted 55-65 mph</v>
      </c>
      <c r="E80" s="244">
        <v>10</v>
      </c>
    </row>
    <row r="81" spans="4:9" x14ac:dyDescent="0.2">
      <c r="D81" s="139" t="str">
        <f t="shared" si="3"/>
        <v>Expressway, posted 50-60 mph</v>
      </c>
      <c r="E81" s="244">
        <v>10</v>
      </c>
    </row>
    <row r="82" spans="4:9" x14ac:dyDescent="0.2">
      <c r="D82" s="139" t="str">
        <f t="shared" si="3"/>
        <v>Expressway, posted 45-55 mph</v>
      </c>
      <c r="E82" s="244">
        <v>10</v>
      </c>
    </row>
    <row r="83" spans="4:9" x14ac:dyDescent="0.2">
      <c r="F83" s="134"/>
      <c r="G83" s="127"/>
      <c r="H83" s="127"/>
    </row>
    <row r="84" spans="4:9" x14ac:dyDescent="0.2">
      <c r="E84" s="127"/>
      <c r="F84" s="134"/>
      <c r="G84" s="127"/>
      <c r="H84" s="127"/>
    </row>
    <row r="85" spans="4:9" x14ac:dyDescent="0.2">
      <c r="E85" s="127"/>
      <c r="F85" s="134"/>
      <c r="G85" s="127"/>
      <c r="H85" s="127"/>
    </row>
    <row r="87" spans="4:9" x14ac:dyDescent="0.2">
      <c r="D87" s="127"/>
      <c r="E87" s="127"/>
      <c r="F87" s="127"/>
      <c r="G87" s="127"/>
      <c r="H87" s="127"/>
      <c r="I87" s="127"/>
    </row>
    <row r="92" spans="4:9" ht="15.75" x14ac:dyDescent="0.25">
      <c r="D92" s="140"/>
      <c r="G92" s="134"/>
      <c r="H92" s="127"/>
      <c r="I92" s="127"/>
    </row>
    <row r="93" spans="4:9" ht="15.75" x14ac:dyDescent="0.25">
      <c r="D93" s="140"/>
      <c r="E93" s="127"/>
      <c r="F93" s="127"/>
      <c r="G93" s="127"/>
      <c r="H93" s="127"/>
      <c r="I93" s="127"/>
    </row>
    <row r="94" spans="4:9" ht="15.75" x14ac:dyDescent="0.25">
      <c r="D94" s="140"/>
      <c r="E94" s="127"/>
      <c r="F94" s="127"/>
      <c r="G94" s="127"/>
      <c r="H94" s="127"/>
      <c r="I94" s="127"/>
    </row>
  </sheetData>
  <mergeCells count="5">
    <mergeCell ref="C1:J1"/>
    <mergeCell ref="E2:I2"/>
    <mergeCell ref="D51:I51"/>
    <mergeCell ref="D63:I63"/>
    <mergeCell ref="D75:I75"/>
  </mergeCells>
  <printOptions horizontalCentered="1"/>
  <pageMargins left="0.75" right="0.75" top="0.5" bottom="0.25" header="0.25" footer="0.25"/>
  <pageSetup fitToHeight="2" orientation="portrait" r:id="rId1"/>
  <headerFooter alignWithMargins="0"/>
  <rowBreaks count="1" manualBreakCount="1">
    <brk id="47" min="2" max="9"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K212"/>
  <sheetViews>
    <sheetView view="pageBreakPreview" zoomScale="80" zoomScaleNormal="80" zoomScaleSheetLayoutView="80" workbookViewId="0">
      <selection activeCell="E16" sqref="E16"/>
    </sheetView>
  </sheetViews>
  <sheetFormatPr defaultColWidth="8.85546875" defaultRowHeight="12.75" x14ac:dyDescent="0.2"/>
  <cols>
    <col min="1" max="1" width="4.5703125" style="280" customWidth="1"/>
    <col min="2" max="2" width="32.7109375" style="268" customWidth="1"/>
    <col min="3" max="3" width="8.7109375" style="268" customWidth="1"/>
    <col min="4" max="4" width="8.7109375" style="280" customWidth="1"/>
    <col min="5" max="6" width="8.7109375" style="268" customWidth="1"/>
    <col min="7" max="7" width="8.7109375" style="279" customWidth="1"/>
    <col min="8" max="8" width="8.7109375" style="268" customWidth="1"/>
    <col min="9" max="22" width="10.42578125" style="268" customWidth="1"/>
    <col min="23" max="23" width="8.85546875" style="268" customWidth="1"/>
    <col min="24" max="25" width="8.85546875" style="268"/>
    <col min="26" max="27" width="10.5703125" style="268" bestFit="1" customWidth="1"/>
    <col min="28" max="29" width="8.85546875" style="268"/>
    <col min="30" max="30" width="9" style="268" bestFit="1" customWidth="1"/>
    <col min="31" max="31" width="10.5703125" style="268" bestFit="1" customWidth="1"/>
    <col min="32" max="32" width="9.5703125" style="268" bestFit="1" customWidth="1"/>
    <col min="33" max="16384" width="8.85546875" style="268"/>
  </cols>
  <sheetData>
    <row r="1" spans="1:37" ht="23.25" x14ac:dyDescent="0.35">
      <c r="A1" s="466" t="s">
        <v>547</v>
      </c>
      <c r="B1" s="466"/>
      <c r="C1" s="466"/>
      <c r="D1" s="466"/>
      <c r="E1" s="466"/>
      <c r="F1" s="466"/>
      <c r="G1" s="466"/>
      <c r="H1" s="466"/>
      <c r="I1" s="466"/>
      <c r="J1" s="267"/>
      <c r="K1" s="267"/>
      <c r="L1" s="267"/>
      <c r="M1" s="267"/>
      <c r="N1" s="267"/>
      <c r="O1" s="267"/>
      <c r="P1" s="267"/>
      <c r="Q1" s="267"/>
      <c r="R1" s="267"/>
      <c r="S1" s="267"/>
      <c r="T1" s="267"/>
      <c r="U1" s="267"/>
      <c r="V1" s="267"/>
      <c r="W1" s="267"/>
    </row>
    <row r="2" spans="1:37" s="270" customFormat="1" x14ac:dyDescent="0.2">
      <c r="A2" s="269"/>
      <c r="B2" s="269"/>
      <c r="C2" s="269"/>
      <c r="D2" s="269"/>
      <c r="E2" s="269"/>
      <c r="F2" s="269"/>
      <c r="G2" s="269"/>
      <c r="H2" s="269"/>
      <c r="I2" s="269"/>
      <c r="J2" s="269"/>
      <c r="K2" s="269"/>
      <c r="L2" s="269"/>
      <c r="M2" s="269"/>
      <c r="N2" s="269"/>
      <c r="O2" s="269"/>
      <c r="P2" s="269"/>
      <c r="Q2" s="269"/>
      <c r="R2" s="269"/>
      <c r="S2" s="269"/>
      <c r="T2" s="269"/>
      <c r="U2" s="269"/>
      <c r="V2" s="269"/>
      <c r="W2" s="269"/>
      <c r="AI2" s="271" t="s">
        <v>291</v>
      </c>
      <c r="AJ2" s="272"/>
    </row>
    <row r="3" spans="1:37" s="270" customFormat="1" ht="13.9" customHeight="1" x14ac:dyDescent="0.2">
      <c r="A3" s="269" t="s">
        <v>403</v>
      </c>
      <c r="B3" s="273" t="s">
        <v>404</v>
      </c>
      <c r="C3" s="269"/>
      <c r="D3" s="214" t="s">
        <v>467</v>
      </c>
      <c r="E3" s="269"/>
      <c r="F3" s="269"/>
      <c r="G3" s="269"/>
      <c r="H3" s="269"/>
      <c r="I3" s="274" t="s">
        <v>453</v>
      </c>
      <c r="J3" s="269"/>
      <c r="K3" s="269"/>
      <c r="L3" s="269"/>
      <c r="M3" s="269"/>
      <c r="N3" s="269"/>
      <c r="O3" s="269"/>
      <c r="P3" s="269"/>
      <c r="Q3" s="269"/>
      <c r="R3" s="269"/>
      <c r="S3" s="269"/>
      <c r="T3" s="269"/>
      <c r="U3" s="269"/>
      <c r="V3" s="269"/>
      <c r="W3" s="269"/>
      <c r="AI3" s="275">
        <v>0.09</v>
      </c>
      <c r="AJ3" s="272" t="s">
        <v>460</v>
      </c>
    </row>
    <row r="4" spans="1:37" x14ac:dyDescent="0.2">
      <c r="A4" s="276">
        <v>1</v>
      </c>
      <c r="B4" s="277" t="s">
        <v>499</v>
      </c>
      <c r="D4" s="278">
        <v>10000</v>
      </c>
      <c r="I4" s="272" t="s">
        <v>4</v>
      </c>
    </row>
    <row r="5" spans="1:37" x14ac:dyDescent="0.2">
      <c r="A5" s="276"/>
      <c r="B5" s="277"/>
    </row>
    <row r="6" spans="1:37" x14ac:dyDescent="0.2">
      <c r="A6" s="276"/>
      <c r="B6" s="277"/>
      <c r="F6" s="214" t="s">
        <v>467</v>
      </c>
      <c r="Z6" s="281" t="s">
        <v>261</v>
      </c>
      <c r="AA6" s="281" t="s">
        <v>161</v>
      </c>
      <c r="AB6" s="281" t="s">
        <v>4</v>
      </c>
      <c r="AC6" s="281" t="s">
        <v>3</v>
      </c>
      <c r="AD6" s="282" t="s">
        <v>160</v>
      </c>
      <c r="AI6" s="281"/>
      <c r="AJ6" s="214" t="s">
        <v>483</v>
      </c>
      <c r="AK6" s="283"/>
    </row>
    <row r="7" spans="1:37" x14ac:dyDescent="0.2">
      <c r="A7" s="269"/>
      <c r="B7" s="273"/>
      <c r="C7" s="281" t="s">
        <v>464</v>
      </c>
      <c r="D7" s="214" t="s">
        <v>465</v>
      </c>
      <c r="E7" s="281" t="s">
        <v>466</v>
      </c>
      <c r="F7" s="214" t="s">
        <v>470</v>
      </c>
      <c r="G7" s="281" t="s">
        <v>471</v>
      </c>
      <c r="H7" s="214" t="s">
        <v>472</v>
      </c>
      <c r="I7" s="281" t="s">
        <v>473</v>
      </c>
      <c r="W7" s="272" t="str">
        <f>B8 &amp; ", " &amp; D7</f>
        <v>Principal Arterial, 2 lanes</v>
      </c>
      <c r="X7" s="272"/>
      <c r="Y7" s="272"/>
      <c r="Z7" s="278" t="e">
        <f>VLOOKUP($B8,ArtExpFactors,2,FALSE)*VLOOKUP($B8,ArtExpFactors,3,FALSE)*SUMIFS($D$67:$D$68,$B$67:$B$68,"*"&amp;RIGHT($B8,4))*SUMIFS($D$72:$D$74,$B$72:$B$74,"*"&amp;RIGHT($B8,4))*VLOOKUP($B8,ArtExpFactors,4,FALSE)*C$78</f>
        <v>#REF!</v>
      </c>
      <c r="AA7" s="278" t="e">
        <f>VLOOKUP($B8,ArtExpFactors,2,FALSE)*VLOOKUP($B8,ArtExpFactors,3,FALSE)*SUMIFS($D$67:$D$68,$B$67:$B$68,"*"&amp;RIGHT($B8,4))*SUMIFS($D$72:$D$74,$B$72:$B$74,"*"&amp;RIGHT($B8,4))*VLOOKUP($B8,ArtExpFactors,4,FALSE)*D$78</f>
        <v>#REF!</v>
      </c>
      <c r="AB7" s="278" t="e">
        <f>VLOOKUP($B8,ArtExpFactors,2,FALSE)*VLOOKUP($B8,ArtExpFactors,3,FALSE)*SUMIFS($D$67:$D$68,$B$67:$B$68,"*"&amp;RIGHT($B8,4))*SUMIFS($D$72:$D$74,$B$72:$B$74,"*"&amp;RIGHT($B8,4))*VLOOKUP($B8,ArtExpFactors,4,FALSE)*E$78</f>
        <v>#REF!</v>
      </c>
      <c r="AC7" s="278" t="e">
        <f>VLOOKUP($B8,ArtExpFactors,2,FALSE)*VLOOKUP($B8,ArtExpFactors,3,FALSE)*SUMIFS($D$67:$D$68,$B$67:$B$68,"*"&amp;RIGHT($B8,4))*SUMIFS($D$72:$D$74,$B$72:$B$74,"*"&amp;RIGHT($B8,4))*VLOOKUP($B8,ArtExpFactors,4,FALSE)*F$78</f>
        <v>#REF!</v>
      </c>
      <c r="AD7" s="278" t="e">
        <f>VLOOKUP($B8,ArtExpFactors,2,FALSE)*VLOOKUP($B8,ArtExpFactors,3,FALSE)*SUMIFS($D$67:$D$68,$B$67:$B$68,"*"&amp;RIGHT($B8,4))*SUMIFS($D$72:$D$74,$B$72:$B$74,"*"&amp;RIGHT($B8,4))*VLOOKUP($B8,ArtExpFactors,4,FALSE)*G$78</f>
        <v>#REF!</v>
      </c>
      <c r="AI7" s="281" t="s">
        <v>464</v>
      </c>
      <c r="AJ7" s="214" t="s">
        <v>465</v>
      </c>
      <c r="AK7" s="281" t="s">
        <v>466</v>
      </c>
    </row>
    <row r="8" spans="1:37" x14ac:dyDescent="0.2">
      <c r="A8" s="276">
        <v>2</v>
      </c>
      <c r="B8" s="272" t="s">
        <v>454</v>
      </c>
      <c r="C8" s="284" t="e">
        <f t="shared" ref="C8:F11" si="0">VLOOKUP($B8,ArtExpFactors,2,FALSE)*VLOOKUP($B8,ArtExpFactors,3,FALSE)*SUMIFS(C$67:C$68,$B$67:$B$68,"*"&amp;RIGHT($B8,4))*SUMIFS(C$72:C$74,$B$72:$B$74,"*"&amp;RIGHT($B8,4))*VLOOKUP($B8,ArtExpFactors,4,FALSE)*HLOOKUP($I$4,ATypeCap,2,FALSE)</f>
        <v>#REF!</v>
      </c>
      <c r="D8" s="284" t="e">
        <f t="shared" si="0"/>
        <v>#REF!</v>
      </c>
      <c r="E8" s="284" t="e">
        <f t="shared" si="0"/>
        <v>#REF!</v>
      </c>
      <c r="F8" s="284" t="e">
        <f t="shared" si="0"/>
        <v>#REF!</v>
      </c>
      <c r="G8" s="285" t="e">
        <f>F8*F8/E8</f>
        <v>#REF!</v>
      </c>
      <c r="H8" s="285" t="e">
        <f>G8*G8/F8</f>
        <v>#REF!</v>
      </c>
      <c r="I8" s="285" t="e">
        <f>H8*H8/G8</f>
        <v>#REF!</v>
      </c>
      <c r="W8" s="272" t="str">
        <f>B8 &amp; ", " &amp; E7</f>
        <v>Principal Arterial, 3 lanes</v>
      </c>
      <c r="X8" s="272"/>
      <c r="Y8" s="272"/>
      <c r="Z8" s="278" t="e">
        <f>VLOOKUP($B8,ArtExpFactors,2,FALSE)*VLOOKUP($B8,ArtExpFactors,3,FALSE)*SUMIFS($E$67:$E$68,$B$67:$B$68,"*"&amp;RIGHT($B8,4))*SUMIFS($E$72:$E$74,$B$72:$B$74,"*"&amp;RIGHT($B8,4))*VLOOKUP($B8,ArtExpFactors,4,FALSE)*C$78</f>
        <v>#REF!</v>
      </c>
      <c r="AA8" s="278" t="e">
        <f>VLOOKUP($B8,ArtExpFactors,2,FALSE)*VLOOKUP($B8,ArtExpFactors,3,FALSE)*SUMIFS($E$67:$E$68,$B$67:$B$68,"*"&amp;RIGHT($B8,4))*SUMIFS($E$72:$E$74,$B$72:$B$74,"*"&amp;RIGHT($B8,4))*VLOOKUP($B8,ArtExpFactors,4,FALSE)*D$78</f>
        <v>#REF!</v>
      </c>
      <c r="AB8" s="278" t="e">
        <f>VLOOKUP($B8,ArtExpFactors,2,FALSE)*VLOOKUP($B8,ArtExpFactors,3,FALSE)*SUMIFS($E$67:$E$68,$B$67:$B$68,"*"&amp;RIGHT($B8,4))*SUMIFS($E$72:$E$74,$B$72:$B$74,"*"&amp;RIGHT($B8,4))*VLOOKUP($B8,ArtExpFactors,4,FALSE)*E$78</f>
        <v>#REF!</v>
      </c>
      <c r="AC8" s="278" t="e">
        <f>VLOOKUP($B8,ArtExpFactors,2,FALSE)*VLOOKUP($B8,ArtExpFactors,3,FALSE)*SUMIFS($E$67:$E$68,$B$67:$B$68,"*"&amp;RIGHT($B8,4))*SUMIFS($E$72:$E$74,$B$72:$B$74,"*"&amp;RIGHT($B8,4))*VLOOKUP($B8,ArtExpFactors,4,FALSE)*F$78</f>
        <v>#REF!</v>
      </c>
      <c r="AD8" s="278" t="e">
        <f>VLOOKUP($B8,ArtExpFactors,2,FALSE)*VLOOKUP($B8,ArtExpFactors,3,FALSE)*SUMIFS($E$67:$E$68,$B$67:$B$68,"*"&amp;RIGHT($B8,4))*SUMIFS($E$72:$E$74,$B$72:$B$74,"*"&amp;RIGHT($B8,4))*VLOOKUP($B8,ArtExpFactors,4,FALSE)*G$78</f>
        <v>#REF!</v>
      </c>
      <c r="AI8" s="286" t="str">
        <f t="shared" ref="AI8:AK11" si="1">IFERROR(ROUND(C8/$AI$3*2*LEFT(AI$7,1),-3),"")</f>
        <v/>
      </c>
      <c r="AJ8" s="286" t="str">
        <f t="shared" si="1"/>
        <v/>
      </c>
      <c r="AK8" s="286" t="str">
        <f t="shared" si="1"/>
        <v/>
      </c>
    </row>
    <row r="9" spans="1:37" x14ac:dyDescent="0.2">
      <c r="A9" s="276">
        <v>3</v>
      </c>
      <c r="B9" s="272" t="s">
        <v>408</v>
      </c>
      <c r="C9" s="284" t="e">
        <f t="shared" si="0"/>
        <v>#REF!</v>
      </c>
      <c r="D9" s="284" t="e">
        <f t="shared" si="0"/>
        <v>#REF!</v>
      </c>
      <c r="E9" s="284" t="e">
        <f t="shared" si="0"/>
        <v>#REF!</v>
      </c>
      <c r="F9" s="284" t="e">
        <f t="shared" si="0"/>
        <v>#REF!</v>
      </c>
      <c r="G9" s="285" t="e">
        <f t="shared" ref="G9:I11" si="2">F9*F9/E9</f>
        <v>#REF!</v>
      </c>
      <c r="H9" s="285" t="e">
        <f t="shared" si="2"/>
        <v>#REF!</v>
      </c>
      <c r="I9" s="285" t="e">
        <f t="shared" si="2"/>
        <v>#REF!</v>
      </c>
      <c r="W9" s="272" t="str">
        <f>B9 &amp; ", " &amp; D7</f>
        <v>Minor Arterial, 2 lanes</v>
      </c>
      <c r="Z9" s="278" t="e">
        <f>VLOOKUP($B9,ArtExpFactors,2,FALSE)*VLOOKUP($B9,ArtExpFactors,3,FALSE)*SUMIFS($D$67:$D$68,$B$67:$B$68,"*"&amp;RIGHT($B9,4))*SUMIFS($D$72:$D$74,$B$72:$B$74,"*"&amp;RIGHT($B9,4))*VLOOKUP($B9,ArtExpFactors,4,FALSE)*C$78</f>
        <v>#REF!</v>
      </c>
      <c r="AA9" s="278" t="e">
        <f>VLOOKUP($B9,ArtExpFactors,2,FALSE)*VLOOKUP($B9,ArtExpFactors,3,FALSE)*SUMIFS($D$67:$D$68,$B$67:$B$68,"*"&amp;RIGHT($B9,4))*SUMIFS($D$72:$D$74,$B$72:$B$74,"*"&amp;RIGHT($B9,4))*VLOOKUP($B9,ArtExpFactors,4,FALSE)*D$78</f>
        <v>#REF!</v>
      </c>
      <c r="AB9" s="278" t="e">
        <f>VLOOKUP($B9,ArtExpFactors,2,FALSE)*VLOOKUP($B9,ArtExpFactors,3,FALSE)*SUMIFS($D$67:$D$68,$B$67:$B$68,"*"&amp;RIGHT($B9,4))*SUMIFS($D$72:$D$74,$B$72:$B$74,"*"&amp;RIGHT($B9,4))*VLOOKUP($B9,ArtExpFactors,4,FALSE)*E$78</f>
        <v>#REF!</v>
      </c>
      <c r="AC9" s="278" t="e">
        <f>VLOOKUP($B9,ArtExpFactors,2,FALSE)*VLOOKUP($B9,ArtExpFactors,3,FALSE)*SUMIFS($D$67:$D$68,$B$67:$B$68,"*"&amp;RIGHT($B9,4))*SUMIFS($D$72:$D$74,$B$72:$B$74,"*"&amp;RIGHT($B9,4))*VLOOKUP($B9,ArtExpFactors,4,FALSE)*F$78</f>
        <v>#REF!</v>
      </c>
      <c r="AD9" s="278" t="e">
        <f>VLOOKUP($B9,ArtExpFactors,2,FALSE)*VLOOKUP($B9,ArtExpFactors,3,FALSE)*SUMIFS($D$67:$D$68,$B$67:$B$68,"*"&amp;RIGHT($B9,4))*SUMIFS($D$72:$D$74,$B$72:$B$74,"*"&amp;RIGHT($B9,4))*VLOOKUP($B9,ArtExpFactors,4,FALSE)*G$78</f>
        <v>#REF!</v>
      </c>
      <c r="AI9" s="286" t="str">
        <f t="shared" si="1"/>
        <v/>
      </c>
      <c r="AJ9" s="286" t="str">
        <f t="shared" si="1"/>
        <v/>
      </c>
      <c r="AK9" s="286" t="str">
        <f t="shared" si="1"/>
        <v/>
      </c>
    </row>
    <row r="10" spans="1:37" x14ac:dyDescent="0.2">
      <c r="A10" s="276">
        <v>4</v>
      </c>
      <c r="B10" s="272" t="s">
        <v>420</v>
      </c>
      <c r="C10" s="284" t="e">
        <f t="shared" si="0"/>
        <v>#REF!</v>
      </c>
      <c r="D10" s="284" t="e">
        <f t="shared" si="0"/>
        <v>#REF!</v>
      </c>
      <c r="E10" s="284" t="e">
        <f t="shared" si="0"/>
        <v>#REF!</v>
      </c>
      <c r="F10" s="284" t="e">
        <f t="shared" si="0"/>
        <v>#REF!</v>
      </c>
      <c r="G10" s="285" t="e">
        <f t="shared" si="2"/>
        <v>#REF!</v>
      </c>
      <c r="H10" s="285" t="e">
        <f t="shared" si="2"/>
        <v>#REF!</v>
      </c>
      <c r="I10" s="285" t="e">
        <f t="shared" si="2"/>
        <v>#REF!</v>
      </c>
      <c r="W10" s="272" t="str">
        <f>B9 &amp; ", " &amp; E7</f>
        <v>Minor Arterial, 3 lanes</v>
      </c>
      <c r="Z10" s="278" t="e">
        <f>VLOOKUP($B9,ArtExpFactors,2,FALSE)*VLOOKUP($B9,ArtExpFactors,3,FALSE)*SUMIFS($E$67:$E$68,$B$67:$B$68,"*"&amp;RIGHT($B9,4))*SUMIFS($E$72:$E$74,$B$72:$B$74,"*"&amp;RIGHT($B9,4))*VLOOKUP($B9,ArtExpFactors,4,FALSE)*C$78</f>
        <v>#REF!</v>
      </c>
      <c r="AA10" s="278" t="e">
        <f>VLOOKUP($B9,ArtExpFactors,2,FALSE)*VLOOKUP($B9,ArtExpFactors,3,FALSE)*SUMIFS($E$67:$E$68,$B$67:$B$68,"*"&amp;RIGHT($B9,4))*SUMIFS($E$72:$E$74,$B$72:$B$74,"*"&amp;RIGHT($B9,4))*VLOOKUP($B9,ArtExpFactors,4,FALSE)*D$78</f>
        <v>#REF!</v>
      </c>
      <c r="AB10" s="278" t="e">
        <f>VLOOKUP($B9,ArtExpFactors,2,FALSE)*VLOOKUP($B9,ArtExpFactors,3,FALSE)*SUMIFS($E$67:$E$68,$B$67:$B$68,"*"&amp;RIGHT($B9,4))*SUMIFS($E$72:$E$74,$B$72:$B$74,"*"&amp;RIGHT($B9,4))*VLOOKUP($B9,ArtExpFactors,4,FALSE)*E$78</f>
        <v>#REF!</v>
      </c>
      <c r="AC10" s="278" t="e">
        <f>VLOOKUP($B9,ArtExpFactors,2,FALSE)*VLOOKUP($B9,ArtExpFactors,3,FALSE)*SUMIFS($E$67:$E$68,$B$67:$B$68,"*"&amp;RIGHT($B9,4))*SUMIFS($E$72:$E$74,$B$72:$B$74,"*"&amp;RIGHT($B9,4))*VLOOKUP($B9,ArtExpFactors,4,FALSE)*F$78</f>
        <v>#REF!</v>
      </c>
      <c r="AD10" s="278" t="e">
        <f>VLOOKUP($B9,ArtExpFactors,2,FALSE)*VLOOKUP($B9,ArtExpFactors,3,FALSE)*SUMIFS($E$67:$E$68,$B$67:$B$68,"*"&amp;RIGHT($B9,4))*SUMIFS($E$72:$E$74,$B$72:$B$74,"*"&amp;RIGHT($B9,4))*VLOOKUP($B9,ArtExpFactors,4,FALSE)*G$78</f>
        <v>#REF!</v>
      </c>
      <c r="AI10" s="286" t="str">
        <f t="shared" si="1"/>
        <v/>
      </c>
      <c r="AJ10" s="286" t="str">
        <f t="shared" si="1"/>
        <v/>
      </c>
      <c r="AK10" s="286" t="str">
        <f t="shared" si="1"/>
        <v/>
      </c>
    </row>
    <row r="11" spans="1:37" x14ac:dyDescent="0.2">
      <c r="A11" s="276">
        <v>5</v>
      </c>
      <c r="B11" s="272" t="s">
        <v>421</v>
      </c>
      <c r="C11" s="284" t="e">
        <f t="shared" si="0"/>
        <v>#REF!</v>
      </c>
      <c r="D11" s="284" t="e">
        <f t="shared" si="0"/>
        <v>#REF!</v>
      </c>
      <c r="E11" s="284" t="e">
        <f t="shared" si="0"/>
        <v>#REF!</v>
      </c>
      <c r="F11" s="284" t="e">
        <f t="shared" si="0"/>
        <v>#REF!</v>
      </c>
      <c r="G11" s="285" t="e">
        <f t="shared" si="2"/>
        <v>#REF!</v>
      </c>
      <c r="H11" s="285" t="e">
        <f t="shared" si="2"/>
        <v>#REF!</v>
      </c>
      <c r="I11" s="285" t="e">
        <f t="shared" si="2"/>
        <v>#REF!</v>
      </c>
      <c r="W11" s="272" t="str">
        <f>B10 &amp; ", " &amp; C7</f>
        <v>Major Collector, 1 lane</v>
      </c>
      <c r="Z11" s="278" t="e">
        <f>VLOOKUP($B10,ArtExpFactors,2,FALSE)*VLOOKUP($B10,ArtExpFactors,3,FALSE)*SUMIFS($C$67:$C$68,$B$67:$B$68,"*"&amp;RIGHT($B10,4))*SUMIFS($C$72:$C$74,$B$72:$B$74,"*"&amp;RIGHT($B10,4))*VLOOKUP($B10,ArtExpFactors,4,FALSE)*C$78</f>
        <v>#REF!</v>
      </c>
      <c r="AA11" s="278" t="e">
        <f>VLOOKUP($B10,ArtExpFactors,2,FALSE)*VLOOKUP($B10,ArtExpFactors,3,FALSE)*SUMIFS($C$67:$C$68,$B$67:$B$68,"*"&amp;RIGHT($B10,4))*SUMIFS($C$72:$C$74,$B$72:$B$74,"*"&amp;RIGHT($B10,4))*VLOOKUP($B10,ArtExpFactors,4,FALSE)*D$78</f>
        <v>#REF!</v>
      </c>
      <c r="AB11" s="278" t="e">
        <f>VLOOKUP($B10,ArtExpFactors,2,FALSE)*VLOOKUP($B10,ArtExpFactors,3,FALSE)*SUMIFS($C$67:$C$68,$B$67:$B$68,"*"&amp;RIGHT($B10,4))*SUMIFS($C$72:$C$74,$B$72:$B$74,"*"&amp;RIGHT($B10,4))*VLOOKUP($B10,ArtExpFactors,4,FALSE)*E$78</f>
        <v>#REF!</v>
      </c>
      <c r="AC11" s="278" t="e">
        <f>VLOOKUP($B10,ArtExpFactors,2,FALSE)*VLOOKUP($B10,ArtExpFactors,3,FALSE)*SUMIFS($C$67:$C$68,$B$67:$B$68,"*"&amp;RIGHT($B10,4))*SUMIFS($C$72:$C$74,$B$72:$B$74,"*"&amp;RIGHT($B10,4))*VLOOKUP($B10,ArtExpFactors,4,FALSE)*F$78</f>
        <v>#REF!</v>
      </c>
      <c r="AD11" s="278" t="e">
        <f>VLOOKUP($B10,ArtExpFactors,2,FALSE)*VLOOKUP($B10,ArtExpFactors,3,FALSE)*SUMIFS($C$67:$C$68,$B$67:$B$68,"*"&amp;RIGHT($B10,4))*SUMIFS($C$72:$C$74,$B$72:$B$74,"*"&amp;RIGHT($B10,4))*VLOOKUP($B10,ArtExpFactors,4,FALSE)*G$78</f>
        <v>#REF!</v>
      </c>
      <c r="AI11" s="286" t="str">
        <f t="shared" si="1"/>
        <v/>
      </c>
      <c r="AJ11" s="286" t="str">
        <f t="shared" si="1"/>
        <v/>
      </c>
      <c r="AK11" s="286" t="str">
        <f t="shared" si="1"/>
        <v/>
      </c>
    </row>
    <row r="12" spans="1:37" x14ac:dyDescent="0.2">
      <c r="A12" s="276">
        <v>6</v>
      </c>
      <c r="B12" s="272" t="s">
        <v>159</v>
      </c>
      <c r="C12" s="285" t="e">
        <f>C11*0.8</f>
        <v>#REF!</v>
      </c>
      <c r="D12" s="285" t="e">
        <f t="shared" ref="D12:I12" si="3">D11*0.8</f>
        <v>#REF!</v>
      </c>
      <c r="E12" s="285" t="e">
        <f t="shared" si="3"/>
        <v>#REF!</v>
      </c>
      <c r="F12" s="285" t="e">
        <f t="shared" si="3"/>
        <v>#REF!</v>
      </c>
      <c r="G12" s="285" t="e">
        <f t="shared" si="3"/>
        <v>#REF!</v>
      </c>
      <c r="H12" s="285" t="e">
        <f t="shared" si="3"/>
        <v>#REF!</v>
      </c>
      <c r="I12" s="285" t="e">
        <f t="shared" si="3"/>
        <v>#REF!</v>
      </c>
      <c r="W12" s="272" t="str">
        <f>B10 &amp; ", " &amp; D7</f>
        <v>Major Collector, 2 lanes</v>
      </c>
      <c r="Z12" s="278" t="e">
        <f>VLOOKUP($B10,ArtExpFactors,2,FALSE)*VLOOKUP($B10,ArtExpFactors,3,FALSE)*SUMIFS($D$67:$D$68,$B$67:$B$68,"*"&amp;RIGHT($B10,4))*SUMIFS($D$72:$D$74,$B$72:$B$74,"*"&amp;RIGHT($B10,4))*VLOOKUP($B10,ArtExpFactors,4,FALSE)*C$78</f>
        <v>#REF!</v>
      </c>
      <c r="AA12" s="278" t="e">
        <f>VLOOKUP($B10,ArtExpFactors,2,FALSE)*VLOOKUP($B10,ArtExpFactors,3,FALSE)*SUMIFS($D$67:$D$68,$B$67:$B$68,"*"&amp;RIGHT($B10,4))*SUMIFS($D$72:$D$74,$B$72:$B$74,"*"&amp;RIGHT($B10,4))*VLOOKUP($B10,ArtExpFactors,4,FALSE)*D$78</f>
        <v>#REF!</v>
      </c>
      <c r="AB12" s="278" t="e">
        <f>VLOOKUP($B10,ArtExpFactors,2,FALSE)*VLOOKUP($B10,ArtExpFactors,3,FALSE)*SUMIFS($D$67:$D$68,$B$67:$B$68,"*"&amp;RIGHT($B10,4))*SUMIFS($D$72:$D$74,$B$72:$B$74,"*"&amp;RIGHT($B10,4))*VLOOKUP($B10,ArtExpFactors,4,FALSE)*E$78</f>
        <v>#REF!</v>
      </c>
      <c r="AC12" s="278" t="e">
        <f>VLOOKUP($B10,ArtExpFactors,2,FALSE)*VLOOKUP($B10,ArtExpFactors,3,FALSE)*SUMIFS($D$67:$D$68,$B$67:$B$68,"*"&amp;RIGHT($B10,4))*SUMIFS($D$72:$D$74,$B$72:$B$74,"*"&amp;RIGHT($B10,4))*VLOOKUP($B10,ArtExpFactors,4,FALSE)*F$78</f>
        <v>#REF!</v>
      </c>
      <c r="AD12" s="278" t="e">
        <f>VLOOKUP($B10,ArtExpFactors,2,FALSE)*VLOOKUP($B10,ArtExpFactors,3,FALSE)*SUMIFS($D$67:$D$68,$B$67:$B$68,"*"&amp;RIGHT($B10,4))*SUMIFS($D$72:$D$74,$B$72:$B$74,"*"&amp;RIGHT($B10,4))*VLOOKUP($B10,ArtExpFactors,4,FALSE)*G$78</f>
        <v>#REF!</v>
      </c>
      <c r="AI12" s="286" t="str">
        <f>IFERROR(ROUND(C12/$AI$3*2*LEFT(AI$7,1),-3),"")</f>
        <v/>
      </c>
      <c r="AJ12" s="286"/>
      <c r="AK12" s="286"/>
    </row>
    <row r="13" spans="1:37" x14ac:dyDescent="0.2">
      <c r="A13" s="276">
        <v>7</v>
      </c>
      <c r="B13" s="272" t="s">
        <v>498</v>
      </c>
      <c r="C13" s="287">
        <v>300</v>
      </c>
      <c r="D13" s="285">
        <f>C13</f>
        <v>300</v>
      </c>
      <c r="E13" s="285">
        <f t="shared" ref="E13:I13" si="4">D13</f>
        <v>300</v>
      </c>
      <c r="F13" s="285">
        <f t="shared" si="4"/>
        <v>300</v>
      </c>
      <c r="G13" s="285">
        <f t="shared" si="4"/>
        <v>300</v>
      </c>
      <c r="H13" s="285">
        <f t="shared" si="4"/>
        <v>300</v>
      </c>
      <c r="I13" s="285">
        <f t="shared" si="4"/>
        <v>300</v>
      </c>
      <c r="W13" s="272" t="str">
        <f>B11 &amp; ", " &amp; C7</f>
        <v>Minor Collector, 1 lane</v>
      </c>
      <c r="Z13" s="278" t="e">
        <f>VLOOKUP($B11,ArtExpFactors,2,FALSE)*VLOOKUP($B11,ArtExpFactors,3,FALSE)*SUMIFS($C$67:$C$68,$B$67:$B$68,"*"&amp;RIGHT($B11,4))*SUMIFS($C$72:$C$74,$B$72:$B$74,"*"&amp;RIGHT($B11,4))*VLOOKUP($B11,ArtExpFactors,4,FALSE)*C$78</f>
        <v>#REF!</v>
      </c>
      <c r="AA13" s="278" t="e">
        <f>VLOOKUP($B11,ArtExpFactors,2,FALSE)*VLOOKUP($B11,ArtExpFactors,3,FALSE)*SUMIFS($C$67:$C$68,$B$67:$B$68,"*"&amp;RIGHT($B11,4))*SUMIFS($C$72:$C$74,$B$72:$B$74,"*"&amp;RIGHT($B11,4))*VLOOKUP($B11,ArtExpFactors,4,FALSE)*D$78</f>
        <v>#REF!</v>
      </c>
      <c r="AB13" s="278" t="e">
        <f>VLOOKUP($B11,ArtExpFactors,2,FALSE)*VLOOKUP($B11,ArtExpFactors,3,FALSE)*SUMIFS($C$67:$C$68,$B$67:$B$68,"*"&amp;RIGHT($B11,4))*SUMIFS($C$72:$C$74,$B$72:$B$74,"*"&amp;RIGHT($B11,4))*VLOOKUP($B11,ArtExpFactors,4,FALSE)*E$78</f>
        <v>#REF!</v>
      </c>
      <c r="AC13" s="278" t="e">
        <f>VLOOKUP($B11,ArtExpFactors,2,FALSE)*VLOOKUP($B11,ArtExpFactors,3,FALSE)*SUMIFS($C$67:$C$68,$B$67:$B$68,"*"&amp;RIGHT($B11,4))*SUMIFS($C$72:$C$74,$B$72:$B$74,"*"&amp;RIGHT($B11,4))*VLOOKUP($B11,ArtExpFactors,4,FALSE)*F$78</f>
        <v>#REF!</v>
      </c>
      <c r="AD13" s="278" t="e">
        <f>VLOOKUP($B11,ArtExpFactors,2,FALSE)*VLOOKUP($B11,ArtExpFactors,3,FALSE)*SUMIFS($C$67:$C$68,$B$67:$B$68,"*"&amp;RIGHT($B11,4))*SUMIFS($C$72:$C$74,$B$72:$B$74,"*"&amp;RIGHT($B11,4))*VLOOKUP($B11,ArtExpFactors,4,FALSE)*G$78</f>
        <v>#REF!</v>
      </c>
      <c r="AI13" s="286"/>
      <c r="AJ13" s="286"/>
      <c r="AK13" s="286"/>
    </row>
    <row r="14" spans="1:37" x14ac:dyDescent="0.2">
      <c r="A14" s="288" t="s">
        <v>492</v>
      </c>
      <c r="B14" s="272"/>
      <c r="C14" s="276"/>
      <c r="D14" s="278"/>
      <c r="E14" s="272"/>
      <c r="G14" s="268"/>
      <c r="AI14" s="276"/>
      <c r="AJ14" s="278"/>
      <c r="AK14" s="272"/>
    </row>
    <row r="15" spans="1:37" x14ac:dyDescent="0.2">
      <c r="G15" s="268"/>
      <c r="W15" s="272"/>
      <c r="X15" s="272"/>
      <c r="Y15" s="272"/>
      <c r="Z15" s="281"/>
      <c r="AA15" s="281"/>
      <c r="AB15" s="281"/>
      <c r="AC15" s="281"/>
      <c r="AD15" s="281"/>
      <c r="AI15" s="279"/>
    </row>
    <row r="16" spans="1:37" x14ac:dyDescent="0.2">
      <c r="A16" s="276">
        <v>12</v>
      </c>
      <c r="B16" s="272" t="str">
        <f>'SFF 8.1'!D15</f>
        <v>Expressway, posted 60-70 mph</v>
      </c>
      <c r="C16" s="284" t="e">
        <f t="shared" ref="C16:F19" si="5">VLOOKUP($B16,ArtExpFactors,2,FALSE)*VLOOKUP($B16,ArtExpFactors,3,FALSE)*SUMIFS(C$67:C$69,$B$67:$B$69,LEFT($B16,4)&amp;"*")*SUMIFS(C$72:C$74,$B$72:$B$74,LEFT($B16,4)&amp;"*")*VLOOKUP($B16,ArtExpFactors,4,FALSE)</f>
        <v>#REF!</v>
      </c>
      <c r="D16" s="284" t="e">
        <f t="shared" si="5"/>
        <v>#REF!</v>
      </c>
      <c r="E16" s="284" t="e">
        <f t="shared" si="5"/>
        <v>#REF!</v>
      </c>
      <c r="F16" s="284" t="e">
        <f t="shared" si="5"/>
        <v>#REF!</v>
      </c>
      <c r="G16" s="285" t="e">
        <f>F16*F16/E16</f>
        <v>#REF!</v>
      </c>
      <c r="H16" s="285" t="e">
        <f>G16*G16/F16</f>
        <v>#REF!</v>
      </c>
      <c r="I16" s="285" t="e">
        <f>H16*H16/G16</f>
        <v>#REF!</v>
      </c>
      <c r="W16" s="272"/>
      <c r="X16" s="272"/>
      <c r="Y16" s="272"/>
      <c r="Z16" s="215"/>
      <c r="AA16" s="215"/>
      <c r="AB16" s="215"/>
      <c r="AC16" s="215"/>
      <c r="AD16" s="215"/>
      <c r="AI16" s="286" t="str">
        <f t="shared" ref="AI16:AK19" si="6">IFERROR(ROUND(C16/$AI$3*2*LEFT(AI$7,1),-3),"")</f>
        <v/>
      </c>
      <c r="AJ16" s="286" t="str">
        <f t="shared" si="6"/>
        <v/>
      </c>
      <c r="AK16" s="286" t="str">
        <f t="shared" si="6"/>
        <v/>
      </c>
    </row>
    <row r="17" spans="1:37" x14ac:dyDescent="0.2">
      <c r="A17" s="276">
        <v>13</v>
      </c>
      <c r="B17" s="272" t="str">
        <f>'SFF 8.1'!D16</f>
        <v>Expressway, posted 55-65 mph</v>
      </c>
      <c r="C17" s="284" t="e">
        <f t="shared" si="5"/>
        <v>#REF!</v>
      </c>
      <c r="D17" s="284" t="e">
        <f t="shared" si="5"/>
        <v>#REF!</v>
      </c>
      <c r="E17" s="284" t="e">
        <f t="shared" si="5"/>
        <v>#REF!</v>
      </c>
      <c r="F17" s="284" t="e">
        <f t="shared" si="5"/>
        <v>#REF!</v>
      </c>
      <c r="G17" s="285" t="e">
        <f t="shared" ref="G17:I19" si="7">F17*F17/E17</f>
        <v>#REF!</v>
      </c>
      <c r="H17" s="285" t="e">
        <f t="shared" si="7"/>
        <v>#REF!</v>
      </c>
      <c r="I17" s="285" t="e">
        <f t="shared" si="7"/>
        <v>#REF!</v>
      </c>
      <c r="W17" s="272"/>
      <c r="X17" s="272"/>
      <c r="Y17" s="272"/>
      <c r="Z17" s="215"/>
      <c r="AA17" s="215"/>
      <c r="AB17" s="215"/>
      <c r="AC17" s="215"/>
      <c r="AD17" s="215"/>
      <c r="AI17" s="286" t="str">
        <f t="shared" si="6"/>
        <v/>
      </c>
      <c r="AJ17" s="286" t="str">
        <f t="shared" si="6"/>
        <v/>
      </c>
      <c r="AK17" s="286" t="str">
        <f t="shared" si="6"/>
        <v/>
      </c>
    </row>
    <row r="18" spans="1:37" x14ac:dyDescent="0.2">
      <c r="A18" s="276">
        <v>14</v>
      </c>
      <c r="B18" s="272" t="str">
        <f>'SFF 8.1'!D17</f>
        <v>Expressway, posted 50-60 mph</v>
      </c>
      <c r="C18" s="284" t="e">
        <f t="shared" si="5"/>
        <v>#REF!</v>
      </c>
      <c r="D18" s="284" t="e">
        <f t="shared" si="5"/>
        <v>#REF!</v>
      </c>
      <c r="E18" s="284" t="e">
        <f t="shared" si="5"/>
        <v>#REF!</v>
      </c>
      <c r="F18" s="284" t="e">
        <f t="shared" si="5"/>
        <v>#REF!</v>
      </c>
      <c r="G18" s="285" t="e">
        <f t="shared" si="7"/>
        <v>#REF!</v>
      </c>
      <c r="H18" s="285" t="e">
        <f t="shared" si="7"/>
        <v>#REF!</v>
      </c>
      <c r="I18" s="285" t="e">
        <f t="shared" si="7"/>
        <v>#REF!</v>
      </c>
      <c r="W18" s="272"/>
      <c r="X18" s="272"/>
      <c r="Y18" s="272"/>
      <c r="Z18" s="215"/>
      <c r="AA18" s="215"/>
      <c r="AB18" s="215"/>
      <c r="AC18" s="215"/>
      <c r="AD18" s="215"/>
      <c r="AI18" s="286" t="str">
        <f t="shared" si="6"/>
        <v/>
      </c>
      <c r="AJ18" s="286" t="str">
        <f t="shared" si="6"/>
        <v/>
      </c>
      <c r="AK18" s="286" t="str">
        <f t="shared" si="6"/>
        <v/>
      </c>
    </row>
    <row r="19" spans="1:37" x14ac:dyDescent="0.2">
      <c r="A19" s="276">
        <v>15</v>
      </c>
      <c r="B19" s="272" t="str">
        <f>'SFF 8.1'!D18</f>
        <v>Expressway, posted 45-55 mph</v>
      </c>
      <c r="C19" s="284" t="e">
        <f t="shared" si="5"/>
        <v>#REF!</v>
      </c>
      <c r="D19" s="284" t="e">
        <f t="shared" si="5"/>
        <v>#REF!</v>
      </c>
      <c r="E19" s="284" t="e">
        <f t="shared" si="5"/>
        <v>#REF!</v>
      </c>
      <c r="F19" s="284" t="e">
        <f t="shared" si="5"/>
        <v>#REF!</v>
      </c>
      <c r="G19" s="285" t="e">
        <f t="shared" si="7"/>
        <v>#REF!</v>
      </c>
      <c r="H19" s="285" t="e">
        <f t="shared" si="7"/>
        <v>#REF!</v>
      </c>
      <c r="I19" s="285" t="e">
        <f t="shared" si="7"/>
        <v>#REF!</v>
      </c>
      <c r="W19" s="272"/>
      <c r="X19" s="272"/>
      <c r="Y19" s="272"/>
      <c r="Z19" s="215"/>
      <c r="AA19" s="215"/>
      <c r="AB19" s="215"/>
      <c r="AC19" s="215"/>
      <c r="AD19" s="215"/>
      <c r="AI19" s="286" t="str">
        <f t="shared" si="6"/>
        <v/>
      </c>
      <c r="AJ19" s="286" t="str">
        <f t="shared" si="6"/>
        <v/>
      </c>
      <c r="AK19" s="286" t="str">
        <f t="shared" si="6"/>
        <v/>
      </c>
    </row>
    <row r="20" spans="1:37" x14ac:dyDescent="0.2">
      <c r="A20" s="276"/>
      <c r="B20" s="272"/>
      <c r="C20" s="272"/>
      <c r="D20" s="278"/>
      <c r="E20" s="272"/>
      <c r="F20" s="272"/>
      <c r="G20" s="289"/>
      <c r="H20" s="272"/>
      <c r="I20" s="272"/>
      <c r="J20" s="272"/>
      <c r="K20" s="272"/>
      <c r="L20" s="272"/>
      <c r="M20" s="272"/>
      <c r="N20" s="272"/>
      <c r="O20" s="272"/>
      <c r="P20" s="272"/>
      <c r="Q20" s="272"/>
      <c r="R20" s="272"/>
      <c r="S20" s="272"/>
      <c r="T20" s="272"/>
      <c r="U20" s="272"/>
      <c r="V20" s="272"/>
      <c r="W20" s="272"/>
      <c r="X20" s="272"/>
      <c r="Y20" s="272"/>
      <c r="Z20" s="215"/>
      <c r="AA20" s="215"/>
      <c r="AB20" s="215"/>
      <c r="AC20" s="215"/>
      <c r="AD20" s="215"/>
    </row>
    <row r="21" spans="1:37" x14ac:dyDescent="0.2">
      <c r="A21" s="276"/>
      <c r="B21" s="272"/>
      <c r="C21" s="272"/>
      <c r="D21" s="278"/>
      <c r="E21" s="272"/>
      <c r="F21" s="214" t="s">
        <v>467</v>
      </c>
      <c r="G21" s="289"/>
      <c r="H21" s="272"/>
      <c r="I21" s="272"/>
      <c r="J21" s="272"/>
      <c r="K21" s="272"/>
      <c r="L21" s="272"/>
      <c r="M21" s="272"/>
      <c r="N21" s="272"/>
      <c r="O21" s="272"/>
      <c r="P21" s="272"/>
      <c r="Q21" s="272"/>
      <c r="R21" s="272"/>
      <c r="S21" s="272"/>
      <c r="T21" s="272"/>
      <c r="U21" s="272"/>
      <c r="V21" s="272"/>
      <c r="W21" s="272"/>
      <c r="X21" s="272"/>
      <c r="Y21" s="272"/>
      <c r="Z21" s="215"/>
      <c r="AA21" s="215"/>
      <c r="AB21" s="215"/>
      <c r="AC21" s="215"/>
      <c r="AD21" s="215"/>
    </row>
    <row r="22" spans="1:37" x14ac:dyDescent="0.2">
      <c r="A22" s="276"/>
      <c r="B22" s="272"/>
      <c r="C22" s="281" t="s">
        <v>464</v>
      </c>
      <c r="D22" s="214" t="s">
        <v>465</v>
      </c>
      <c r="E22" s="281" t="s">
        <v>466</v>
      </c>
      <c r="F22" s="214" t="s">
        <v>470</v>
      </c>
      <c r="G22" s="281" t="s">
        <v>471</v>
      </c>
      <c r="H22" s="214" t="s">
        <v>472</v>
      </c>
      <c r="I22" s="281" t="s">
        <v>473</v>
      </c>
      <c r="J22" s="272"/>
      <c r="K22" s="272"/>
      <c r="L22" s="272"/>
      <c r="M22" s="272"/>
      <c r="N22" s="272"/>
      <c r="O22" s="272"/>
      <c r="P22" s="272"/>
      <c r="Q22" s="272"/>
      <c r="R22" s="272"/>
      <c r="S22" s="272"/>
      <c r="T22" s="272"/>
      <c r="U22" s="272"/>
      <c r="V22" s="272"/>
      <c r="W22" s="272"/>
      <c r="X22" s="272"/>
      <c r="Y22" s="272"/>
      <c r="Z22" s="215"/>
      <c r="AA22" s="215"/>
      <c r="AB22" s="215"/>
      <c r="AC22" s="215"/>
      <c r="AD22" s="215"/>
      <c r="AI22" s="270" t="s">
        <v>289</v>
      </c>
    </row>
    <row r="23" spans="1:37" x14ac:dyDescent="0.2">
      <c r="A23" s="130">
        <v>20</v>
      </c>
      <c r="B23" s="272" t="s">
        <v>537</v>
      </c>
      <c r="C23" s="316" t="e">
        <f>C34</f>
        <v>#REF!</v>
      </c>
      <c r="D23" s="316" t="e">
        <f t="shared" ref="D23:I24" si="8">D34</f>
        <v>#REF!</v>
      </c>
      <c r="E23" s="316" t="e">
        <f t="shared" si="8"/>
        <v>#REF!</v>
      </c>
      <c r="F23" s="316" t="e">
        <f t="shared" si="8"/>
        <v>#REF!</v>
      </c>
      <c r="G23" s="316" t="e">
        <f t="shared" si="8"/>
        <v>#REF!</v>
      </c>
      <c r="H23" s="316" t="e">
        <f t="shared" si="8"/>
        <v>#REF!</v>
      </c>
      <c r="I23" s="316" t="e">
        <f t="shared" si="8"/>
        <v>#REF!</v>
      </c>
      <c r="J23" s="272"/>
      <c r="K23" s="272"/>
      <c r="L23" s="272"/>
      <c r="M23" s="272"/>
      <c r="N23" s="272"/>
      <c r="O23" s="272"/>
      <c r="P23" s="272"/>
      <c r="Q23" s="272"/>
      <c r="R23" s="272"/>
      <c r="S23" s="272"/>
      <c r="T23" s="272"/>
      <c r="U23" s="272"/>
      <c r="V23" s="272"/>
      <c r="W23" s="272"/>
      <c r="X23" s="272"/>
      <c r="Y23" s="272"/>
      <c r="Z23" s="215"/>
      <c r="AA23" s="215"/>
      <c r="AB23" s="215"/>
      <c r="AC23" s="215"/>
      <c r="AD23" s="215"/>
      <c r="AI23" s="270"/>
    </row>
    <row r="24" spans="1:37" x14ac:dyDescent="0.2">
      <c r="A24" s="130">
        <v>21</v>
      </c>
      <c r="B24" s="272" t="s">
        <v>538</v>
      </c>
      <c r="C24" s="316" t="e">
        <f>C35</f>
        <v>#REF!</v>
      </c>
      <c r="D24" s="316" t="e">
        <f t="shared" si="8"/>
        <v>#REF!</v>
      </c>
      <c r="E24" s="316" t="e">
        <f t="shared" si="8"/>
        <v>#REF!</v>
      </c>
      <c r="F24" s="316" t="e">
        <f t="shared" si="8"/>
        <v>#REF!</v>
      </c>
      <c r="G24" s="316" t="e">
        <f t="shared" si="8"/>
        <v>#REF!</v>
      </c>
      <c r="H24" s="316" t="e">
        <f t="shared" si="8"/>
        <v>#REF!</v>
      </c>
      <c r="I24" s="316" t="e">
        <f t="shared" si="8"/>
        <v>#REF!</v>
      </c>
      <c r="J24" s="272"/>
      <c r="K24" s="272"/>
      <c r="L24" s="272"/>
      <c r="M24" s="272"/>
      <c r="N24" s="272"/>
      <c r="O24" s="272"/>
      <c r="P24" s="272"/>
      <c r="Q24" s="272"/>
      <c r="R24" s="272"/>
      <c r="S24" s="272"/>
      <c r="T24" s="272"/>
      <c r="U24" s="272"/>
      <c r="V24" s="272"/>
      <c r="W24" s="272"/>
      <c r="X24" s="272"/>
      <c r="Y24" s="272"/>
      <c r="Z24" s="215"/>
      <c r="AA24" s="215"/>
      <c r="AB24" s="215"/>
      <c r="AC24" s="215"/>
      <c r="AD24" s="215"/>
      <c r="AI24" s="270"/>
    </row>
    <row r="25" spans="1:37" x14ac:dyDescent="0.2">
      <c r="A25" s="130">
        <v>22</v>
      </c>
      <c r="B25" s="272" t="s">
        <v>539</v>
      </c>
      <c r="C25" s="318" t="e">
        <f t="shared" ref="C25:I26" si="9">$C$86 * VLOOKUP(C$22,FwyFleLookup,2,FALSE)</f>
        <v>#REF!</v>
      </c>
      <c r="D25" s="318" t="e">
        <f t="shared" si="9"/>
        <v>#REF!</v>
      </c>
      <c r="E25" s="318" t="e">
        <f t="shared" si="9"/>
        <v>#REF!</v>
      </c>
      <c r="F25" s="318" t="e">
        <f t="shared" si="9"/>
        <v>#REF!</v>
      </c>
      <c r="G25" s="318" t="e">
        <f t="shared" si="9"/>
        <v>#REF!</v>
      </c>
      <c r="H25" s="318" t="e">
        <f t="shared" si="9"/>
        <v>#REF!</v>
      </c>
      <c r="I25" s="318" t="e">
        <f t="shared" si="9"/>
        <v>#REF!</v>
      </c>
      <c r="J25" s="272"/>
      <c r="K25" s="272"/>
      <c r="L25" s="272"/>
      <c r="M25" s="272"/>
      <c r="N25" s="272"/>
      <c r="O25" s="272"/>
      <c r="P25" s="272"/>
      <c r="Q25" s="272"/>
      <c r="R25" s="272"/>
      <c r="S25" s="272"/>
      <c r="T25" s="272"/>
      <c r="U25" s="272"/>
      <c r="V25" s="272"/>
      <c r="W25" s="272"/>
      <c r="X25" s="272"/>
      <c r="Y25" s="272"/>
      <c r="Z25" s="215"/>
      <c r="AA25" s="215"/>
      <c r="AB25" s="215"/>
      <c r="AC25" s="215"/>
      <c r="AD25" s="215"/>
      <c r="AI25" s="270"/>
    </row>
    <row r="26" spans="1:37" x14ac:dyDescent="0.2">
      <c r="A26" s="130">
        <v>23</v>
      </c>
      <c r="B26" s="272" t="s">
        <v>540</v>
      </c>
      <c r="C26" s="318" t="e">
        <f t="shared" si="9"/>
        <v>#REF!</v>
      </c>
      <c r="D26" s="318" t="e">
        <f t="shared" si="9"/>
        <v>#REF!</v>
      </c>
      <c r="E26" s="318" t="e">
        <f t="shared" si="9"/>
        <v>#REF!</v>
      </c>
      <c r="F26" s="318" t="e">
        <f t="shared" si="9"/>
        <v>#REF!</v>
      </c>
      <c r="G26" s="318" t="e">
        <f t="shared" si="9"/>
        <v>#REF!</v>
      </c>
      <c r="H26" s="318" t="e">
        <f t="shared" si="9"/>
        <v>#REF!</v>
      </c>
      <c r="I26" s="318" t="e">
        <f t="shared" si="9"/>
        <v>#REF!</v>
      </c>
      <c r="J26" s="272"/>
      <c r="K26" s="272"/>
      <c r="L26" s="272"/>
      <c r="M26" s="272"/>
      <c r="N26" s="272"/>
      <c r="O26" s="272"/>
      <c r="P26" s="272"/>
      <c r="Q26" s="272"/>
      <c r="R26" s="272"/>
      <c r="S26" s="272"/>
      <c r="T26" s="272"/>
      <c r="U26" s="272"/>
      <c r="V26" s="272"/>
      <c r="W26" s="272"/>
      <c r="X26" s="272"/>
      <c r="Y26" s="272"/>
      <c r="Z26" s="215"/>
      <c r="AA26" s="215"/>
      <c r="AB26" s="215"/>
      <c r="AC26" s="215"/>
      <c r="AD26" s="215"/>
      <c r="AI26" s="270"/>
    </row>
    <row r="27" spans="1:37" x14ac:dyDescent="0.2">
      <c r="A27" s="130">
        <v>24</v>
      </c>
      <c r="B27" s="272" t="s">
        <v>541</v>
      </c>
      <c r="C27" s="215" t="e">
        <f>D27</f>
        <v>#REF!</v>
      </c>
      <c r="D27" s="318" t="e">
        <f t="shared" ref="D27:I27" si="10">$C$86 * VLOOKUP(D$22,FwyFleLookup,2,FALSE) + $D91/LEFT(D$22,2)</f>
        <v>#REF!</v>
      </c>
      <c r="E27" s="318" t="e">
        <f t="shared" si="10"/>
        <v>#REF!</v>
      </c>
      <c r="F27" s="318" t="e">
        <f t="shared" si="10"/>
        <v>#REF!</v>
      </c>
      <c r="G27" s="318" t="e">
        <f t="shared" si="10"/>
        <v>#REF!</v>
      </c>
      <c r="H27" s="318" t="e">
        <f t="shared" si="10"/>
        <v>#REF!</v>
      </c>
      <c r="I27" s="318" t="e">
        <f t="shared" si="10"/>
        <v>#REF!</v>
      </c>
      <c r="J27" s="272"/>
      <c r="K27" s="272"/>
      <c r="L27" s="272"/>
      <c r="M27" s="272"/>
      <c r="N27" s="272"/>
      <c r="O27" s="272"/>
      <c r="P27" s="272"/>
      <c r="Q27" s="272"/>
      <c r="R27" s="272"/>
      <c r="S27" s="272"/>
      <c r="T27" s="272"/>
      <c r="U27" s="272"/>
      <c r="V27" s="272"/>
      <c r="W27" s="272"/>
      <c r="X27" s="272"/>
      <c r="Y27" s="272"/>
      <c r="Z27" s="215"/>
      <c r="AA27" s="215"/>
      <c r="AB27" s="215"/>
      <c r="AC27" s="215"/>
      <c r="AD27" s="215"/>
      <c r="AI27" s="270"/>
    </row>
    <row r="28" spans="1:37" x14ac:dyDescent="0.2">
      <c r="A28" s="130">
        <v>25</v>
      </c>
      <c r="B28" s="272" t="s">
        <v>542</v>
      </c>
      <c r="C28" s="318" t="e">
        <f t="shared" ref="C28:I28" si="11">$C$86 * VLOOKUP(C$22,FwyFleLookup,2,FALSE)</f>
        <v>#REF!</v>
      </c>
      <c r="D28" s="318" t="e">
        <f t="shared" si="11"/>
        <v>#REF!</v>
      </c>
      <c r="E28" s="318" t="e">
        <f t="shared" si="11"/>
        <v>#REF!</v>
      </c>
      <c r="F28" s="318" t="e">
        <f t="shared" si="11"/>
        <v>#REF!</v>
      </c>
      <c r="G28" s="318" t="e">
        <f t="shared" si="11"/>
        <v>#REF!</v>
      </c>
      <c r="H28" s="318" t="e">
        <f t="shared" si="11"/>
        <v>#REF!</v>
      </c>
      <c r="I28" s="318" t="e">
        <f t="shared" si="11"/>
        <v>#REF!</v>
      </c>
      <c r="J28" s="272"/>
      <c r="K28" s="272"/>
      <c r="L28" s="272"/>
      <c r="M28" s="272"/>
      <c r="N28" s="272"/>
      <c r="O28" s="272"/>
      <c r="P28" s="272"/>
      <c r="Q28" s="272"/>
      <c r="R28" s="272"/>
      <c r="S28" s="272"/>
      <c r="T28" s="272"/>
      <c r="U28" s="272"/>
      <c r="V28" s="272"/>
      <c r="W28" s="272"/>
      <c r="X28" s="272"/>
      <c r="Y28" s="272"/>
      <c r="Z28" s="215"/>
      <c r="AA28" s="215"/>
      <c r="AB28" s="215"/>
      <c r="AC28" s="215"/>
      <c r="AD28" s="215"/>
      <c r="AI28" s="270"/>
    </row>
    <row r="29" spans="1:37" x14ac:dyDescent="0.2">
      <c r="A29" s="130">
        <v>26</v>
      </c>
      <c r="B29" s="272" t="s">
        <v>543</v>
      </c>
      <c r="C29" s="215" t="e">
        <f>D29</f>
        <v>#REF!</v>
      </c>
      <c r="D29" s="318" t="e">
        <f t="shared" ref="D29:I29" si="12">$C$86 * VLOOKUP(D$22,FwyFleLookup,2,FALSE) + $D93/LEFT(D$22,2)</f>
        <v>#REF!</v>
      </c>
      <c r="E29" s="318" t="e">
        <f t="shared" si="12"/>
        <v>#REF!</v>
      </c>
      <c r="F29" s="318" t="e">
        <f t="shared" si="12"/>
        <v>#REF!</v>
      </c>
      <c r="G29" s="318" t="e">
        <f t="shared" si="12"/>
        <v>#REF!</v>
      </c>
      <c r="H29" s="318" t="e">
        <f t="shared" si="12"/>
        <v>#REF!</v>
      </c>
      <c r="I29" s="318" t="e">
        <f t="shared" si="12"/>
        <v>#REF!</v>
      </c>
      <c r="J29" s="272"/>
      <c r="K29" s="272"/>
      <c r="L29" s="272"/>
      <c r="M29" s="272"/>
      <c r="N29" s="272"/>
      <c r="O29" s="272"/>
      <c r="P29" s="272"/>
      <c r="Q29" s="272"/>
      <c r="R29" s="272"/>
      <c r="S29" s="272"/>
      <c r="T29" s="272"/>
      <c r="U29" s="272"/>
      <c r="V29" s="272"/>
      <c r="W29" s="272"/>
      <c r="X29" s="272"/>
      <c r="Y29" s="272"/>
      <c r="Z29" s="215"/>
      <c r="AA29" s="215"/>
      <c r="AB29" s="215"/>
      <c r="AC29" s="215"/>
      <c r="AD29" s="215"/>
      <c r="AI29" s="270"/>
    </row>
    <row r="30" spans="1:37" x14ac:dyDescent="0.2">
      <c r="A30" s="130">
        <v>27</v>
      </c>
      <c r="B30" s="272" t="s">
        <v>535</v>
      </c>
      <c r="C30" s="318" t="e">
        <f t="shared" ref="C30:I30" si="13">$C$86 * VLOOKUP(C$22,FwyFleLookup,2,FALSE)</f>
        <v>#REF!</v>
      </c>
      <c r="D30" s="318" t="e">
        <f t="shared" si="13"/>
        <v>#REF!</v>
      </c>
      <c r="E30" s="318" t="e">
        <f t="shared" si="13"/>
        <v>#REF!</v>
      </c>
      <c r="F30" s="318" t="e">
        <f t="shared" si="13"/>
        <v>#REF!</v>
      </c>
      <c r="G30" s="318" t="e">
        <f t="shared" si="13"/>
        <v>#REF!</v>
      </c>
      <c r="H30" s="318" t="e">
        <f t="shared" si="13"/>
        <v>#REF!</v>
      </c>
      <c r="I30" s="318" t="e">
        <f t="shared" si="13"/>
        <v>#REF!</v>
      </c>
      <c r="J30" s="272"/>
      <c r="K30" s="272"/>
      <c r="L30" s="272"/>
      <c r="M30" s="272"/>
      <c r="N30" s="272"/>
      <c r="O30" s="272"/>
      <c r="P30" s="272"/>
      <c r="Q30" s="272"/>
      <c r="R30" s="272"/>
      <c r="S30" s="272"/>
      <c r="T30" s="272"/>
      <c r="U30" s="272"/>
      <c r="V30" s="272"/>
      <c r="W30" s="272"/>
      <c r="X30" s="272"/>
      <c r="Y30" s="272"/>
      <c r="Z30" s="215"/>
      <c r="AA30" s="215"/>
      <c r="AB30" s="215"/>
      <c r="AC30" s="215"/>
      <c r="AD30" s="215"/>
      <c r="AI30" s="270"/>
    </row>
    <row r="31" spans="1:37" x14ac:dyDescent="0.2">
      <c r="A31" s="130">
        <v>28</v>
      </c>
      <c r="B31" s="272" t="s">
        <v>544</v>
      </c>
      <c r="C31" s="316">
        <f>C45</f>
        <v>1200</v>
      </c>
      <c r="D31" s="316">
        <f t="shared" ref="D31:I32" si="14">D45</f>
        <v>900</v>
      </c>
      <c r="E31" s="316">
        <f t="shared" si="14"/>
        <v>600</v>
      </c>
      <c r="F31" s="316">
        <f t="shared" si="14"/>
        <v>600</v>
      </c>
      <c r="G31" s="316">
        <f t="shared" si="14"/>
        <v>600</v>
      </c>
      <c r="H31" s="316">
        <f t="shared" si="14"/>
        <v>600</v>
      </c>
      <c r="I31" s="316">
        <f t="shared" si="14"/>
        <v>600</v>
      </c>
      <c r="J31" s="272"/>
      <c r="K31" s="272"/>
      <c r="L31" s="272"/>
      <c r="M31" s="272"/>
      <c r="N31" s="272"/>
      <c r="O31" s="272"/>
      <c r="P31" s="272"/>
      <c r="Q31" s="272"/>
      <c r="R31" s="272"/>
      <c r="S31" s="272"/>
      <c r="T31" s="272"/>
      <c r="U31" s="272"/>
      <c r="V31" s="272"/>
      <c r="W31" s="272"/>
      <c r="X31" s="272"/>
      <c r="Y31" s="272"/>
      <c r="Z31" s="215"/>
      <c r="AA31" s="215"/>
      <c r="AB31" s="215"/>
      <c r="AC31" s="215"/>
      <c r="AD31" s="215"/>
      <c r="AI31" s="270"/>
    </row>
    <row r="32" spans="1:37" x14ac:dyDescent="0.2">
      <c r="A32" s="130">
        <v>29</v>
      </c>
      <c r="B32" s="272" t="s">
        <v>545</v>
      </c>
      <c r="C32" s="316" t="e">
        <f>C46</f>
        <v>#REF!</v>
      </c>
      <c r="D32" s="316" t="e">
        <f t="shared" si="14"/>
        <v>#REF!</v>
      </c>
      <c r="E32" s="316" t="e">
        <f t="shared" si="14"/>
        <v>#REF!</v>
      </c>
      <c r="F32" s="316" t="e">
        <f t="shared" si="14"/>
        <v>#REF!</v>
      </c>
      <c r="G32" s="316" t="e">
        <f t="shared" si="14"/>
        <v>#REF!</v>
      </c>
      <c r="H32" s="316" t="e">
        <f t="shared" si="14"/>
        <v>#REF!</v>
      </c>
      <c r="I32" s="316" t="e">
        <f t="shared" si="14"/>
        <v>#REF!</v>
      </c>
      <c r="J32" s="272"/>
      <c r="K32" s="272"/>
      <c r="L32" s="272"/>
      <c r="M32" s="272"/>
      <c r="N32" s="272"/>
      <c r="O32" s="272"/>
      <c r="P32" s="272"/>
      <c r="Q32" s="272"/>
      <c r="R32" s="272"/>
      <c r="S32" s="272"/>
      <c r="T32" s="272"/>
      <c r="U32" s="272"/>
      <c r="V32" s="272"/>
      <c r="W32" s="272"/>
      <c r="X32" s="272"/>
      <c r="Y32" s="272"/>
      <c r="Z32" s="215"/>
      <c r="AA32" s="215"/>
      <c r="AB32" s="215"/>
      <c r="AC32" s="215"/>
      <c r="AD32" s="215"/>
      <c r="AI32" s="270"/>
    </row>
    <row r="33" spans="1:37" x14ac:dyDescent="0.2">
      <c r="A33" s="276"/>
      <c r="B33" s="272"/>
      <c r="C33" s="281"/>
      <c r="D33" s="214"/>
      <c r="E33" s="281"/>
      <c r="F33" s="214"/>
      <c r="G33" s="281"/>
      <c r="H33" s="214"/>
      <c r="I33" s="281"/>
      <c r="J33" s="272"/>
      <c r="K33" s="272"/>
      <c r="L33" s="272"/>
      <c r="M33" s="272"/>
      <c r="N33" s="272"/>
      <c r="O33" s="272"/>
      <c r="P33" s="272"/>
      <c r="Q33" s="272"/>
      <c r="R33" s="272"/>
      <c r="S33" s="272"/>
      <c r="T33" s="272"/>
      <c r="U33" s="272"/>
      <c r="V33" s="272"/>
      <c r="W33" s="272"/>
      <c r="X33" s="272"/>
      <c r="Y33" s="272"/>
      <c r="Z33" s="215"/>
      <c r="AA33" s="215"/>
      <c r="AB33" s="215"/>
      <c r="AC33" s="215"/>
      <c r="AD33" s="215"/>
      <c r="AI33" s="270"/>
    </row>
    <row r="34" spans="1:37" x14ac:dyDescent="0.2">
      <c r="A34" s="276">
        <v>30</v>
      </c>
      <c r="B34" s="272" t="s">
        <v>497</v>
      </c>
      <c r="C34" s="290" t="e">
        <f>MROUND((VLOOKUP($B34,FwyCapFactors,2,FALSE)*LEFT(C$22,1)*$C$99*VLOOKUP(C$22,FwyFleLookup,2,FALSE)*$C$100+VLOOKUP($B34,FwyCapFactors,3,FALSE))/LEFT(C$22,1),50)</f>
        <v>#REF!</v>
      </c>
      <c r="D34" s="245" t="e">
        <f>C34*0.8</f>
        <v>#REF!</v>
      </c>
      <c r="E34" s="245" t="e">
        <f>D34*0.8</f>
        <v>#REF!</v>
      </c>
      <c r="F34" s="215" t="e">
        <f>E34</f>
        <v>#REF!</v>
      </c>
      <c r="G34" s="215" t="e">
        <f>F34</f>
        <v>#REF!</v>
      </c>
      <c r="H34" s="215" t="e">
        <f t="shared" ref="H34:I34" si="15">G34</f>
        <v>#REF!</v>
      </c>
      <c r="I34" s="215" t="e">
        <f t="shared" si="15"/>
        <v>#REF!</v>
      </c>
      <c r="J34" s="272"/>
      <c r="K34" s="272"/>
      <c r="L34" s="272"/>
      <c r="M34" s="272"/>
      <c r="N34" s="272"/>
      <c r="O34" s="272"/>
      <c r="P34" s="272"/>
      <c r="Q34" s="272"/>
      <c r="R34" s="272"/>
      <c r="S34" s="272"/>
      <c r="T34" s="272"/>
      <c r="U34" s="272"/>
      <c r="V34" s="272"/>
      <c r="W34" s="272"/>
      <c r="X34" s="272"/>
      <c r="Y34" s="272"/>
      <c r="Z34" s="215"/>
      <c r="AA34" s="215"/>
      <c r="AB34" s="215"/>
      <c r="AC34" s="215"/>
      <c r="AD34" s="215"/>
      <c r="AI34" s="268" t="s">
        <v>150</v>
      </c>
      <c r="AJ34" s="268" t="s">
        <v>298</v>
      </c>
      <c r="AK34" s="268" t="s">
        <v>289</v>
      </c>
    </row>
    <row r="35" spans="1:37" x14ac:dyDescent="0.2">
      <c r="A35" s="276">
        <v>31</v>
      </c>
      <c r="B35" s="272" t="s">
        <v>491</v>
      </c>
      <c r="C35" s="290" t="e">
        <f t="shared" ref="C35:I40" si="16">(VLOOKUP($B35,FwyCapFactors,2,FALSE)*LEFT(C$22,1)*$C$99*VLOOKUP(C$22,FwyFleLookup,2,FALSE)*$C$100+VLOOKUP($B35,FwyCapFactors,3,FALSE))/LEFT(C$22,1)</f>
        <v>#REF!</v>
      </c>
      <c r="D35" s="290" t="e">
        <f t="shared" si="16"/>
        <v>#REF!</v>
      </c>
      <c r="E35" s="290" t="e">
        <f t="shared" si="16"/>
        <v>#REF!</v>
      </c>
      <c r="F35" s="290" t="e">
        <f t="shared" si="16"/>
        <v>#REF!</v>
      </c>
      <c r="G35" s="290" t="e">
        <f t="shared" si="16"/>
        <v>#REF!</v>
      </c>
      <c r="H35" s="290" t="e">
        <f t="shared" si="16"/>
        <v>#REF!</v>
      </c>
      <c r="I35" s="290" t="e">
        <f t="shared" si="16"/>
        <v>#REF!</v>
      </c>
      <c r="J35" s="272"/>
      <c r="K35" s="272"/>
      <c r="L35" s="272"/>
      <c r="M35" s="272"/>
      <c r="N35" s="272"/>
      <c r="O35" s="272"/>
      <c r="P35" s="272"/>
      <c r="Q35" s="272"/>
      <c r="R35" s="272"/>
      <c r="S35" s="272"/>
      <c r="T35" s="272"/>
      <c r="U35" s="272"/>
      <c r="V35" s="272"/>
      <c r="W35" s="272"/>
      <c r="X35" s="272"/>
      <c r="Y35" s="272"/>
      <c r="Z35" s="215"/>
      <c r="AA35" s="215"/>
      <c r="AB35" s="215"/>
      <c r="AC35" s="215"/>
      <c r="AD35" s="215"/>
      <c r="AI35" s="268">
        <v>2</v>
      </c>
      <c r="AJ35" s="291">
        <f>C91</f>
        <v>1821.25</v>
      </c>
      <c r="AK35" s="291" t="e">
        <f>D38</f>
        <v>#REF!</v>
      </c>
    </row>
    <row r="36" spans="1:37" x14ac:dyDescent="0.2">
      <c r="A36" s="276">
        <v>32</v>
      </c>
      <c r="B36" s="272" t="s">
        <v>494</v>
      </c>
      <c r="C36" s="290" t="e">
        <f t="shared" si="16"/>
        <v>#REF!</v>
      </c>
      <c r="D36" s="290" t="e">
        <f t="shared" si="16"/>
        <v>#REF!</v>
      </c>
      <c r="E36" s="290" t="e">
        <f t="shared" si="16"/>
        <v>#REF!</v>
      </c>
      <c r="F36" s="290" t="e">
        <f t="shared" si="16"/>
        <v>#REF!</v>
      </c>
      <c r="G36" s="290" t="e">
        <f t="shared" si="16"/>
        <v>#REF!</v>
      </c>
      <c r="H36" s="290" t="e">
        <f t="shared" si="16"/>
        <v>#REF!</v>
      </c>
      <c r="I36" s="290" t="e">
        <f t="shared" si="16"/>
        <v>#REF!</v>
      </c>
      <c r="J36" s="272"/>
      <c r="K36" s="272"/>
      <c r="L36" s="272"/>
      <c r="M36" s="272"/>
      <c r="N36" s="272"/>
      <c r="O36" s="272"/>
      <c r="P36" s="272"/>
      <c r="Q36" s="272"/>
      <c r="R36" s="272"/>
      <c r="S36" s="272"/>
      <c r="T36" s="272"/>
      <c r="U36" s="272"/>
      <c r="V36" s="272"/>
      <c r="W36" s="272"/>
      <c r="X36" s="272"/>
      <c r="Y36" s="272"/>
      <c r="Z36" s="215"/>
      <c r="AA36" s="215"/>
      <c r="AB36" s="215"/>
      <c r="AC36" s="215"/>
      <c r="AD36" s="215"/>
      <c r="AI36" s="268">
        <v>3</v>
      </c>
      <c r="AJ36" s="292">
        <f>AJ35</f>
        <v>1821.25</v>
      </c>
      <c r="AK36" s="291" t="e">
        <f>E38</f>
        <v>#REF!</v>
      </c>
    </row>
    <row r="37" spans="1:37" x14ac:dyDescent="0.2">
      <c r="A37" s="276">
        <v>33</v>
      </c>
      <c r="B37" s="272" t="s">
        <v>496</v>
      </c>
      <c r="C37" s="290" t="e">
        <f t="shared" si="16"/>
        <v>#REF!</v>
      </c>
      <c r="D37" s="290" t="e">
        <f t="shared" si="16"/>
        <v>#REF!</v>
      </c>
      <c r="E37" s="290" t="e">
        <f t="shared" si="16"/>
        <v>#REF!</v>
      </c>
      <c r="F37" s="290" t="e">
        <f t="shared" si="16"/>
        <v>#REF!</v>
      </c>
      <c r="G37" s="290" t="e">
        <f t="shared" si="16"/>
        <v>#REF!</v>
      </c>
      <c r="H37" s="290" t="e">
        <f t="shared" si="16"/>
        <v>#REF!</v>
      </c>
      <c r="I37" s="290" t="e">
        <f t="shared" si="16"/>
        <v>#REF!</v>
      </c>
      <c r="J37" s="272"/>
      <c r="K37" s="272"/>
      <c r="L37" s="272"/>
      <c r="M37" s="272"/>
      <c r="N37" s="272"/>
      <c r="O37" s="272"/>
      <c r="P37" s="272"/>
      <c r="Q37" s="272"/>
      <c r="R37" s="272"/>
      <c r="S37" s="272"/>
      <c r="T37" s="272"/>
      <c r="U37" s="272"/>
      <c r="V37" s="272"/>
      <c r="W37" s="272"/>
      <c r="X37" s="272"/>
      <c r="Y37" s="272"/>
      <c r="Z37" s="215"/>
      <c r="AA37" s="215"/>
      <c r="AB37" s="215"/>
      <c r="AC37" s="215"/>
      <c r="AD37" s="215"/>
      <c r="AI37" s="268">
        <v>4</v>
      </c>
      <c r="AJ37" s="292">
        <f t="shared" ref="AJ37:AJ40" si="17">AJ36</f>
        <v>1821.25</v>
      </c>
      <c r="AK37" s="291" t="e">
        <f>F38</f>
        <v>#REF!</v>
      </c>
    </row>
    <row r="38" spans="1:37" x14ac:dyDescent="0.2">
      <c r="A38" s="276">
        <v>34</v>
      </c>
      <c r="B38" s="272" t="s">
        <v>495</v>
      </c>
      <c r="C38" s="215" t="e">
        <f>D38</f>
        <v>#REF!</v>
      </c>
      <c r="D38" s="290" t="e">
        <f t="shared" si="16"/>
        <v>#REF!</v>
      </c>
      <c r="E38" s="290" t="e">
        <f t="shared" si="16"/>
        <v>#REF!</v>
      </c>
      <c r="F38" s="290" t="e">
        <f t="shared" si="16"/>
        <v>#REF!</v>
      </c>
      <c r="G38" s="290" t="e">
        <f t="shared" si="16"/>
        <v>#REF!</v>
      </c>
      <c r="H38" s="290" t="e">
        <f t="shared" si="16"/>
        <v>#REF!</v>
      </c>
      <c r="I38" s="290" t="e">
        <f t="shared" si="16"/>
        <v>#REF!</v>
      </c>
      <c r="J38" s="272"/>
      <c r="K38" s="272"/>
      <c r="L38" s="272"/>
      <c r="M38" s="272"/>
      <c r="N38" s="272"/>
      <c r="O38" s="272"/>
      <c r="P38" s="272"/>
      <c r="Q38" s="272"/>
      <c r="R38" s="272"/>
      <c r="S38" s="272"/>
      <c r="T38" s="272"/>
      <c r="U38" s="272"/>
      <c r="V38" s="272"/>
      <c r="W38" s="272"/>
      <c r="Z38" s="215"/>
      <c r="AA38" s="215"/>
      <c r="AB38" s="215"/>
      <c r="AI38" s="268">
        <v>5</v>
      </c>
      <c r="AJ38" s="292">
        <f t="shared" si="17"/>
        <v>1821.25</v>
      </c>
      <c r="AK38" s="291" t="e">
        <f>G38</f>
        <v>#REF!</v>
      </c>
    </row>
    <row r="39" spans="1:37" x14ac:dyDescent="0.2">
      <c r="A39" s="276">
        <v>35</v>
      </c>
      <c r="B39" s="272" t="s">
        <v>501</v>
      </c>
      <c r="C39" s="290" t="e">
        <f>(VLOOKUP($B39,FwyCapFactors,2,FALSE)*LEFT(C$22,1)*$C$99*VLOOKUP(C$22,FwyFleLookup,2,FALSE)*$C$100+VLOOKUP($B39,FwyCapFactors,3,FALSE))/LEFT(C$22,1)</f>
        <v>#REF!</v>
      </c>
      <c r="D39" s="290" t="e">
        <f t="shared" si="16"/>
        <v>#REF!</v>
      </c>
      <c r="E39" s="290" t="e">
        <f t="shared" si="16"/>
        <v>#REF!</v>
      </c>
      <c r="F39" s="290" t="e">
        <f t="shared" si="16"/>
        <v>#REF!</v>
      </c>
      <c r="G39" s="290" t="e">
        <f t="shared" si="16"/>
        <v>#REF!</v>
      </c>
      <c r="H39" s="290" t="e">
        <f t="shared" si="16"/>
        <v>#REF!</v>
      </c>
      <c r="I39" s="290" t="e">
        <f t="shared" si="16"/>
        <v>#REF!</v>
      </c>
      <c r="J39" s="272"/>
      <c r="K39" s="272"/>
      <c r="L39" s="272"/>
      <c r="M39" s="272"/>
      <c r="N39" s="272"/>
      <c r="O39" s="272"/>
      <c r="P39" s="272"/>
      <c r="Q39" s="272"/>
      <c r="R39" s="272"/>
      <c r="S39" s="272"/>
      <c r="T39" s="272"/>
      <c r="U39" s="272"/>
      <c r="V39" s="272"/>
      <c r="W39" s="272"/>
      <c r="Z39" s="215"/>
      <c r="AA39" s="215"/>
      <c r="AB39" s="215"/>
      <c r="AI39" s="268">
        <v>6</v>
      </c>
      <c r="AJ39" s="292">
        <f>AJ38</f>
        <v>1821.25</v>
      </c>
      <c r="AK39" s="291" t="e">
        <f>H38</f>
        <v>#REF!</v>
      </c>
    </row>
    <row r="40" spans="1:37" x14ac:dyDescent="0.2">
      <c r="A40" s="276">
        <v>36</v>
      </c>
      <c r="B40" s="272" t="s">
        <v>500</v>
      </c>
      <c r="C40" s="215" t="e">
        <f>D40</f>
        <v>#REF!</v>
      </c>
      <c r="D40" s="290" t="e">
        <f t="shared" si="16"/>
        <v>#REF!</v>
      </c>
      <c r="E40" s="290" t="e">
        <f t="shared" si="16"/>
        <v>#REF!</v>
      </c>
      <c r="F40" s="290" t="e">
        <f t="shared" si="16"/>
        <v>#REF!</v>
      </c>
      <c r="G40" s="290" t="e">
        <f t="shared" si="16"/>
        <v>#REF!</v>
      </c>
      <c r="H40" s="290" t="e">
        <f t="shared" si="16"/>
        <v>#REF!</v>
      </c>
      <c r="I40" s="290" t="e">
        <f t="shared" si="16"/>
        <v>#REF!</v>
      </c>
      <c r="J40" s="272"/>
      <c r="K40" s="272"/>
      <c r="L40" s="272"/>
      <c r="M40" s="272"/>
      <c r="N40" s="272"/>
      <c r="O40" s="272"/>
      <c r="P40" s="272"/>
      <c r="Q40" s="272"/>
      <c r="R40" s="272"/>
      <c r="S40" s="272"/>
      <c r="T40" s="272"/>
      <c r="U40" s="272"/>
      <c r="V40" s="272"/>
      <c r="W40" s="272"/>
      <c r="Z40" s="215"/>
      <c r="AA40" s="215"/>
      <c r="AB40" s="215"/>
      <c r="AI40" s="268">
        <v>7</v>
      </c>
      <c r="AJ40" s="292">
        <f t="shared" si="17"/>
        <v>1821.25</v>
      </c>
      <c r="AK40" s="291" t="e">
        <f>I38</f>
        <v>#REF!</v>
      </c>
    </row>
    <row r="41" spans="1:37" x14ac:dyDescent="0.2">
      <c r="A41" s="276">
        <v>37</v>
      </c>
      <c r="B41" s="272" t="s">
        <v>489</v>
      </c>
      <c r="C41" s="290" t="e">
        <f t="shared" ref="C41:I41" si="18">(VLOOKUP($B41,FwyCapFactors,2,FALSE)*LEFT(C$22,1)*$C$99*VLOOKUP(C$22,FwyFleLookup,2,FALSE)+VLOOKUP($B41,FwyCapFactors,3,FALSE))/LEFT(C$22,1)</f>
        <v>#REF!</v>
      </c>
      <c r="D41" s="290" t="e">
        <f t="shared" si="18"/>
        <v>#REF!</v>
      </c>
      <c r="E41" s="290" t="e">
        <f t="shared" si="18"/>
        <v>#REF!</v>
      </c>
      <c r="F41" s="290" t="e">
        <f t="shared" si="18"/>
        <v>#REF!</v>
      </c>
      <c r="G41" s="290" t="e">
        <f t="shared" si="18"/>
        <v>#REF!</v>
      </c>
      <c r="H41" s="290" t="e">
        <f t="shared" si="18"/>
        <v>#REF!</v>
      </c>
      <c r="I41" s="290" t="e">
        <f t="shared" si="18"/>
        <v>#REF!</v>
      </c>
      <c r="J41" s="272"/>
      <c r="K41" s="272"/>
      <c r="L41" s="272"/>
      <c r="M41" s="272"/>
      <c r="N41" s="272"/>
      <c r="O41" s="272"/>
      <c r="P41" s="272"/>
      <c r="Q41" s="272"/>
      <c r="R41" s="272"/>
      <c r="S41" s="272"/>
      <c r="T41" s="272"/>
      <c r="U41" s="272"/>
      <c r="V41" s="272"/>
    </row>
    <row r="42" spans="1:37" x14ac:dyDescent="0.2">
      <c r="A42" s="276">
        <v>38</v>
      </c>
      <c r="B42" s="272" t="s">
        <v>490</v>
      </c>
      <c r="C42" s="290" t="e">
        <f>C41</f>
        <v>#REF!</v>
      </c>
      <c r="D42" s="290" t="e">
        <f t="shared" ref="D42:I43" si="19">D41</f>
        <v>#REF!</v>
      </c>
      <c r="E42" s="290" t="e">
        <f t="shared" si="19"/>
        <v>#REF!</v>
      </c>
      <c r="F42" s="290" t="e">
        <f t="shared" si="19"/>
        <v>#REF!</v>
      </c>
      <c r="G42" s="290" t="e">
        <f t="shared" si="19"/>
        <v>#REF!</v>
      </c>
      <c r="H42" s="290" t="e">
        <f t="shared" si="19"/>
        <v>#REF!</v>
      </c>
      <c r="I42" s="290" t="e">
        <f t="shared" si="19"/>
        <v>#REF!</v>
      </c>
      <c r="J42" s="272"/>
      <c r="K42" s="272"/>
      <c r="L42" s="272"/>
      <c r="M42" s="272"/>
      <c r="N42" s="272"/>
      <c r="O42" s="272"/>
      <c r="P42" s="272"/>
      <c r="Q42" s="272"/>
      <c r="R42" s="272"/>
      <c r="S42" s="272"/>
      <c r="T42" s="272"/>
      <c r="U42" s="272"/>
      <c r="V42" s="272"/>
      <c r="AI42" s="270" t="s">
        <v>511</v>
      </c>
    </row>
    <row r="43" spans="1:37" x14ac:dyDescent="0.2">
      <c r="A43" s="276">
        <v>39</v>
      </c>
      <c r="B43" s="272" t="s">
        <v>488</v>
      </c>
      <c r="C43" s="290" t="e">
        <f>C42</f>
        <v>#REF!</v>
      </c>
      <c r="D43" s="290" t="e">
        <f t="shared" si="19"/>
        <v>#REF!</v>
      </c>
      <c r="E43" s="290" t="e">
        <f t="shared" si="19"/>
        <v>#REF!</v>
      </c>
      <c r="F43" s="290" t="e">
        <f t="shared" si="19"/>
        <v>#REF!</v>
      </c>
      <c r="G43" s="290" t="e">
        <f t="shared" si="19"/>
        <v>#REF!</v>
      </c>
      <c r="H43" s="290" t="e">
        <f t="shared" si="19"/>
        <v>#REF!</v>
      </c>
      <c r="I43" s="290" t="e">
        <f t="shared" si="19"/>
        <v>#REF!</v>
      </c>
      <c r="J43" s="272"/>
      <c r="K43" s="272"/>
      <c r="L43" s="272"/>
      <c r="M43" s="272"/>
      <c r="N43" s="272"/>
      <c r="O43" s="272"/>
      <c r="P43" s="272"/>
      <c r="Q43" s="272"/>
      <c r="R43" s="272"/>
      <c r="S43" s="272"/>
      <c r="T43" s="272"/>
      <c r="U43" s="272"/>
      <c r="V43" s="272"/>
      <c r="W43" s="293"/>
      <c r="AI43" s="268" t="s">
        <v>150</v>
      </c>
      <c r="AJ43" s="294" t="s">
        <v>324</v>
      </c>
      <c r="AK43" s="294" t="s">
        <v>325</v>
      </c>
    </row>
    <row r="44" spans="1:37" x14ac:dyDescent="0.2">
      <c r="A44" s="276">
        <v>40</v>
      </c>
      <c r="B44" s="272" t="s">
        <v>431</v>
      </c>
      <c r="C44" s="245">
        <v>1800</v>
      </c>
      <c r="D44" s="215" t="e">
        <f>D43/C43*C44</f>
        <v>#REF!</v>
      </c>
      <c r="E44" s="215" t="e">
        <f t="shared" ref="E44:I44" si="20">E43/D43*D44</f>
        <v>#REF!</v>
      </c>
      <c r="F44" s="215" t="e">
        <f t="shared" si="20"/>
        <v>#REF!</v>
      </c>
      <c r="G44" s="215" t="e">
        <f t="shared" si="20"/>
        <v>#REF!</v>
      </c>
      <c r="H44" s="215" t="e">
        <f t="shared" si="20"/>
        <v>#REF!</v>
      </c>
      <c r="I44" s="215" t="e">
        <f t="shared" si="20"/>
        <v>#REF!</v>
      </c>
      <c r="J44" s="272"/>
      <c r="K44" s="272"/>
      <c r="L44" s="272"/>
      <c r="M44" s="272"/>
      <c r="N44" s="272"/>
      <c r="O44" s="272"/>
      <c r="P44" s="272"/>
      <c r="Q44" s="272"/>
      <c r="R44" s="272"/>
      <c r="S44" s="272"/>
      <c r="T44" s="272"/>
      <c r="U44" s="272"/>
      <c r="V44" s="272"/>
      <c r="W44" s="293"/>
      <c r="AC44" s="295"/>
      <c r="AI44" s="268">
        <f t="shared" ref="AI44:AI49" si="21">AI35</f>
        <v>2</v>
      </c>
      <c r="AJ44" s="296">
        <f t="shared" ref="AJ44:AJ49" si="22">AI44*AJ35</f>
        <v>3642.5</v>
      </c>
      <c r="AK44" s="296" t="e">
        <f t="shared" ref="AK44:AK49" si="23">AK35*AI44</f>
        <v>#REF!</v>
      </c>
    </row>
    <row r="45" spans="1:37" x14ac:dyDescent="0.2">
      <c r="A45" s="276">
        <v>41</v>
      </c>
      <c r="B45" s="272" t="s">
        <v>428</v>
      </c>
      <c r="C45" s="245">
        <v>1200</v>
      </c>
      <c r="D45" s="245">
        <v>900</v>
      </c>
      <c r="E45" s="245">
        <v>600</v>
      </c>
      <c r="F45" s="215">
        <f>E45</f>
        <v>600</v>
      </c>
      <c r="G45" s="215">
        <f t="shared" ref="G45:I45" si="24">F45</f>
        <v>600</v>
      </c>
      <c r="H45" s="215">
        <f t="shared" si="24"/>
        <v>600</v>
      </c>
      <c r="I45" s="215">
        <f t="shared" si="24"/>
        <v>600</v>
      </c>
      <c r="J45" s="272"/>
      <c r="K45" s="272"/>
      <c r="L45" s="272"/>
      <c r="M45" s="272"/>
      <c r="N45" s="272"/>
      <c r="O45" s="272"/>
      <c r="P45" s="272"/>
      <c r="Q45" s="272"/>
      <c r="R45" s="272"/>
      <c r="S45" s="272"/>
      <c r="T45" s="272"/>
      <c r="U45" s="272"/>
      <c r="V45" s="272"/>
      <c r="W45" s="293"/>
      <c r="AC45" s="295"/>
      <c r="AI45" s="268">
        <f t="shared" si="21"/>
        <v>3</v>
      </c>
      <c r="AJ45" s="296">
        <f t="shared" si="22"/>
        <v>5463.75</v>
      </c>
      <c r="AK45" s="296" t="e">
        <f t="shared" si="23"/>
        <v>#REF!</v>
      </c>
    </row>
    <row r="46" spans="1:37" x14ac:dyDescent="0.2">
      <c r="A46" s="276">
        <v>42</v>
      </c>
      <c r="B46" s="272" t="s">
        <v>429</v>
      </c>
      <c r="C46" s="215" t="e">
        <f>C9*1.1</f>
        <v>#REF!</v>
      </c>
      <c r="D46" s="215" t="e">
        <f>D9*1.1</f>
        <v>#REF!</v>
      </c>
      <c r="E46" s="215" t="e">
        <f>E9*1.1</f>
        <v>#REF!</v>
      </c>
      <c r="F46" s="215" t="e">
        <f t="shared" ref="F46:I46" si="25">F9*1.1</f>
        <v>#REF!</v>
      </c>
      <c r="G46" s="215" t="e">
        <f t="shared" si="25"/>
        <v>#REF!</v>
      </c>
      <c r="H46" s="215" t="e">
        <f t="shared" si="25"/>
        <v>#REF!</v>
      </c>
      <c r="I46" s="215" t="e">
        <f t="shared" si="25"/>
        <v>#REF!</v>
      </c>
      <c r="J46" s="272"/>
      <c r="K46" s="272"/>
      <c r="L46" s="272"/>
      <c r="M46" s="272"/>
      <c r="N46" s="272"/>
      <c r="O46" s="272"/>
      <c r="P46" s="272"/>
      <c r="Q46" s="272"/>
      <c r="R46" s="272"/>
      <c r="S46" s="272"/>
      <c r="T46" s="272"/>
      <c r="U46" s="272"/>
      <c r="V46" s="272"/>
      <c r="W46" s="293"/>
      <c r="AC46" s="295"/>
      <c r="AI46" s="268">
        <f t="shared" si="21"/>
        <v>4</v>
      </c>
      <c r="AJ46" s="296">
        <f t="shared" si="22"/>
        <v>7285</v>
      </c>
      <c r="AK46" s="296" t="e">
        <f t="shared" si="23"/>
        <v>#REF!</v>
      </c>
    </row>
    <row r="47" spans="1:37" x14ac:dyDescent="0.2">
      <c r="A47" s="276"/>
      <c r="B47" s="272"/>
      <c r="C47" s="215"/>
      <c r="D47" s="215"/>
      <c r="E47" s="215"/>
      <c r="F47" s="215"/>
      <c r="G47" s="215"/>
      <c r="H47" s="215"/>
      <c r="I47" s="215"/>
      <c r="J47" s="272"/>
      <c r="K47" s="272"/>
      <c r="L47" s="272"/>
      <c r="M47" s="272"/>
      <c r="N47" s="272"/>
      <c r="O47" s="272"/>
      <c r="P47" s="272"/>
      <c r="Q47" s="272"/>
      <c r="R47" s="272"/>
      <c r="S47" s="272"/>
      <c r="T47" s="272"/>
      <c r="U47" s="272"/>
      <c r="V47" s="272"/>
      <c r="W47" s="293"/>
      <c r="AC47" s="295"/>
      <c r="AI47" s="268">
        <f t="shared" si="21"/>
        <v>5</v>
      </c>
      <c r="AJ47" s="296">
        <f t="shared" si="22"/>
        <v>9106.25</v>
      </c>
      <c r="AK47" s="296" t="e">
        <f t="shared" si="23"/>
        <v>#REF!</v>
      </c>
    </row>
    <row r="48" spans="1:37" ht="15" x14ac:dyDescent="0.2">
      <c r="A48" s="276"/>
      <c r="B48" s="297" t="s">
        <v>435</v>
      </c>
      <c r="C48" s="272"/>
      <c r="D48" s="276"/>
      <c r="E48" s="272"/>
      <c r="F48" s="272"/>
      <c r="G48" s="289"/>
      <c r="H48" s="272"/>
      <c r="I48" s="272"/>
      <c r="J48" s="272"/>
      <c r="K48" s="272"/>
      <c r="L48" s="272"/>
      <c r="M48" s="272"/>
      <c r="N48" s="272"/>
      <c r="O48" s="272"/>
      <c r="P48" s="272"/>
      <c r="Q48" s="272"/>
      <c r="R48" s="272"/>
      <c r="S48" s="272"/>
      <c r="T48" s="272"/>
      <c r="U48" s="272"/>
      <c r="V48" s="272"/>
      <c r="W48" s="272"/>
      <c r="AI48" s="268">
        <f t="shared" si="21"/>
        <v>6</v>
      </c>
      <c r="AJ48" s="296">
        <f t="shared" si="22"/>
        <v>10927.5</v>
      </c>
      <c r="AK48" s="296" t="e">
        <f t="shared" si="23"/>
        <v>#REF!</v>
      </c>
    </row>
    <row r="49" spans="2:37" x14ac:dyDescent="0.2">
      <c r="B49" s="298" t="s">
        <v>502</v>
      </c>
      <c r="C49" s="298"/>
      <c r="D49" s="298"/>
      <c r="E49" s="298"/>
      <c r="F49" s="298"/>
      <c r="G49" s="299"/>
      <c r="H49" s="299"/>
      <c r="I49" s="299"/>
      <c r="J49" s="299"/>
      <c r="K49" s="299"/>
      <c r="L49" s="299"/>
      <c r="M49" s="299"/>
      <c r="N49" s="299"/>
      <c r="O49" s="299"/>
      <c r="P49" s="299"/>
      <c r="Q49" s="299"/>
      <c r="R49" s="299"/>
      <c r="S49" s="299"/>
      <c r="T49" s="299"/>
      <c r="U49" s="299"/>
      <c r="V49" s="299"/>
      <c r="W49" s="299"/>
      <c r="AI49" s="268">
        <f t="shared" si="21"/>
        <v>7</v>
      </c>
      <c r="AJ49" s="296">
        <f t="shared" si="22"/>
        <v>12748.75</v>
      </c>
      <c r="AK49" s="296" t="e">
        <f t="shared" si="23"/>
        <v>#REF!</v>
      </c>
    </row>
    <row r="50" spans="2:37" x14ac:dyDescent="0.2">
      <c r="B50" s="298" t="s">
        <v>493</v>
      </c>
      <c r="C50" s="298"/>
      <c r="D50" s="298"/>
      <c r="E50" s="298"/>
      <c r="F50" s="298"/>
      <c r="G50" s="299"/>
      <c r="H50" s="299"/>
      <c r="I50" s="299"/>
      <c r="J50" s="299"/>
      <c r="K50" s="299"/>
      <c r="L50" s="299"/>
      <c r="M50" s="299"/>
      <c r="N50" s="299"/>
      <c r="O50" s="299"/>
      <c r="P50" s="299"/>
      <c r="Q50" s="299"/>
      <c r="R50" s="299"/>
      <c r="S50" s="299"/>
      <c r="T50" s="299"/>
      <c r="U50" s="299"/>
      <c r="V50" s="299"/>
      <c r="W50" s="299"/>
    </row>
    <row r="51" spans="2:37" x14ac:dyDescent="0.2">
      <c r="B51" s="298"/>
      <c r="C51" s="298"/>
      <c r="D51" s="298"/>
      <c r="E51" s="298"/>
      <c r="F51" s="298"/>
      <c r="G51" s="299"/>
      <c r="H51" s="299"/>
      <c r="I51" s="299"/>
      <c r="AE51" s="296"/>
      <c r="AF51" s="296"/>
      <c r="AI51" s="270" t="s">
        <v>512</v>
      </c>
    </row>
    <row r="52" spans="2:37" ht="15" x14ac:dyDescent="0.2">
      <c r="B52" s="297" t="s">
        <v>468</v>
      </c>
      <c r="H52" s="294"/>
      <c r="I52" s="294"/>
      <c r="AI52" s="268" t="s">
        <v>150</v>
      </c>
      <c r="AJ52" s="294" t="s">
        <v>324</v>
      </c>
      <c r="AK52" s="294" t="s">
        <v>325</v>
      </c>
    </row>
    <row r="53" spans="2:37" x14ac:dyDescent="0.2">
      <c r="B53" s="300" t="s">
        <v>260</v>
      </c>
      <c r="H53" s="294"/>
      <c r="I53" s="294"/>
      <c r="AI53" s="268">
        <f t="shared" ref="AI53:AI58" si="26">AI44</f>
        <v>2</v>
      </c>
      <c r="AJ53" s="296">
        <f t="shared" ref="AJ53:AK58" si="27">MROUND(AJ44/$AI$3*2, 1000)</f>
        <v>81000</v>
      </c>
      <c r="AK53" s="296" t="e">
        <f t="shared" si="27"/>
        <v>#REF!</v>
      </c>
    </row>
    <row r="54" spans="2:37" x14ac:dyDescent="0.2">
      <c r="B54" s="300"/>
      <c r="H54" s="294"/>
      <c r="I54" s="294"/>
      <c r="AI54" s="268">
        <f t="shared" si="26"/>
        <v>3</v>
      </c>
      <c r="AJ54" s="296">
        <f t="shared" si="27"/>
        <v>121000</v>
      </c>
      <c r="AK54" s="296" t="e">
        <f t="shared" si="27"/>
        <v>#REF!</v>
      </c>
    </row>
    <row r="55" spans="2:37" x14ac:dyDescent="0.2">
      <c r="C55" s="281" t="s">
        <v>461</v>
      </c>
      <c r="D55" s="281" t="s">
        <v>228</v>
      </c>
      <c r="E55" s="282" t="s">
        <v>463</v>
      </c>
      <c r="F55" s="279"/>
      <c r="G55" s="294"/>
      <c r="H55" s="294"/>
      <c r="AI55" s="268">
        <f t="shared" si="26"/>
        <v>4</v>
      </c>
      <c r="AJ55" s="296">
        <f t="shared" si="27"/>
        <v>162000</v>
      </c>
      <c r="AK55" s="296" t="e">
        <f t="shared" si="27"/>
        <v>#REF!</v>
      </c>
    </row>
    <row r="56" spans="2:37" x14ac:dyDescent="0.2">
      <c r="B56" s="300" t="s">
        <v>454</v>
      </c>
      <c r="C56" s="301">
        <v>1900</v>
      </c>
      <c r="D56" s="302">
        <v>1</v>
      </c>
      <c r="E56" s="302">
        <v>0.52</v>
      </c>
      <c r="F56" s="279"/>
      <c r="G56" s="294"/>
      <c r="H56" s="294"/>
      <c r="AI56" s="268">
        <f t="shared" si="26"/>
        <v>5</v>
      </c>
      <c r="AJ56" s="296">
        <f t="shared" si="27"/>
        <v>202000</v>
      </c>
      <c r="AK56" s="296" t="e">
        <f t="shared" si="27"/>
        <v>#REF!</v>
      </c>
    </row>
    <row r="57" spans="2:37" x14ac:dyDescent="0.2">
      <c r="B57" s="300" t="s">
        <v>408</v>
      </c>
      <c r="C57" s="301">
        <v>1900</v>
      </c>
      <c r="D57" s="302">
        <v>1</v>
      </c>
      <c r="E57" s="302">
        <v>0.47</v>
      </c>
      <c r="F57" s="279"/>
      <c r="G57" s="294"/>
      <c r="H57" s="294"/>
      <c r="AI57" s="268">
        <f t="shared" si="26"/>
        <v>6</v>
      </c>
      <c r="AJ57" s="296">
        <f t="shared" si="27"/>
        <v>243000</v>
      </c>
      <c r="AK57" s="296" t="e">
        <f t="shared" si="27"/>
        <v>#REF!</v>
      </c>
    </row>
    <row r="58" spans="2:37" x14ac:dyDescent="0.2">
      <c r="B58" s="300" t="s">
        <v>420</v>
      </c>
      <c r="C58" s="301">
        <v>1700</v>
      </c>
      <c r="D58" s="302">
        <v>1</v>
      </c>
      <c r="E58" s="302">
        <v>0.4</v>
      </c>
      <c r="F58" s="279"/>
      <c r="G58" s="294"/>
      <c r="H58" s="294"/>
      <c r="AI58" s="268">
        <f t="shared" si="26"/>
        <v>7</v>
      </c>
      <c r="AJ58" s="296">
        <f t="shared" si="27"/>
        <v>283000</v>
      </c>
      <c r="AK58" s="296" t="e">
        <f t="shared" si="27"/>
        <v>#REF!</v>
      </c>
    </row>
    <row r="59" spans="2:37" x14ac:dyDescent="0.2">
      <c r="B59" s="300" t="s">
        <v>421</v>
      </c>
      <c r="C59" s="301">
        <v>1500</v>
      </c>
      <c r="D59" s="302">
        <v>1</v>
      </c>
      <c r="E59" s="302">
        <v>0.35</v>
      </c>
      <c r="F59" s="279"/>
      <c r="G59" s="294"/>
      <c r="H59" s="294"/>
    </row>
    <row r="60" spans="2:37" x14ac:dyDescent="0.2">
      <c r="B60" s="300"/>
      <c r="C60" s="278"/>
      <c r="D60" s="303"/>
      <c r="E60" s="303"/>
      <c r="F60" s="279"/>
      <c r="G60" s="294"/>
      <c r="H60" s="294"/>
    </row>
    <row r="61" spans="2:37" x14ac:dyDescent="0.2">
      <c r="B61" s="300" t="str">
        <f>'SFF 8.1'!D15</f>
        <v>Expressway, posted 60-70 mph</v>
      </c>
      <c r="C61" s="301">
        <v>1900</v>
      </c>
      <c r="D61" s="302">
        <v>1</v>
      </c>
      <c r="E61" s="302">
        <v>0.57999999999999996</v>
      </c>
      <c r="F61" s="279"/>
      <c r="G61" s="294"/>
      <c r="H61" s="294"/>
    </row>
    <row r="62" spans="2:37" x14ac:dyDescent="0.2">
      <c r="B62" s="300" t="str">
        <f>'SFF 8.1'!D16</f>
        <v>Expressway, posted 55-65 mph</v>
      </c>
      <c r="C62" s="301">
        <v>1900</v>
      </c>
      <c r="D62" s="302">
        <v>1</v>
      </c>
      <c r="E62" s="302">
        <v>0.56000000000000005</v>
      </c>
      <c r="F62" s="279"/>
      <c r="G62" s="294"/>
      <c r="H62" s="294"/>
    </row>
    <row r="63" spans="2:37" x14ac:dyDescent="0.2">
      <c r="B63" s="300" t="str">
        <f>'SFF 8.1'!D17</f>
        <v>Expressway, posted 50-60 mph</v>
      </c>
      <c r="C63" s="301">
        <v>1900</v>
      </c>
      <c r="D63" s="302">
        <v>1</v>
      </c>
      <c r="E63" s="302">
        <v>0.54</v>
      </c>
      <c r="F63" s="279"/>
      <c r="G63" s="294"/>
      <c r="H63" s="294"/>
    </row>
    <row r="64" spans="2:37" x14ac:dyDescent="0.2">
      <c r="B64" s="300" t="str">
        <f>'SFF 8.1'!D18</f>
        <v>Expressway, posted 45-55 mph</v>
      </c>
      <c r="C64" s="301">
        <v>1900</v>
      </c>
      <c r="D64" s="302">
        <v>1</v>
      </c>
      <c r="E64" s="302">
        <v>0.52</v>
      </c>
      <c r="F64" s="279"/>
      <c r="G64" s="294"/>
      <c r="H64" s="294"/>
    </row>
    <row r="65" spans="2:23" x14ac:dyDescent="0.2">
      <c r="B65" s="300"/>
      <c r="C65" s="278"/>
      <c r="D65" s="303"/>
      <c r="E65" s="303"/>
      <c r="F65" s="303"/>
      <c r="H65" s="294"/>
      <c r="I65" s="294"/>
    </row>
    <row r="66" spans="2:23" x14ac:dyDescent="0.2">
      <c r="B66" s="281" t="s">
        <v>486</v>
      </c>
      <c r="C66" s="214" t="s">
        <v>464</v>
      </c>
      <c r="D66" s="304" t="s">
        <v>465</v>
      </c>
      <c r="E66" s="304" t="s">
        <v>466</v>
      </c>
      <c r="F66" s="304" t="s">
        <v>470</v>
      </c>
      <c r="H66" s="294"/>
      <c r="I66" s="294"/>
    </row>
    <row r="67" spans="2:23" x14ac:dyDescent="0.2">
      <c r="B67" s="300" t="s">
        <v>484</v>
      </c>
      <c r="C67" s="302">
        <v>0.98</v>
      </c>
      <c r="D67" s="302">
        <v>0.99</v>
      </c>
      <c r="E67" s="302">
        <v>0.99</v>
      </c>
      <c r="F67" s="302">
        <v>1</v>
      </c>
      <c r="H67" s="294"/>
      <c r="I67" s="294"/>
    </row>
    <row r="68" spans="2:23" x14ac:dyDescent="0.2">
      <c r="B68" s="300" t="s">
        <v>485</v>
      </c>
      <c r="C68" s="302">
        <v>1</v>
      </c>
      <c r="D68" s="302">
        <v>1</v>
      </c>
      <c r="E68" s="302">
        <v>1</v>
      </c>
      <c r="F68" s="302">
        <v>1</v>
      </c>
      <c r="H68" s="294"/>
      <c r="I68" s="294"/>
    </row>
    <row r="69" spans="2:23" x14ac:dyDescent="0.2">
      <c r="B69" s="300" t="s">
        <v>487</v>
      </c>
      <c r="C69" s="302">
        <v>1</v>
      </c>
      <c r="D69" s="302">
        <v>1</v>
      </c>
      <c r="E69" s="302">
        <v>1</v>
      </c>
      <c r="F69" s="302">
        <v>1</v>
      </c>
      <c r="H69" s="294"/>
      <c r="I69" s="294"/>
    </row>
    <row r="70" spans="2:23" x14ac:dyDescent="0.2">
      <c r="B70" s="300"/>
      <c r="C70" s="278"/>
      <c r="D70" s="303"/>
      <c r="E70" s="303"/>
      <c r="F70" s="303"/>
      <c r="H70" s="294"/>
      <c r="I70" s="294"/>
    </row>
    <row r="71" spans="2:23" x14ac:dyDescent="0.2">
      <c r="B71" s="281" t="s">
        <v>462</v>
      </c>
      <c r="C71" s="214" t="s">
        <v>464</v>
      </c>
      <c r="D71" s="304" t="s">
        <v>465</v>
      </c>
      <c r="E71" s="304" t="s">
        <v>466</v>
      </c>
      <c r="F71" s="304" t="s">
        <v>470</v>
      </c>
      <c r="H71" s="294"/>
      <c r="I71" s="294"/>
    </row>
    <row r="72" spans="2:23" x14ac:dyDescent="0.2">
      <c r="B72" s="300" t="s">
        <v>484</v>
      </c>
      <c r="C72" s="302">
        <v>1</v>
      </c>
      <c r="D72" s="302">
        <v>0.95</v>
      </c>
      <c r="E72" s="302">
        <v>0.91</v>
      </c>
      <c r="F72" s="302">
        <v>0.88</v>
      </c>
      <c r="H72" s="294"/>
      <c r="I72" s="294"/>
    </row>
    <row r="73" spans="2:23" x14ac:dyDescent="0.2">
      <c r="B73" s="300" t="s">
        <v>485</v>
      </c>
      <c r="C73" s="302">
        <v>1</v>
      </c>
      <c r="D73" s="302">
        <v>0.95</v>
      </c>
      <c r="E73" s="302">
        <v>0.91</v>
      </c>
      <c r="F73" s="302">
        <v>0.88</v>
      </c>
      <c r="H73" s="294"/>
      <c r="I73" s="294"/>
    </row>
    <row r="74" spans="2:23" x14ac:dyDescent="0.2">
      <c r="B74" s="300" t="s">
        <v>487</v>
      </c>
      <c r="C74" s="302">
        <v>1</v>
      </c>
      <c r="D74" s="302">
        <v>0.96</v>
      </c>
      <c r="E74" s="302">
        <v>0.93</v>
      </c>
      <c r="F74" s="302">
        <v>0.91</v>
      </c>
      <c r="H74" s="294"/>
      <c r="I74" s="294"/>
    </row>
    <row r="75" spans="2:23" x14ac:dyDescent="0.2">
      <c r="B75" s="300"/>
      <c r="C75" s="278"/>
      <c r="D75" s="303"/>
      <c r="E75" s="303"/>
      <c r="F75" s="303"/>
      <c r="H75" s="294"/>
      <c r="I75" s="294"/>
      <c r="J75" s="272"/>
      <c r="K75" s="272"/>
      <c r="L75" s="272"/>
      <c r="M75" s="272"/>
      <c r="N75" s="272"/>
      <c r="O75" s="272"/>
      <c r="P75" s="272"/>
      <c r="Q75" s="272"/>
      <c r="R75" s="272"/>
      <c r="S75" s="272"/>
      <c r="T75" s="272"/>
      <c r="U75" s="272"/>
      <c r="V75" s="272"/>
      <c r="W75" s="272"/>
    </row>
    <row r="76" spans="2:23" x14ac:dyDescent="0.2">
      <c r="B76" s="272"/>
      <c r="C76" s="281">
        <v>1</v>
      </c>
      <c r="D76" s="281">
        <v>2</v>
      </c>
      <c r="E76" s="281">
        <v>3</v>
      </c>
      <c r="F76" s="281">
        <v>4</v>
      </c>
      <c r="G76" s="282">
        <v>5</v>
      </c>
      <c r="H76" s="272"/>
      <c r="I76" s="272"/>
      <c r="J76" s="272"/>
      <c r="K76" s="272"/>
      <c r="L76" s="272"/>
      <c r="M76" s="272"/>
      <c r="N76" s="272"/>
      <c r="O76" s="272"/>
      <c r="P76" s="272"/>
      <c r="Q76" s="272"/>
      <c r="R76" s="272"/>
      <c r="S76" s="272"/>
      <c r="T76" s="272"/>
      <c r="U76" s="272"/>
      <c r="V76" s="272"/>
      <c r="W76" s="272"/>
    </row>
    <row r="77" spans="2:23" x14ac:dyDescent="0.2">
      <c r="C77" s="281" t="s">
        <v>261</v>
      </c>
      <c r="D77" s="281" t="s">
        <v>161</v>
      </c>
      <c r="E77" s="281" t="s">
        <v>4</v>
      </c>
      <c r="F77" s="281" t="s">
        <v>3</v>
      </c>
      <c r="G77" s="282" t="s">
        <v>160</v>
      </c>
      <c r="H77" s="272"/>
      <c r="I77" s="272"/>
      <c r="J77" s="272"/>
      <c r="K77" s="272"/>
      <c r="L77" s="272"/>
      <c r="M77" s="272"/>
      <c r="N77" s="272"/>
      <c r="O77" s="272"/>
      <c r="P77" s="272"/>
      <c r="Q77" s="272"/>
      <c r="R77" s="272"/>
      <c r="S77" s="272"/>
      <c r="T77" s="272"/>
      <c r="U77" s="272"/>
      <c r="V77" s="272"/>
      <c r="W77" s="272"/>
    </row>
    <row r="78" spans="2:23" x14ac:dyDescent="0.2">
      <c r="B78" s="298" t="s">
        <v>453</v>
      </c>
      <c r="C78" s="302">
        <v>1.1000000000000001</v>
      </c>
      <c r="D78" s="305">
        <v>1.05</v>
      </c>
      <c r="E78" s="302">
        <v>1</v>
      </c>
      <c r="F78" s="302">
        <v>0.95</v>
      </c>
      <c r="G78" s="302">
        <v>0.9</v>
      </c>
      <c r="H78" s="272"/>
      <c r="I78" s="272"/>
    </row>
    <row r="79" spans="2:23" x14ac:dyDescent="0.2">
      <c r="H79" s="294"/>
      <c r="I79" s="294"/>
    </row>
    <row r="80" spans="2:23" x14ac:dyDescent="0.2">
      <c r="H80" s="294"/>
      <c r="I80" s="294"/>
    </row>
    <row r="81" spans="1:23" ht="15" x14ac:dyDescent="0.2">
      <c r="B81" s="297" t="s">
        <v>469</v>
      </c>
      <c r="J81" s="272"/>
      <c r="K81" s="272"/>
      <c r="L81" s="272"/>
      <c r="M81" s="272"/>
      <c r="N81" s="272"/>
      <c r="O81" s="272"/>
      <c r="P81" s="272"/>
      <c r="Q81" s="272"/>
      <c r="R81" s="272"/>
      <c r="S81" s="272"/>
      <c r="T81" s="272"/>
      <c r="U81" s="272"/>
      <c r="V81" s="272"/>
      <c r="W81" s="272"/>
    </row>
    <row r="82" spans="1:23" x14ac:dyDescent="0.2">
      <c r="A82" s="276"/>
      <c r="B82" s="298" t="s">
        <v>285</v>
      </c>
      <c r="C82" s="272"/>
      <c r="D82" s="276"/>
      <c r="E82" s="272"/>
      <c r="F82" s="306"/>
      <c r="G82" s="289"/>
      <c r="H82" s="272"/>
      <c r="I82" s="272"/>
      <c r="J82" s="272"/>
      <c r="K82" s="272"/>
      <c r="L82" s="272"/>
      <c r="M82" s="272"/>
      <c r="N82" s="272"/>
      <c r="O82" s="272"/>
      <c r="P82" s="272"/>
      <c r="Q82" s="272"/>
      <c r="R82" s="272"/>
      <c r="S82" s="272"/>
      <c r="T82" s="272"/>
      <c r="U82" s="272"/>
      <c r="V82" s="272"/>
      <c r="W82" s="272"/>
    </row>
    <row r="83" spans="1:23" ht="13.9" customHeight="1" x14ac:dyDescent="0.2">
      <c r="A83" s="276"/>
      <c r="B83" s="298" t="s">
        <v>286</v>
      </c>
      <c r="C83" s="272"/>
      <c r="D83" s="276"/>
      <c r="E83" s="272"/>
      <c r="F83" s="272"/>
      <c r="G83" s="289"/>
      <c r="H83" s="276" t="s">
        <v>534</v>
      </c>
      <c r="I83" s="272"/>
      <c r="J83" s="272"/>
      <c r="K83" s="272"/>
      <c r="L83" s="272"/>
      <c r="M83" s="272"/>
      <c r="N83" s="272"/>
      <c r="O83" s="272"/>
      <c r="P83" s="272"/>
      <c r="Q83" s="272"/>
      <c r="R83" s="272"/>
      <c r="S83" s="272"/>
      <c r="T83" s="272"/>
      <c r="U83" s="272"/>
      <c r="V83" s="272"/>
      <c r="W83" s="272"/>
    </row>
    <row r="84" spans="1:23" ht="13.9" customHeight="1" x14ac:dyDescent="0.2">
      <c r="A84" s="276"/>
      <c r="B84" s="298"/>
      <c r="C84" s="272"/>
      <c r="D84" s="276"/>
      <c r="E84" s="272"/>
      <c r="F84" s="272"/>
      <c r="G84" s="289"/>
      <c r="H84" s="321">
        <v>0.77500000000000002</v>
      </c>
      <c r="I84" s="272"/>
      <c r="J84" s="272"/>
      <c r="K84" s="272"/>
      <c r="L84" s="272"/>
      <c r="M84" s="272"/>
      <c r="N84" s="272"/>
      <c r="O84" s="272"/>
      <c r="P84" s="272"/>
      <c r="Q84" s="272"/>
      <c r="R84" s="272"/>
      <c r="S84" s="272"/>
      <c r="T84" s="272"/>
      <c r="U84" s="272"/>
      <c r="V84" s="272"/>
      <c r="W84" s="272"/>
    </row>
    <row r="85" spans="1:23" ht="13.9" customHeight="1" x14ac:dyDescent="0.2">
      <c r="A85" s="276"/>
      <c r="B85" s="298"/>
      <c r="C85" s="281" t="s">
        <v>297</v>
      </c>
      <c r="D85" s="281" t="s">
        <v>274</v>
      </c>
      <c r="E85" s="272"/>
      <c r="F85" s="272"/>
      <c r="G85" s="282" t="s">
        <v>273</v>
      </c>
      <c r="H85" s="314" t="s">
        <v>533</v>
      </c>
      <c r="I85" s="272"/>
      <c r="J85" s="272"/>
      <c r="K85" s="272"/>
      <c r="L85" s="272"/>
      <c r="M85" s="272"/>
      <c r="N85" s="272"/>
      <c r="O85" s="272"/>
      <c r="P85" s="272"/>
      <c r="Q85" s="272"/>
      <c r="R85" s="272"/>
      <c r="S85" s="272"/>
      <c r="T85" s="272"/>
      <c r="U85" s="272"/>
      <c r="V85" s="272"/>
      <c r="W85" s="272"/>
    </row>
    <row r="86" spans="1:23" ht="13.9" customHeight="1" x14ac:dyDescent="0.2">
      <c r="A86" s="276"/>
      <c r="B86" s="272" t="s">
        <v>551</v>
      </c>
      <c r="C86" s="320">
        <v>2100</v>
      </c>
      <c r="D86" s="301">
        <v>700</v>
      </c>
      <c r="E86" s="272"/>
      <c r="F86" s="272" t="s">
        <v>464</v>
      </c>
      <c r="G86" s="302">
        <v>1</v>
      </c>
      <c r="H86" s="315">
        <v>1800</v>
      </c>
      <c r="I86" s="272"/>
      <c r="J86" s="272"/>
      <c r="K86" s="272"/>
      <c r="L86" s="272"/>
      <c r="M86" s="272"/>
      <c r="N86" s="272"/>
      <c r="O86" s="272"/>
      <c r="P86" s="272"/>
      <c r="Q86" s="272"/>
      <c r="R86" s="272"/>
      <c r="S86" s="272"/>
      <c r="T86" s="272"/>
      <c r="U86" s="272"/>
      <c r="V86" s="272"/>
      <c r="W86" s="272"/>
    </row>
    <row r="87" spans="1:23" ht="13.9" customHeight="1" x14ac:dyDescent="0.2">
      <c r="A87" s="276"/>
      <c r="B87" s="272" t="str">
        <f t="shared" ref="B87:B94" si="28">B34</f>
        <v>Fwy: fwy-to-fwy loop ramp</v>
      </c>
      <c r="C87" s="286">
        <f>H86*$H$84</f>
        <v>1395</v>
      </c>
      <c r="D87" s="301">
        <v>0</v>
      </c>
      <c r="E87" s="272"/>
      <c r="F87" s="272" t="s">
        <v>465</v>
      </c>
      <c r="G87" s="302">
        <v>1</v>
      </c>
      <c r="H87" s="315">
        <v>2000</v>
      </c>
      <c r="I87" s="272"/>
      <c r="J87" s="272"/>
      <c r="K87" s="272"/>
      <c r="L87" s="272"/>
      <c r="M87" s="272"/>
      <c r="N87" s="272"/>
      <c r="O87" s="272"/>
      <c r="P87" s="272"/>
      <c r="Q87" s="272"/>
      <c r="R87" s="272"/>
      <c r="S87" s="272"/>
      <c r="T87" s="272"/>
      <c r="U87" s="272"/>
      <c r="V87" s="272"/>
      <c r="W87" s="272"/>
    </row>
    <row r="88" spans="1:23" ht="13.9" customHeight="1" x14ac:dyDescent="0.2">
      <c r="A88" s="276"/>
      <c r="B88" s="272" t="str">
        <f t="shared" si="28"/>
        <v>Fwy: C-D road, flyover ramp</v>
      </c>
      <c r="C88" s="286">
        <f t="shared" ref="C88:C97" si="29">H87*$H$84</f>
        <v>1550</v>
      </c>
      <c r="D88" s="301">
        <v>0</v>
      </c>
      <c r="E88" s="272"/>
      <c r="F88" s="272" t="s">
        <v>466</v>
      </c>
      <c r="G88" s="302">
        <v>1</v>
      </c>
      <c r="H88" s="315">
        <v>2300</v>
      </c>
      <c r="I88" s="272"/>
      <c r="J88" s="272"/>
      <c r="K88" s="272"/>
      <c r="L88" s="272"/>
      <c r="M88" s="272"/>
      <c r="N88" s="272"/>
      <c r="O88" s="272"/>
      <c r="P88" s="272"/>
      <c r="Q88" s="272"/>
      <c r="R88" s="272"/>
      <c r="S88" s="272"/>
      <c r="T88" s="272"/>
      <c r="U88" s="272"/>
      <c r="V88" s="272"/>
      <c r="W88" s="272"/>
    </row>
    <row r="89" spans="1:23" ht="13.9" customHeight="1" x14ac:dyDescent="0.2">
      <c r="A89" s="276"/>
      <c r="B89" s="272" t="str">
        <f t="shared" si="28"/>
        <v>Fwy: posted 55-60 mph</v>
      </c>
      <c r="C89" s="286">
        <f t="shared" si="29"/>
        <v>1782.5</v>
      </c>
      <c r="D89" s="301">
        <v>0</v>
      </c>
      <c r="E89" s="272"/>
      <c r="F89" s="272" t="s">
        <v>470</v>
      </c>
      <c r="G89" s="302">
        <v>0.98</v>
      </c>
      <c r="H89" s="315">
        <v>2350</v>
      </c>
      <c r="I89" s="272"/>
      <c r="J89" s="272"/>
      <c r="K89" s="272"/>
      <c r="L89" s="272"/>
      <c r="M89" s="272"/>
      <c r="N89" s="272"/>
      <c r="O89" s="272"/>
      <c r="P89" s="272"/>
      <c r="Q89" s="272"/>
      <c r="R89" s="272"/>
      <c r="S89" s="272"/>
      <c r="T89" s="272"/>
      <c r="U89" s="272"/>
      <c r="V89" s="272"/>
      <c r="W89" s="272"/>
    </row>
    <row r="90" spans="1:23" ht="13.9" customHeight="1" x14ac:dyDescent="0.2">
      <c r="A90" s="276"/>
      <c r="B90" s="272" t="str">
        <f t="shared" si="28"/>
        <v>Fwy: posted 65 mph, no aux lane</v>
      </c>
      <c r="C90" s="286">
        <f t="shared" si="29"/>
        <v>1821.25</v>
      </c>
      <c r="D90" s="301">
        <v>0</v>
      </c>
      <c r="E90" s="272"/>
      <c r="F90" s="272" t="s">
        <v>471</v>
      </c>
      <c r="G90" s="302">
        <v>0.95</v>
      </c>
      <c r="H90" s="315">
        <v>2350</v>
      </c>
      <c r="I90" s="272"/>
      <c r="J90" s="272"/>
      <c r="K90" s="272"/>
      <c r="L90" s="272"/>
      <c r="M90" s="272"/>
      <c r="N90" s="272"/>
      <c r="O90" s="272"/>
      <c r="P90" s="272"/>
      <c r="Q90" s="272"/>
      <c r="R90" s="272"/>
      <c r="S90" s="272"/>
      <c r="T90" s="272"/>
      <c r="U90" s="272"/>
      <c r="V90" s="272"/>
      <c r="W90" s="272"/>
    </row>
    <row r="91" spans="1:23" ht="13.9" customHeight="1" x14ac:dyDescent="0.2">
      <c r="A91" s="276"/>
      <c r="B91" s="272" t="str">
        <f t="shared" si="28"/>
        <v>Fwy: posted 65 mph, aux lane</v>
      </c>
      <c r="C91" s="286">
        <f t="shared" si="29"/>
        <v>1821.25</v>
      </c>
      <c r="D91" s="301">
        <v>700</v>
      </c>
      <c r="E91" s="272"/>
      <c r="F91" s="272" t="s">
        <v>472</v>
      </c>
      <c r="G91" s="302">
        <v>0.91</v>
      </c>
      <c r="H91" s="315">
        <v>2400</v>
      </c>
      <c r="I91" s="272"/>
      <c r="J91" s="272"/>
      <c r="K91" s="272"/>
      <c r="L91" s="272"/>
      <c r="M91" s="272"/>
      <c r="N91" s="272"/>
      <c r="O91" s="272"/>
      <c r="P91" s="272"/>
      <c r="Q91" s="272"/>
      <c r="R91" s="272"/>
      <c r="S91" s="272"/>
      <c r="T91" s="272"/>
      <c r="U91" s="272"/>
      <c r="V91" s="272"/>
      <c r="W91" s="272"/>
    </row>
    <row r="92" spans="1:23" ht="13.9" customHeight="1" x14ac:dyDescent="0.2">
      <c r="A92" s="276"/>
      <c r="B92" s="272" t="str">
        <f t="shared" si="28"/>
        <v>Fwy: posted 75 mph, no aux lane</v>
      </c>
      <c r="C92" s="286">
        <f t="shared" si="29"/>
        <v>1860</v>
      </c>
      <c r="D92" s="301">
        <v>0</v>
      </c>
      <c r="E92" s="272"/>
      <c r="F92" s="272" t="s">
        <v>473</v>
      </c>
      <c r="G92" s="302">
        <v>0.88</v>
      </c>
      <c r="H92" s="315">
        <v>2400</v>
      </c>
      <c r="I92" s="272"/>
      <c r="J92" s="272"/>
      <c r="K92" s="272"/>
      <c r="L92" s="272"/>
      <c r="M92" s="272"/>
      <c r="N92" s="272"/>
      <c r="O92" s="272"/>
      <c r="P92" s="272"/>
      <c r="Q92" s="272"/>
      <c r="R92" s="272"/>
      <c r="S92" s="272"/>
      <c r="T92" s="272"/>
      <c r="U92" s="272"/>
      <c r="V92" s="272"/>
      <c r="W92" s="272"/>
    </row>
    <row r="93" spans="1:23" x14ac:dyDescent="0.2">
      <c r="A93" s="276"/>
      <c r="B93" s="272" t="str">
        <f t="shared" si="28"/>
        <v>Fwy: posted 75 mph, aux lane</v>
      </c>
      <c r="C93" s="286">
        <f t="shared" si="29"/>
        <v>1860</v>
      </c>
      <c r="D93" s="301">
        <v>700</v>
      </c>
      <c r="E93" s="272"/>
      <c r="G93" s="268"/>
      <c r="H93" s="315">
        <v>2400</v>
      </c>
      <c r="I93" s="272"/>
      <c r="J93" s="272"/>
      <c r="K93" s="272"/>
      <c r="L93" s="272"/>
      <c r="M93" s="272"/>
      <c r="N93" s="272"/>
      <c r="O93" s="272"/>
      <c r="P93" s="272"/>
      <c r="Q93" s="272"/>
      <c r="R93" s="272"/>
      <c r="S93" s="272"/>
      <c r="T93" s="272"/>
      <c r="U93" s="272"/>
      <c r="V93" s="272"/>
      <c r="W93" s="272"/>
    </row>
    <row r="94" spans="1:23" x14ac:dyDescent="0.2">
      <c r="A94" s="276"/>
      <c r="B94" s="272" t="str">
        <f t="shared" si="28"/>
        <v>Fwy: HOV lane</v>
      </c>
      <c r="C94" s="286">
        <f t="shared" si="29"/>
        <v>1860</v>
      </c>
      <c r="D94" s="301">
        <v>0</v>
      </c>
      <c r="E94" s="272"/>
      <c r="G94" s="268"/>
      <c r="H94" s="315">
        <v>2400</v>
      </c>
      <c r="I94" s="272"/>
      <c r="J94" s="272"/>
      <c r="K94" s="272"/>
      <c r="L94" s="272"/>
      <c r="M94" s="272"/>
      <c r="N94" s="272"/>
      <c r="O94" s="272"/>
      <c r="P94" s="272"/>
      <c r="Q94" s="272"/>
      <c r="R94" s="272"/>
      <c r="S94" s="272"/>
      <c r="T94" s="272"/>
      <c r="U94" s="272"/>
      <c r="V94" s="272"/>
      <c r="W94" s="272"/>
    </row>
    <row r="95" spans="1:23" x14ac:dyDescent="0.2">
      <c r="A95" s="276"/>
      <c r="B95" s="272" t="s">
        <v>418</v>
      </c>
      <c r="C95" s="286">
        <f t="shared" si="29"/>
        <v>1860</v>
      </c>
      <c r="D95" s="301">
        <v>0</v>
      </c>
      <c r="E95" s="272"/>
      <c r="F95" s="272"/>
      <c r="G95" s="289"/>
      <c r="H95" s="315">
        <v>2400</v>
      </c>
      <c r="I95" s="272"/>
      <c r="J95" s="272"/>
      <c r="K95" s="272"/>
      <c r="L95" s="272"/>
      <c r="M95" s="272"/>
      <c r="N95" s="272"/>
      <c r="O95" s="272"/>
      <c r="P95" s="272"/>
      <c r="Q95" s="272"/>
      <c r="R95" s="272"/>
      <c r="S95" s="272"/>
      <c r="T95" s="272"/>
      <c r="U95" s="272"/>
      <c r="V95" s="272"/>
      <c r="W95" s="272"/>
    </row>
    <row r="96" spans="1:23" x14ac:dyDescent="0.2">
      <c r="A96" s="276"/>
      <c r="B96" s="272" t="s">
        <v>430</v>
      </c>
      <c r="C96" s="286">
        <f t="shared" si="29"/>
        <v>1860</v>
      </c>
      <c r="D96" s="301">
        <v>0</v>
      </c>
      <c r="E96" s="272"/>
      <c r="F96" s="272"/>
      <c r="G96" s="289"/>
      <c r="H96" s="315">
        <v>2400</v>
      </c>
      <c r="I96" s="272"/>
      <c r="J96" s="272"/>
      <c r="K96" s="272"/>
      <c r="L96" s="272"/>
      <c r="M96" s="272"/>
      <c r="N96" s="272"/>
      <c r="O96" s="272"/>
      <c r="P96" s="272"/>
      <c r="Q96" s="272"/>
      <c r="R96" s="272"/>
      <c r="S96" s="272"/>
      <c r="T96" s="272"/>
      <c r="U96" s="272"/>
      <c r="V96" s="272"/>
      <c r="W96" s="272"/>
    </row>
    <row r="97" spans="1:23" x14ac:dyDescent="0.2">
      <c r="A97" s="276"/>
      <c r="B97" s="272" t="s">
        <v>431</v>
      </c>
      <c r="C97" s="286">
        <f t="shared" si="29"/>
        <v>1860</v>
      </c>
      <c r="D97" s="301">
        <v>0</v>
      </c>
      <c r="E97" s="272"/>
      <c r="F97" s="272"/>
      <c r="G97" s="289"/>
      <c r="H97" s="272"/>
      <c r="I97" s="272"/>
      <c r="J97" s="272"/>
      <c r="K97" s="272"/>
      <c r="L97" s="272"/>
      <c r="M97" s="272"/>
      <c r="N97" s="272"/>
      <c r="O97" s="272"/>
      <c r="P97" s="272"/>
      <c r="Q97" s="272"/>
      <c r="R97" s="272"/>
      <c r="S97" s="272"/>
      <c r="T97" s="272"/>
      <c r="U97" s="272"/>
      <c r="V97" s="272"/>
      <c r="W97" s="272"/>
    </row>
    <row r="98" spans="1:23" x14ac:dyDescent="0.2">
      <c r="A98" s="276"/>
      <c r="D98" s="268"/>
      <c r="E98" s="272"/>
      <c r="F98" s="272"/>
      <c r="G98" s="289"/>
      <c r="H98" s="272"/>
      <c r="I98" s="272"/>
      <c r="J98" s="272"/>
      <c r="K98" s="272"/>
      <c r="L98" s="272"/>
      <c r="M98" s="272"/>
      <c r="N98" s="272"/>
      <c r="O98" s="272"/>
      <c r="P98" s="272"/>
      <c r="Q98" s="272"/>
      <c r="R98" s="272"/>
      <c r="S98" s="272"/>
      <c r="T98" s="272"/>
      <c r="U98" s="272"/>
      <c r="V98" s="272"/>
      <c r="W98" s="272"/>
    </row>
    <row r="99" spans="1:23" x14ac:dyDescent="0.2">
      <c r="A99" s="276"/>
      <c r="B99" s="272" t="s">
        <v>227</v>
      </c>
      <c r="C99" s="302">
        <v>0.95</v>
      </c>
      <c r="D99" s="278"/>
      <c r="E99" s="272"/>
      <c r="F99" s="272"/>
      <c r="G99" s="289"/>
      <c r="H99" s="272"/>
      <c r="I99" s="272"/>
      <c r="J99" s="272"/>
      <c r="K99" s="272"/>
      <c r="L99" s="272"/>
      <c r="M99" s="272"/>
      <c r="N99" s="272"/>
      <c r="O99" s="272"/>
      <c r="P99" s="272"/>
      <c r="Q99" s="272"/>
      <c r="R99" s="272"/>
      <c r="S99" s="272"/>
      <c r="T99" s="272"/>
      <c r="U99" s="272"/>
      <c r="V99" s="272"/>
      <c r="W99" s="272"/>
    </row>
    <row r="100" spans="1:23" x14ac:dyDescent="0.2">
      <c r="A100" s="276"/>
      <c r="B100" s="272" t="s">
        <v>228</v>
      </c>
      <c r="C100" s="307">
        <v>1</v>
      </c>
      <c r="D100" s="278"/>
      <c r="E100" s="272"/>
      <c r="F100" s="272"/>
      <c r="G100" s="289"/>
      <c r="H100" s="272"/>
      <c r="I100" s="272"/>
      <c r="J100" s="272"/>
      <c r="K100" s="272"/>
      <c r="L100" s="272"/>
      <c r="M100" s="272"/>
      <c r="N100" s="272"/>
      <c r="O100" s="272"/>
      <c r="P100" s="272"/>
      <c r="Q100" s="272"/>
      <c r="R100" s="272"/>
      <c r="S100" s="272"/>
      <c r="T100" s="272"/>
      <c r="U100" s="272"/>
      <c r="V100" s="272"/>
      <c r="W100" s="272"/>
    </row>
    <row r="101" spans="1:23" x14ac:dyDescent="0.2">
      <c r="A101" s="276"/>
      <c r="B101" s="298"/>
      <c r="C101" s="272"/>
      <c r="D101" s="276"/>
      <c r="E101" s="272"/>
      <c r="F101" s="272"/>
      <c r="G101" s="289"/>
      <c r="H101" s="272"/>
      <c r="I101" s="272"/>
      <c r="J101" s="299"/>
      <c r="K101" s="299"/>
      <c r="L101" s="299"/>
      <c r="M101" s="299"/>
      <c r="N101" s="299"/>
      <c r="O101" s="299"/>
      <c r="P101" s="299"/>
      <c r="Q101" s="299"/>
      <c r="R101" s="299"/>
      <c r="S101" s="299"/>
      <c r="T101" s="299"/>
      <c r="U101" s="299"/>
      <c r="V101" s="299"/>
      <c r="W101" s="299"/>
    </row>
    <row r="102" spans="1:23" ht="15" x14ac:dyDescent="0.2">
      <c r="B102" s="297" t="s">
        <v>435</v>
      </c>
      <c r="C102" s="272"/>
      <c r="D102" s="276"/>
      <c r="E102" s="298"/>
      <c r="F102" s="298"/>
      <c r="G102" s="299"/>
      <c r="H102" s="299"/>
      <c r="I102" s="299"/>
      <c r="J102" s="299"/>
      <c r="K102" s="299"/>
      <c r="L102" s="299"/>
      <c r="M102" s="299"/>
      <c r="N102" s="299"/>
      <c r="O102" s="299"/>
      <c r="P102" s="299"/>
      <c r="Q102" s="299"/>
      <c r="R102" s="299"/>
      <c r="S102" s="299"/>
      <c r="T102" s="299"/>
      <c r="U102" s="299"/>
      <c r="V102" s="299"/>
      <c r="W102" s="299"/>
    </row>
    <row r="103" spans="1:23" ht="13.9" customHeight="1" x14ac:dyDescent="0.2">
      <c r="B103" s="298" t="s">
        <v>546</v>
      </c>
      <c r="C103" s="298"/>
      <c r="D103" s="298"/>
      <c r="E103" s="272"/>
      <c r="F103" s="272"/>
      <c r="G103" s="272"/>
      <c r="H103" s="272"/>
      <c r="I103" s="272"/>
      <c r="J103" s="272"/>
      <c r="K103" s="272"/>
      <c r="L103" s="272"/>
      <c r="M103" s="272"/>
      <c r="N103" s="272"/>
      <c r="O103" s="272"/>
      <c r="P103" s="272"/>
      <c r="Q103" s="272"/>
      <c r="R103" s="272"/>
      <c r="S103" s="272"/>
      <c r="T103" s="272"/>
      <c r="U103" s="272"/>
      <c r="V103" s="272"/>
      <c r="W103" s="272"/>
    </row>
    <row r="104" spans="1:23" ht="13.9" customHeight="1" x14ac:dyDescent="0.2">
      <c r="B104" s="298" t="s">
        <v>482</v>
      </c>
      <c r="C104" s="272"/>
      <c r="D104" s="272"/>
      <c r="E104" s="272"/>
      <c r="F104" s="272"/>
      <c r="G104" s="272"/>
      <c r="H104" s="272"/>
      <c r="I104" s="272"/>
      <c r="J104" s="272"/>
      <c r="K104" s="272"/>
      <c r="L104" s="272"/>
      <c r="M104" s="272"/>
      <c r="N104" s="272"/>
      <c r="O104" s="272"/>
      <c r="P104" s="272"/>
      <c r="Q104" s="272"/>
      <c r="R104" s="272"/>
      <c r="S104" s="272"/>
      <c r="T104" s="272"/>
      <c r="U104" s="272"/>
      <c r="V104" s="272"/>
      <c r="W104" s="272"/>
    </row>
    <row r="105" spans="1:23" ht="13.9" customHeight="1" x14ac:dyDescent="0.2">
      <c r="B105" s="298" t="s">
        <v>476</v>
      </c>
      <c r="C105" s="272"/>
      <c r="D105" s="272"/>
      <c r="E105" s="308"/>
      <c r="F105" s="308"/>
      <c r="G105" s="308"/>
      <c r="H105" s="308"/>
      <c r="I105" s="308"/>
      <c r="J105" s="308"/>
      <c r="K105" s="308"/>
      <c r="L105" s="308"/>
      <c r="M105" s="308"/>
      <c r="N105" s="308"/>
      <c r="O105" s="308"/>
      <c r="P105" s="308"/>
      <c r="Q105" s="308"/>
      <c r="R105" s="308"/>
      <c r="S105" s="308"/>
      <c r="T105" s="308"/>
      <c r="U105" s="308"/>
      <c r="V105" s="308"/>
      <c r="W105" s="308"/>
    </row>
    <row r="106" spans="1:23" x14ac:dyDescent="0.2">
      <c r="B106" s="298" t="s">
        <v>477</v>
      </c>
      <c r="C106" s="308"/>
      <c r="D106" s="308"/>
      <c r="E106" s="312"/>
      <c r="F106" s="312"/>
      <c r="G106" s="312"/>
      <c r="H106" s="312"/>
      <c r="I106" s="312"/>
      <c r="J106" s="312"/>
      <c r="K106" s="312"/>
      <c r="L106" s="312"/>
      <c r="M106" s="312"/>
      <c r="N106" s="312"/>
      <c r="O106" s="312"/>
      <c r="P106" s="312"/>
      <c r="Q106" s="312"/>
      <c r="R106" s="312"/>
      <c r="S106" s="312"/>
      <c r="T106" s="312"/>
      <c r="U106" s="312"/>
      <c r="V106" s="312"/>
      <c r="W106" s="312"/>
    </row>
    <row r="107" spans="1:23" x14ac:dyDescent="0.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row>
    <row r="108" spans="1:23" x14ac:dyDescent="0.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row>
    <row r="109" spans="1:23" x14ac:dyDescent="0.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row>
    <row r="110" spans="1:23" x14ac:dyDescent="0.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row>
    <row r="111" spans="1:23" x14ac:dyDescent="0.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row>
    <row r="112" spans="1:23" x14ac:dyDescent="0.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row>
    <row r="113" spans="2:23" x14ac:dyDescent="0.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row>
    <row r="114" spans="2:23" x14ac:dyDescent="0.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row>
    <row r="115" spans="2:23" x14ac:dyDescent="0.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row>
    <row r="116" spans="2:23" x14ac:dyDescent="0.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row>
    <row r="117" spans="2:23" x14ac:dyDescent="0.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row>
    <row r="118" spans="2:23" x14ac:dyDescent="0.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row>
    <row r="119" spans="2:23" x14ac:dyDescent="0.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row>
    <row r="120" spans="2:23" x14ac:dyDescent="0.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row>
    <row r="121" spans="2:23" x14ac:dyDescent="0.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row>
    <row r="122" spans="2:23" x14ac:dyDescent="0.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row>
    <row r="123" spans="2:23" x14ac:dyDescent="0.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row>
    <row r="124" spans="2:23" x14ac:dyDescent="0.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row>
    <row r="125" spans="2:23" x14ac:dyDescent="0.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row>
    <row r="126" spans="2:23" x14ac:dyDescent="0.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row>
    <row r="127" spans="2:23" x14ac:dyDescent="0.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row>
    <row r="128" spans="2:23" x14ac:dyDescent="0.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row>
    <row r="129" spans="2:23" x14ac:dyDescent="0.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row>
    <row r="130" spans="2:23" x14ac:dyDescent="0.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row>
    <row r="131" spans="2:23" x14ac:dyDescent="0.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row>
    <row r="132" spans="2:23" x14ac:dyDescent="0.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row>
    <row r="133" spans="2:23" x14ac:dyDescent="0.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row>
    <row r="134" spans="2:23" x14ac:dyDescent="0.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row>
    <row r="135" spans="2:23" x14ac:dyDescent="0.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row>
    <row r="136" spans="2:23" x14ac:dyDescent="0.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row>
    <row r="137" spans="2:23" x14ac:dyDescent="0.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row>
    <row r="138" spans="2:23" x14ac:dyDescent="0.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row>
    <row r="139" spans="2:23" x14ac:dyDescent="0.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row>
    <row r="140" spans="2:23" x14ac:dyDescent="0.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row>
    <row r="141" spans="2:23" x14ac:dyDescent="0.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row>
    <row r="142" spans="2:23" x14ac:dyDescent="0.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row>
    <row r="143" spans="2:23" x14ac:dyDescent="0.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row>
    <row r="144" spans="2:23" x14ac:dyDescent="0.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row>
    <row r="145" spans="2:23" x14ac:dyDescent="0.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row>
    <row r="146" spans="2:23" x14ac:dyDescent="0.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row>
    <row r="147" spans="2:23" x14ac:dyDescent="0.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row>
    <row r="148" spans="2:23" x14ac:dyDescent="0.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row>
    <row r="149" spans="2:23" x14ac:dyDescent="0.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row>
    <row r="150" spans="2:23" x14ac:dyDescent="0.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row>
    <row r="151" spans="2:23" x14ac:dyDescent="0.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row>
    <row r="152" spans="2:23" x14ac:dyDescent="0.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row>
    <row r="153" spans="2:23" x14ac:dyDescent="0.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row>
    <row r="154" spans="2:23" x14ac:dyDescent="0.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row>
    <row r="155" spans="2:23" x14ac:dyDescent="0.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row>
    <row r="156" spans="2:23" x14ac:dyDescent="0.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row>
    <row r="157" spans="2:23" x14ac:dyDescent="0.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row>
    <row r="158" spans="2:23" x14ac:dyDescent="0.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row>
    <row r="159" spans="2:23" x14ac:dyDescent="0.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row>
    <row r="160" spans="2:23" x14ac:dyDescent="0.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row>
    <row r="161" spans="2:26" x14ac:dyDescent="0.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row>
    <row r="162" spans="2:26" x14ac:dyDescent="0.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row>
    <row r="163" spans="2:26" x14ac:dyDescent="0.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row>
    <row r="164" spans="2:26" x14ac:dyDescent="0.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row>
    <row r="165" spans="2:26" x14ac:dyDescent="0.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row>
    <row r="166" spans="2:26" x14ac:dyDescent="0.2">
      <c r="B166" s="312"/>
      <c r="C166" s="312"/>
      <c r="D166" s="312"/>
    </row>
    <row r="175" spans="2:26" x14ac:dyDescent="0.2">
      <c r="X175" s="294"/>
      <c r="Y175" s="309"/>
      <c r="Z175" s="294"/>
    </row>
    <row r="176" spans="2:26" x14ac:dyDescent="0.2">
      <c r="Y176" s="280"/>
    </row>
    <row r="177" spans="25:30" x14ac:dyDescent="0.2">
      <c r="Y177" s="280"/>
      <c r="AD177" s="279"/>
    </row>
    <row r="178" spans="25:30" x14ac:dyDescent="0.2">
      <c r="Y178" s="280"/>
      <c r="Z178" s="279"/>
      <c r="AA178" s="279"/>
      <c r="AB178" s="279"/>
      <c r="AC178" s="279"/>
      <c r="AD178" s="279"/>
    </row>
    <row r="179" spans="25:30" x14ac:dyDescent="0.2">
      <c r="Y179" s="280"/>
      <c r="Z179" s="279"/>
      <c r="AA179" s="279"/>
      <c r="AB179" s="279"/>
      <c r="AC179" s="279"/>
      <c r="AD179" s="279"/>
    </row>
    <row r="180" spans="25:30" x14ac:dyDescent="0.2">
      <c r="Y180" s="280"/>
      <c r="Z180" s="279"/>
      <c r="AA180" s="279"/>
      <c r="AB180" s="279"/>
      <c r="AC180" s="279"/>
      <c r="AD180" s="279"/>
    </row>
    <row r="181" spans="25:30" x14ac:dyDescent="0.2">
      <c r="Y181" s="280"/>
      <c r="Z181" s="279"/>
      <c r="AA181" s="279"/>
      <c r="AB181" s="279"/>
      <c r="AC181" s="279"/>
      <c r="AD181" s="279"/>
    </row>
    <row r="182" spans="25:30" x14ac:dyDescent="0.2">
      <c r="Y182" s="280"/>
      <c r="Z182" s="279"/>
      <c r="AA182" s="279"/>
      <c r="AB182" s="279"/>
      <c r="AC182" s="279"/>
      <c r="AD182" s="279"/>
    </row>
    <row r="183" spans="25:30" x14ac:dyDescent="0.2">
      <c r="Y183" s="280"/>
      <c r="Z183" s="279"/>
      <c r="AA183" s="279"/>
      <c r="AB183" s="279"/>
      <c r="AC183" s="279"/>
      <c r="AD183" s="279"/>
    </row>
    <row r="184" spans="25:30" x14ac:dyDescent="0.2">
      <c r="Y184" s="280"/>
      <c r="Z184" s="279"/>
      <c r="AA184" s="279"/>
      <c r="AB184" s="279"/>
      <c r="AC184" s="279"/>
    </row>
    <row r="185" spans="25:30" x14ac:dyDescent="0.2">
      <c r="Z185" s="279"/>
    </row>
    <row r="186" spans="25:30" x14ac:dyDescent="0.2">
      <c r="Z186" s="279"/>
    </row>
    <row r="187" spans="25:30" x14ac:dyDescent="0.2">
      <c r="Z187" s="279"/>
    </row>
    <row r="188" spans="25:30" x14ac:dyDescent="0.2">
      <c r="Z188" s="279"/>
    </row>
    <row r="189" spans="25:30" x14ac:dyDescent="0.2">
      <c r="Z189" s="279"/>
    </row>
    <row r="203" spans="23:23" x14ac:dyDescent="0.2">
      <c r="W203" s="310"/>
    </row>
    <row r="204" spans="23:23" x14ac:dyDescent="0.2">
      <c r="W204" s="311"/>
    </row>
    <row r="205" spans="23:23" x14ac:dyDescent="0.2">
      <c r="W205" s="310"/>
    </row>
    <row r="206" spans="23:23" x14ac:dyDescent="0.2">
      <c r="W206" s="310"/>
    </row>
    <row r="207" spans="23:23" x14ac:dyDescent="0.2">
      <c r="W207" s="310"/>
    </row>
    <row r="208" spans="23:23" x14ac:dyDescent="0.2">
      <c r="W208" s="310"/>
    </row>
    <row r="209" spans="23:23" x14ac:dyDescent="0.2">
      <c r="W209" s="310"/>
    </row>
    <row r="210" spans="23:23" x14ac:dyDescent="0.2">
      <c r="W210" s="310"/>
    </row>
    <row r="211" spans="23:23" x14ac:dyDescent="0.2">
      <c r="W211" s="311"/>
    </row>
    <row r="212" spans="23:23" x14ac:dyDescent="0.2">
      <c r="W212" s="311"/>
    </row>
  </sheetData>
  <mergeCells count="1">
    <mergeCell ref="A1:I1"/>
  </mergeCells>
  <dataValidations count="1">
    <dataValidation type="list" allowBlank="1" showInputMessage="1" showErrorMessage="1" sqref="I4" xr:uid="{00000000-0002-0000-0500-000000000000}">
      <formula1>$C$77:$G$77</formula1>
    </dataValidation>
  </dataValidations>
  <printOptions horizontalCentered="1"/>
  <pageMargins left="0.75" right="0.75" top="1" bottom="0.75" header="0.5" footer="0.5"/>
  <pageSetup scale="89" fitToHeight="2" orientation="portrait" r:id="rId1"/>
  <headerFooter alignWithMargins="0">
    <oddFooter>&amp;L&amp;"Calibri,Regular"&amp;9&amp;F</oddFooter>
  </headerFooter>
  <rowBreaks count="1" manualBreakCount="1">
    <brk id="50" max="8"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M36"/>
  <sheetViews>
    <sheetView zoomScale="90" zoomScaleNormal="90" workbookViewId="0">
      <selection activeCell="E16" sqref="E16"/>
    </sheetView>
  </sheetViews>
  <sheetFormatPr defaultRowHeight="12.75" outlineLevelCol="1" x14ac:dyDescent="0.2"/>
  <cols>
    <col min="1" max="1" width="10.5703125" style="217" customWidth="1"/>
    <col min="2" max="6" width="7.5703125" style="217" customWidth="1"/>
    <col min="7" max="7" width="9.5703125" style="217" customWidth="1" outlineLevel="1"/>
    <col min="8" max="10" width="9.140625" style="217" customWidth="1" outlineLevel="1"/>
    <col min="11" max="16384" width="9.140625" style="217"/>
  </cols>
  <sheetData>
    <row r="1" spans="1:13" ht="26.25" x14ac:dyDescent="0.4">
      <c r="A1" s="216" t="s">
        <v>550</v>
      </c>
    </row>
    <row r="3" spans="1:13" x14ac:dyDescent="0.2">
      <c r="A3" s="255"/>
      <c r="B3" s="256" t="s">
        <v>206</v>
      </c>
      <c r="C3" s="256" t="s">
        <v>207</v>
      </c>
      <c r="D3" s="256" t="s">
        <v>504</v>
      </c>
      <c r="E3" s="256" t="s">
        <v>214</v>
      </c>
      <c r="F3" s="256" t="s">
        <v>513</v>
      </c>
      <c r="G3" s="256" t="s">
        <v>549</v>
      </c>
      <c r="H3" s="218" t="s">
        <v>213</v>
      </c>
      <c r="I3" s="218" t="s">
        <v>214</v>
      </c>
      <c r="J3" s="218" t="s">
        <v>513</v>
      </c>
    </row>
    <row r="4" spans="1:13" x14ac:dyDescent="0.2">
      <c r="A4" s="254" t="s">
        <v>505</v>
      </c>
      <c r="B4" s="257">
        <v>67</v>
      </c>
      <c r="C4" s="257">
        <v>23</v>
      </c>
      <c r="D4" s="257">
        <v>50</v>
      </c>
      <c r="E4" s="257">
        <v>40</v>
      </c>
      <c r="F4" s="257">
        <v>30</v>
      </c>
      <c r="G4" s="256">
        <f>B4</f>
        <v>67</v>
      </c>
      <c r="H4" s="218">
        <v>50</v>
      </c>
      <c r="I4" s="218">
        <v>35</v>
      </c>
      <c r="J4" s="218">
        <v>20</v>
      </c>
    </row>
    <row r="5" spans="1:13" x14ac:dyDescent="0.2">
      <c r="A5" s="254" t="s">
        <v>174</v>
      </c>
      <c r="B5" s="258">
        <v>0.6</v>
      </c>
      <c r="C5" s="258">
        <v>0.7</v>
      </c>
      <c r="D5" s="258">
        <v>0.6</v>
      </c>
      <c r="E5" s="258">
        <v>0.6</v>
      </c>
      <c r="F5" s="258">
        <v>0.7</v>
      </c>
      <c r="G5" s="317">
        <f>B5</f>
        <v>0.6</v>
      </c>
      <c r="H5" s="218">
        <v>0.7</v>
      </c>
      <c r="I5" s="218">
        <v>0.6</v>
      </c>
      <c r="J5" s="218">
        <v>0.2</v>
      </c>
    </row>
    <row r="6" spans="1:13" x14ac:dyDescent="0.2">
      <c r="A6" s="254" t="s">
        <v>175</v>
      </c>
      <c r="B6" s="259">
        <v>8</v>
      </c>
      <c r="C6" s="259">
        <v>3</v>
      </c>
      <c r="D6" s="259">
        <v>6</v>
      </c>
      <c r="E6" s="259">
        <v>4</v>
      </c>
      <c r="F6" s="259">
        <v>3</v>
      </c>
      <c r="G6" s="317">
        <f t="shared" ref="G6" si="0">B6</f>
        <v>8</v>
      </c>
      <c r="H6" s="219">
        <v>6</v>
      </c>
      <c r="I6" s="219">
        <v>4</v>
      </c>
      <c r="J6" s="219">
        <v>5</v>
      </c>
    </row>
    <row r="7" spans="1:13" x14ac:dyDescent="0.2">
      <c r="A7" s="254" t="s">
        <v>506</v>
      </c>
      <c r="B7" s="260">
        <v>1.44</v>
      </c>
      <c r="C7" s="260">
        <v>1.65</v>
      </c>
      <c r="D7" s="260">
        <v>1.55</v>
      </c>
      <c r="E7" s="260">
        <v>1.8</v>
      </c>
      <c r="F7" s="260">
        <v>1.85</v>
      </c>
      <c r="G7" s="258">
        <v>0.97</v>
      </c>
      <c r="H7" s="220"/>
      <c r="I7" s="220"/>
      <c r="J7" s="220"/>
    </row>
    <row r="8" spans="1:13" x14ac:dyDescent="0.2">
      <c r="A8" s="221" t="s">
        <v>507</v>
      </c>
      <c r="B8" s="222"/>
      <c r="C8" s="222"/>
      <c r="D8" s="222"/>
      <c r="E8" s="222"/>
      <c r="F8" s="222"/>
      <c r="H8" s="220"/>
      <c r="I8" s="220"/>
      <c r="J8" s="220"/>
    </row>
    <row r="10" spans="1:13" s="227" customFormat="1" ht="38.25" x14ac:dyDescent="0.2">
      <c r="A10" s="224" t="s">
        <v>176</v>
      </c>
      <c r="B10" s="225" t="str">
        <f t="shared" ref="B10:J10" si="1">CONCATENATE(B3, " (x=", B5, ", y=", B6, ")")</f>
        <v>Fwy (x=0.6, y=8)</v>
      </c>
      <c r="C10" s="225" t="str">
        <f>CONCATENATE(C3, " (x=", C5, ", y=", C6, ")")</f>
        <v>Ramp (x=0.7, y=3)</v>
      </c>
      <c r="D10" s="225" t="str">
        <f t="shared" si="1"/>
        <v>Exp (x=0.6, y=6)</v>
      </c>
      <c r="E10" s="225" t="str">
        <f t="shared" si="1"/>
        <v>Art (x=0.6, y=4)</v>
      </c>
      <c r="F10" s="225" t="str">
        <f t="shared" si="1"/>
        <v>Col (x=0.7, y=3)</v>
      </c>
      <c r="G10" s="225" t="str">
        <f t="shared" si="1"/>
        <v>MM (x=0.6, y=8)</v>
      </c>
      <c r="H10" s="223" t="str">
        <f t="shared" si="1"/>
        <v>Bng (x=0.7, y=6)</v>
      </c>
      <c r="I10" s="223" t="str">
        <f t="shared" si="1"/>
        <v>Art (x=0.6, y=4)</v>
      </c>
      <c r="J10" s="223" t="str">
        <f t="shared" si="1"/>
        <v>Col (x=0.2, y=5)</v>
      </c>
      <c r="K10" s="217"/>
      <c r="L10" s="217"/>
      <c r="M10" s="217"/>
    </row>
    <row r="11" spans="1:13" x14ac:dyDescent="0.2">
      <c r="A11" s="228">
        <v>0</v>
      </c>
      <c r="B11" s="229">
        <f>MAX(IF($A11&gt;B$7, B$4/(1+B$5*(B$7^B$6)), B$4/(1+B$5*($A11^B$6)) ), B$7)</f>
        <v>67</v>
      </c>
      <c r="C11" s="229">
        <f t="shared" ref="C11:G11" si="2">MAX(IF($A11&gt;C$7, C$4/(1+C$5*(C$7^C$6)), C$4/(1+C$5*($A11^C$6)) ), C$7)</f>
        <v>23</v>
      </c>
      <c r="D11" s="229">
        <f t="shared" si="2"/>
        <v>50</v>
      </c>
      <c r="E11" s="229">
        <f t="shared" si="2"/>
        <v>40</v>
      </c>
      <c r="F11" s="229">
        <f t="shared" si="2"/>
        <v>30</v>
      </c>
      <c r="G11" s="229">
        <f t="shared" si="2"/>
        <v>67</v>
      </c>
      <c r="H11" s="226">
        <f t="shared" ref="H11:J26" si="3">H$4/(1+H$5*($A11^H$6))</f>
        <v>50</v>
      </c>
      <c r="I11" s="226">
        <f t="shared" si="3"/>
        <v>35</v>
      </c>
      <c r="J11" s="226">
        <f t="shared" si="3"/>
        <v>20</v>
      </c>
      <c r="K11" s="227"/>
      <c r="L11" s="227"/>
      <c r="M11" s="227"/>
    </row>
    <row r="12" spans="1:13" x14ac:dyDescent="0.2">
      <c r="A12" s="228">
        <v>0.1</v>
      </c>
      <c r="B12" s="229">
        <f t="shared" ref="B12:G27" si="4">MAX(IF($A12&gt;B$7, B$4/(1+B$5*(B$7^B$6)), B$4/(1+B$5*($A12^B$6)) ), B$7)</f>
        <v>66.999999598000002</v>
      </c>
      <c r="C12" s="229">
        <f t="shared" si="4"/>
        <v>22.983911262116521</v>
      </c>
      <c r="D12" s="229">
        <f t="shared" si="4"/>
        <v>49.999970000018003</v>
      </c>
      <c r="E12" s="229">
        <f t="shared" si="4"/>
        <v>39.997600143991363</v>
      </c>
      <c r="F12" s="229">
        <f t="shared" si="4"/>
        <v>29.9790146897172</v>
      </c>
      <c r="G12" s="229">
        <f t="shared" si="4"/>
        <v>66.999999598000002</v>
      </c>
      <c r="H12" s="226">
        <f t="shared" si="3"/>
        <v>49.999965000024503</v>
      </c>
      <c r="I12" s="226">
        <f t="shared" si="3"/>
        <v>34.997900125992444</v>
      </c>
      <c r="J12" s="226">
        <f t="shared" si="3"/>
        <v>19.999960000079998</v>
      </c>
    </row>
    <row r="13" spans="1:13" x14ac:dyDescent="0.2">
      <c r="A13" s="228">
        <v>0.5</v>
      </c>
      <c r="B13" s="229">
        <f t="shared" si="4"/>
        <v>66.843335931410749</v>
      </c>
      <c r="C13" s="229">
        <f t="shared" si="4"/>
        <v>21.149425287356323</v>
      </c>
      <c r="D13" s="229">
        <f t="shared" si="4"/>
        <v>49.535603715170282</v>
      </c>
      <c r="E13" s="229">
        <f t="shared" si="4"/>
        <v>38.554216867469876</v>
      </c>
      <c r="F13" s="229">
        <f t="shared" si="4"/>
        <v>27.586206896551726</v>
      </c>
      <c r="G13" s="229">
        <f t="shared" si="4"/>
        <v>66.843335931410749</v>
      </c>
      <c r="H13" s="226">
        <f t="shared" si="3"/>
        <v>49.459041731066456</v>
      </c>
      <c r="I13" s="226">
        <f t="shared" si="3"/>
        <v>33.734939759036145</v>
      </c>
      <c r="J13" s="226">
        <f t="shared" si="3"/>
        <v>19.875776397515526</v>
      </c>
    </row>
    <row r="14" spans="1:13" x14ac:dyDescent="0.2">
      <c r="A14" s="230">
        <f>A13+0.1</f>
        <v>0.6</v>
      </c>
      <c r="B14" s="229">
        <f t="shared" si="4"/>
        <v>66.331530995413644</v>
      </c>
      <c r="C14" s="229">
        <f t="shared" si="4"/>
        <v>19.979152189020152</v>
      </c>
      <c r="D14" s="229">
        <f t="shared" si="4"/>
        <v>48.638435103097912</v>
      </c>
      <c r="E14" s="229">
        <f t="shared" si="4"/>
        <v>37.11401425178147</v>
      </c>
      <c r="F14" s="229">
        <f t="shared" si="4"/>
        <v>26.059763724808896</v>
      </c>
      <c r="G14" s="229">
        <f t="shared" si="4"/>
        <v>66.331530995413644</v>
      </c>
      <c r="H14" s="226">
        <f t="shared" si="3"/>
        <v>48.418684499203614</v>
      </c>
      <c r="I14" s="226">
        <f t="shared" si="3"/>
        <v>32.474762470308789</v>
      </c>
      <c r="J14" s="226">
        <f t="shared" si="3"/>
        <v>19.693723216536426</v>
      </c>
    </row>
    <row r="15" spans="1:13" x14ac:dyDescent="0.2">
      <c r="A15" s="230">
        <f t="shared" ref="A15:A24" si="5">A14+0.1</f>
        <v>0.7</v>
      </c>
      <c r="B15" s="229">
        <f t="shared" si="4"/>
        <v>64.760027956459453</v>
      </c>
      <c r="C15" s="229">
        <f t="shared" si="4"/>
        <v>18.546891379727441</v>
      </c>
      <c r="D15" s="229">
        <f t="shared" si="4"/>
        <v>46.70324589427095</v>
      </c>
      <c r="E15" s="229">
        <f t="shared" si="4"/>
        <v>34.963201230704691</v>
      </c>
      <c r="F15" s="229">
        <f t="shared" si="4"/>
        <v>24.191597451818403</v>
      </c>
      <c r="G15" s="229">
        <f t="shared" si="4"/>
        <v>64.760027956459453</v>
      </c>
      <c r="H15" s="226">
        <f t="shared" si="3"/>
        <v>46.195594178357311</v>
      </c>
      <c r="I15" s="226">
        <f t="shared" si="3"/>
        <v>30.592801076866603</v>
      </c>
      <c r="J15" s="226">
        <f t="shared" si="3"/>
        <v>19.349583113231827</v>
      </c>
    </row>
    <row r="16" spans="1:13" x14ac:dyDescent="0.2">
      <c r="A16" s="230">
        <f t="shared" si="5"/>
        <v>0.79999999999999993</v>
      </c>
      <c r="B16" s="229">
        <f t="shared" si="4"/>
        <v>60.872385082240442</v>
      </c>
      <c r="C16" s="229">
        <f t="shared" si="4"/>
        <v>16.931684334511193</v>
      </c>
      <c r="D16" s="229">
        <f t="shared" si="4"/>
        <v>43.204517049539341</v>
      </c>
      <c r="E16" s="229">
        <f t="shared" si="4"/>
        <v>32.108913434369384</v>
      </c>
      <c r="F16" s="229">
        <f t="shared" si="4"/>
        <v>22.084805653710252</v>
      </c>
      <c r="G16" s="229">
        <f t="shared" si="4"/>
        <v>60.872385082240442</v>
      </c>
      <c r="H16" s="226">
        <f t="shared" si="3"/>
        <v>42.247542206984569</v>
      </c>
      <c r="I16" s="226">
        <f t="shared" si="3"/>
        <v>28.095299255073208</v>
      </c>
      <c r="J16" s="226">
        <f t="shared" si="3"/>
        <v>18.769896089855244</v>
      </c>
    </row>
    <row r="17" spans="1:10" x14ac:dyDescent="0.2">
      <c r="A17" s="230">
        <f t="shared" si="5"/>
        <v>0.89999999999999991</v>
      </c>
      <c r="B17" s="229">
        <f t="shared" si="4"/>
        <v>53.24727615585401</v>
      </c>
      <c r="C17" s="229">
        <f t="shared" si="4"/>
        <v>15.228762497517051</v>
      </c>
      <c r="D17" s="229">
        <f t="shared" si="4"/>
        <v>37.911397424724278</v>
      </c>
      <c r="E17" s="229">
        <f t="shared" si="4"/>
        <v>28.701404933771514</v>
      </c>
      <c r="F17" s="229">
        <f t="shared" si="4"/>
        <v>19.863603257630938</v>
      </c>
      <c r="G17" s="229">
        <f t="shared" si="4"/>
        <v>53.24727615585401</v>
      </c>
      <c r="H17" s="226">
        <f t="shared" si="3"/>
        <v>36.442917599574997</v>
      </c>
      <c r="I17" s="226">
        <f t="shared" si="3"/>
        <v>25.113729317050076</v>
      </c>
      <c r="J17" s="226">
        <f t="shared" si="3"/>
        <v>17.88751969863107</v>
      </c>
    </row>
    <row r="18" spans="1:10" x14ac:dyDescent="0.2">
      <c r="A18" s="230">
        <f t="shared" si="5"/>
        <v>0.99999999999999989</v>
      </c>
      <c r="B18" s="229">
        <f t="shared" si="4"/>
        <v>41.875000000000014</v>
      </c>
      <c r="C18" s="229">
        <f t="shared" si="4"/>
        <v>13.529411764705884</v>
      </c>
      <c r="D18" s="229">
        <f t="shared" si="4"/>
        <v>31.250000000000007</v>
      </c>
      <c r="E18" s="229">
        <f t="shared" si="4"/>
        <v>25.000000000000007</v>
      </c>
      <c r="F18" s="229">
        <f t="shared" si="4"/>
        <v>17.647058823529413</v>
      </c>
      <c r="G18" s="229">
        <f t="shared" si="4"/>
        <v>45.570604705773761</v>
      </c>
      <c r="H18" s="226">
        <f t="shared" si="3"/>
        <v>29.411764705882362</v>
      </c>
      <c r="I18" s="226">
        <f t="shared" si="3"/>
        <v>21.875000000000004</v>
      </c>
      <c r="J18" s="226">
        <f>J$4/(1+J$5*($A18^J$6))</f>
        <v>16.666666666666668</v>
      </c>
    </row>
    <row r="19" spans="1:10" x14ac:dyDescent="0.2">
      <c r="A19" s="230">
        <f t="shared" si="5"/>
        <v>1.0999999999999999</v>
      </c>
      <c r="B19" s="229">
        <f t="shared" si="4"/>
        <v>29.306871245378094</v>
      </c>
      <c r="C19" s="229">
        <f t="shared" si="4"/>
        <v>11.906610757363982</v>
      </c>
      <c r="D19" s="229">
        <f t="shared" si="4"/>
        <v>24.237293574606223</v>
      </c>
      <c r="E19" s="229">
        <f t="shared" si="4"/>
        <v>21.294038733856461</v>
      </c>
      <c r="F19" s="229">
        <f t="shared" si="4"/>
        <v>15.530361857431281</v>
      </c>
      <c r="G19" s="229">
        <f t="shared" si="4"/>
        <v>45.570604705773761</v>
      </c>
      <c r="H19" s="226">
        <f t="shared" si="3"/>
        <v>22.320504861249724</v>
      </c>
      <c r="I19" s="226">
        <f t="shared" si="3"/>
        <v>18.632283892124406</v>
      </c>
      <c r="J19" s="226">
        <f t="shared" si="3"/>
        <v>15.127425871831372</v>
      </c>
    </row>
    <row r="20" spans="1:10" x14ac:dyDescent="0.2">
      <c r="A20" s="230">
        <f t="shared" si="5"/>
        <v>1.2</v>
      </c>
      <c r="B20" s="229">
        <f t="shared" si="4"/>
        <v>18.715657940898801</v>
      </c>
      <c r="C20" s="229">
        <f t="shared" si="4"/>
        <v>10.409123823316436</v>
      </c>
      <c r="D20" s="229">
        <f t="shared" si="4"/>
        <v>17.910937077301888</v>
      </c>
      <c r="E20" s="229">
        <f t="shared" si="4"/>
        <v>17.824041066590617</v>
      </c>
      <c r="F20" s="229">
        <f t="shared" si="4"/>
        <v>13.577118030412745</v>
      </c>
      <c r="G20" s="229">
        <f t="shared" si="4"/>
        <v>45.570604705773761</v>
      </c>
      <c r="H20" s="226">
        <f t="shared" si="3"/>
        <v>16.18024115549186</v>
      </c>
      <c r="I20" s="226">
        <f t="shared" si="3"/>
        <v>15.596035933266791</v>
      </c>
      <c r="J20" s="226">
        <f t="shared" si="3"/>
        <v>13.354130165377549</v>
      </c>
    </row>
    <row r="21" spans="1:10" x14ac:dyDescent="0.2">
      <c r="A21" s="230">
        <f t="shared" si="5"/>
        <v>1.3</v>
      </c>
      <c r="B21" s="229">
        <f t="shared" si="4"/>
        <v>11.366751181198763</v>
      </c>
      <c r="C21" s="229">
        <f t="shared" si="4"/>
        <v>9.0626108199692634</v>
      </c>
      <c r="D21" s="229">
        <f t="shared" si="4"/>
        <v>12.833394257733669</v>
      </c>
      <c r="E21" s="229">
        <f t="shared" si="4"/>
        <v>14.740240118511531</v>
      </c>
      <c r="F21" s="229">
        <f t="shared" si="4"/>
        <v>11.82079672169904</v>
      </c>
      <c r="G21" s="229">
        <f t="shared" si="4"/>
        <v>45.570604705773761</v>
      </c>
      <c r="H21" s="226">
        <f t="shared" si="3"/>
        <v>11.418741392980939</v>
      </c>
      <c r="I21" s="226">
        <f t="shared" si="3"/>
        <v>12.897710103697589</v>
      </c>
      <c r="J21" s="226">
        <f t="shared" si="3"/>
        <v>11.477195386626541</v>
      </c>
    </row>
    <row r="22" spans="1:10" x14ac:dyDescent="0.2">
      <c r="A22" s="230">
        <f t="shared" si="5"/>
        <v>1.4000000000000001</v>
      </c>
      <c r="B22" s="229">
        <f t="shared" si="4"/>
        <v>6.798762677472137</v>
      </c>
      <c r="C22" s="229">
        <f t="shared" si="4"/>
        <v>7.8745549164612427</v>
      </c>
      <c r="D22" s="229">
        <f t="shared" si="4"/>
        <v>9.0617112686511732</v>
      </c>
      <c r="E22" s="229">
        <f t="shared" si="4"/>
        <v>12.103020914020137</v>
      </c>
      <c r="F22" s="229">
        <f t="shared" si="4"/>
        <v>10.271158586688577</v>
      </c>
      <c r="G22" s="229">
        <f t="shared" si="4"/>
        <v>45.570604705773761</v>
      </c>
      <c r="H22" s="226">
        <f t="shared" si="3"/>
        <v>7.9736229999601917</v>
      </c>
      <c r="I22" s="226">
        <f t="shared" si="3"/>
        <v>10.59014329976762</v>
      </c>
      <c r="J22" s="226">
        <f t="shared" si="3"/>
        <v>9.6355451406018719</v>
      </c>
    </row>
    <row r="23" spans="1:10" x14ac:dyDescent="0.2">
      <c r="A23" s="230">
        <f t="shared" si="5"/>
        <v>1.5000000000000002</v>
      </c>
      <c r="B23" s="229">
        <f t="shared" si="4"/>
        <v>5.5403698274003172</v>
      </c>
      <c r="C23" s="229">
        <f t="shared" si="4"/>
        <v>6.8401486988847564</v>
      </c>
      <c r="D23" s="229">
        <f t="shared" si="4"/>
        <v>6.3821300358994755</v>
      </c>
      <c r="E23" s="229">
        <f t="shared" si="4"/>
        <v>9.9071207430340529</v>
      </c>
      <c r="F23" s="229">
        <f t="shared" si="4"/>
        <v>8.9219330855018555</v>
      </c>
      <c r="G23" s="229">
        <f t="shared" si="4"/>
        <v>45.570604705773761</v>
      </c>
      <c r="H23" s="226">
        <f t="shared" si="3"/>
        <v>5.5720006965000817</v>
      </c>
      <c r="I23" s="226">
        <f t="shared" si="3"/>
        <v>8.6687306501547958</v>
      </c>
      <c r="J23" s="226">
        <f t="shared" si="3"/>
        <v>7.9404466501240645</v>
      </c>
    </row>
    <row r="24" spans="1:10" x14ac:dyDescent="0.2">
      <c r="A24" s="230">
        <f t="shared" si="5"/>
        <v>1.6000000000000003</v>
      </c>
      <c r="B24" s="229">
        <f t="shared" si="4"/>
        <v>5.5403698274003172</v>
      </c>
      <c r="C24" s="229">
        <f t="shared" si="4"/>
        <v>5.9474555233760844</v>
      </c>
      <c r="D24" s="229">
        <f t="shared" si="4"/>
        <v>5.3646071277932883</v>
      </c>
      <c r="E24" s="229">
        <f t="shared" si="4"/>
        <v>8.1100369817686317</v>
      </c>
      <c r="F24" s="229">
        <f t="shared" si="4"/>
        <v>7.7575506826644576</v>
      </c>
      <c r="G24" s="229">
        <f t="shared" si="4"/>
        <v>45.570604705773761</v>
      </c>
      <c r="H24" s="226">
        <f t="shared" si="3"/>
        <v>3.9233991778061874</v>
      </c>
      <c r="I24" s="226">
        <f t="shared" si="3"/>
        <v>7.096282359047553</v>
      </c>
      <c r="J24" s="226">
        <f t="shared" si="3"/>
        <v>6.4575455127807695</v>
      </c>
    </row>
    <row r="25" spans="1:10" x14ac:dyDescent="0.2">
      <c r="A25" s="230">
        <f>A24+0.1</f>
        <v>1.7000000000000004</v>
      </c>
      <c r="B25" s="229">
        <f t="shared" si="4"/>
        <v>5.5403698274003172</v>
      </c>
      <c r="C25" s="229">
        <f t="shared" si="4"/>
        <v>5.549540202497897</v>
      </c>
      <c r="D25" s="229">
        <f t="shared" si="4"/>
        <v>5.3646071277932883</v>
      </c>
      <c r="E25" s="229">
        <f t="shared" si="4"/>
        <v>6.6541789907606663</v>
      </c>
      <c r="F25" s="229">
        <f t="shared" si="4"/>
        <v>6.7581266472933663</v>
      </c>
      <c r="G25" s="229">
        <f t="shared" si="4"/>
        <v>45.570604705773761</v>
      </c>
      <c r="H25" s="226">
        <f t="shared" si="3"/>
        <v>2.7938738593779435</v>
      </c>
      <c r="I25" s="226">
        <f t="shared" si="3"/>
        <v>5.8224066169155835</v>
      </c>
      <c r="J25" s="226">
        <f t="shared" si="3"/>
        <v>5.2087212745532554</v>
      </c>
    </row>
    <row r="26" spans="1:10" x14ac:dyDescent="0.2">
      <c r="A26" s="228">
        <v>2</v>
      </c>
      <c r="B26" s="229">
        <f t="shared" si="4"/>
        <v>5.5403698274003172</v>
      </c>
      <c r="C26" s="229">
        <f t="shared" si="4"/>
        <v>5.549540202497897</v>
      </c>
      <c r="D26" s="229">
        <f t="shared" si="4"/>
        <v>5.3646071277932883</v>
      </c>
      <c r="E26" s="229">
        <f t="shared" si="4"/>
        <v>5.4805331462644675</v>
      </c>
      <c r="F26" s="229">
        <f t="shared" si="4"/>
        <v>5.5226878921971316</v>
      </c>
      <c r="G26" s="229">
        <f t="shared" si="4"/>
        <v>45.570604705773761</v>
      </c>
      <c r="H26" s="226">
        <f t="shared" si="3"/>
        <v>1.0917030567685591</v>
      </c>
      <c r="I26" s="226">
        <f t="shared" si="3"/>
        <v>3.3018867924528301</v>
      </c>
      <c r="J26" s="226">
        <f t="shared" si="3"/>
        <v>2.7027027027027026</v>
      </c>
    </row>
    <row r="27" spans="1:10" x14ac:dyDescent="0.2">
      <c r="A27" s="228">
        <v>2.5</v>
      </c>
      <c r="B27" s="229">
        <f t="shared" si="4"/>
        <v>5.5403698274003172</v>
      </c>
      <c r="C27" s="229">
        <f t="shared" si="4"/>
        <v>5.549540202497897</v>
      </c>
      <c r="D27" s="229">
        <f t="shared" si="4"/>
        <v>5.3646071277932883</v>
      </c>
      <c r="E27" s="229">
        <f t="shared" si="4"/>
        <v>5.4805331462644675</v>
      </c>
      <c r="F27" s="229">
        <f t="shared" si="4"/>
        <v>5.5226878921971316</v>
      </c>
      <c r="G27" s="229">
        <f t="shared" si="4"/>
        <v>45.570604705773761</v>
      </c>
      <c r="H27" s="226">
        <f t="shared" ref="H27:J27" si="6">H$4/(1+H$5*($A27^H$6))</f>
        <v>0.29086942689633233</v>
      </c>
      <c r="I27" s="226">
        <f t="shared" si="6"/>
        <v>1.4322250639386189</v>
      </c>
      <c r="J27" s="226">
        <f t="shared" si="6"/>
        <v>0.97412480974124804</v>
      </c>
    </row>
    <row r="29" spans="1:10" x14ac:dyDescent="0.2">
      <c r="A29" s="231" t="s">
        <v>210</v>
      </c>
      <c r="B29" s="231"/>
    </row>
    <row r="30" spans="1:10" x14ac:dyDescent="0.2">
      <c r="A30" s="231" t="s">
        <v>127</v>
      </c>
      <c r="B30" s="231"/>
    </row>
    <row r="31" spans="1:10" x14ac:dyDescent="0.2">
      <c r="A31" s="231" t="s">
        <v>128</v>
      </c>
      <c r="B31" s="231"/>
    </row>
    <row r="32" spans="1:10" x14ac:dyDescent="0.2">
      <c r="A32" s="231"/>
      <c r="B32" s="231"/>
    </row>
    <row r="34" spans="1:1" x14ac:dyDescent="0.2">
      <c r="A34" s="232"/>
    </row>
    <row r="35" spans="1:1" x14ac:dyDescent="0.2">
      <c r="A35" s="232"/>
    </row>
    <row r="36" spans="1:1" x14ac:dyDescent="0.2">
      <c r="A36" s="232"/>
    </row>
  </sheetData>
  <pageMargins left="0.75" right="0.75" top="1" bottom="1"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499984740745262"/>
  </sheetPr>
  <dimension ref="A1:M36"/>
  <sheetViews>
    <sheetView zoomScale="90" zoomScaleNormal="90" workbookViewId="0">
      <selection activeCell="M37" sqref="M37"/>
    </sheetView>
  </sheetViews>
  <sheetFormatPr defaultRowHeight="12.75" outlineLevelCol="1" x14ac:dyDescent="0.2"/>
  <cols>
    <col min="1" max="1" width="10.5703125" style="217" customWidth="1"/>
    <col min="2" max="6" width="7.5703125" style="217" customWidth="1"/>
    <col min="7" max="7" width="9.5703125" style="217" customWidth="1" outlineLevel="1"/>
    <col min="8" max="10" width="9.140625" style="217" customWidth="1" outlineLevel="1"/>
    <col min="11" max="16384" width="9.140625" style="217"/>
  </cols>
  <sheetData>
    <row r="1" spans="1:13" ht="26.25" x14ac:dyDescent="0.4">
      <c r="A1" s="216" t="s">
        <v>503</v>
      </c>
    </row>
    <row r="3" spans="1:13" x14ac:dyDescent="0.2">
      <c r="A3" s="255"/>
      <c r="B3" s="256" t="s">
        <v>206</v>
      </c>
      <c r="C3" s="256" t="s">
        <v>207</v>
      </c>
      <c r="D3" s="256" t="s">
        <v>504</v>
      </c>
      <c r="E3" s="256" t="s">
        <v>214</v>
      </c>
      <c r="F3" s="256" t="s">
        <v>513</v>
      </c>
      <c r="G3" s="218" t="s">
        <v>206</v>
      </c>
      <c r="H3" s="218" t="s">
        <v>213</v>
      </c>
      <c r="I3" s="218" t="s">
        <v>214</v>
      </c>
      <c r="J3" s="218" t="s">
        <v>513</v>
      </c>
    </row>
    <row r="4" spans="1:13" x14ac:dyDescent="0.2">
      <c r="A4" s="254" t="s">
        <v>505</v>
      </c>
      <c r="B4" s="257">
        <v>67</v>
      </c>
      <c r="C4" s="257">
        <v>23</v>
      </c>
      <c r="D4" s="257">
        <v>50</v>
      </c>
      <c r="E4" s="257">
        <v>40</v>
      </c>
      <c r="F4" s="257">
        <v>30</v>
      </c>
      <c r="G4" s="218">
        <v>67</v>
      </c>
      <c r="H4" s="218">
        <v>50</v>
      </c>
      <c r="I4" s="218">
        <v>35</v>
      </c>
      <c r="J4" s="218">
        <v>20</v>
      </c>
    </row>
    <row r="5" spans="1:13" x14ac:dyDescent="0.2">
      <c r="A5" s="254" t="s">
        <v>174</v>
      </c>
      <c r="B5" s="258">
        <v>0.6</v>
      </c>
      <c r="C5" s="258">
        <v>0.7</v>
      </c>
      <c r="D5" s="258">
        <v>0.6</v>
      </c>
      <c r="E5" s="258">
        <v>0.6</v>
      </c>
      <c r="F5" s="258">
        <v>0.7</v>
      </c>
      <c r="G5" s="218">
        <v>0.5</v>
      </c>
      <c r="H5" s="218">
        <v>0.7</v>
      </c>
      <c r="I5" s="218">
        <v>0.6</v>
      </c>
      <c r="J5" s="218">
        <v>0.2</v>
      </c>
    </row>
    <row r="6" spans="1:13" x14ac:dyDescent="0.2">
      <c r="A6" s="254" t="s">
        <v>175</v>
      </c>
      <c r="B6" s="259">
        <v>8</v>
      </c>
      <c r="C6" s="259">
        <v>3</v>
      </c>
      <c r="D6" s="259">
        <v>6</v>
      </c>
      <c r="E6" s="259">
        <v>4</v>
      </c>
      <c r="F6" s="259">
        <v>3</v>
      </c>
      <c r="G6" s="219">
        <v>9</v>
      </c>
      <c r="H6" s="219">
        <v>6</v>
      </c>
      <c r="I6" s="219">
        <v>4</v>
      </c>
      <c r="J6" s="219">
        <v>5</v>
      </c>
    </row>
    <row r="7" spans="1:13" x14ac:dyDescent="0.2">
      <c r="A7" s="254" t="s">
        <v>506</v>
      </c>
      <c r="B7" s="260">
        <v>1.44</v>
      </c>
      <c r="C7" s="260">
        <v>1.65</v>
      </c>
      <c r="D7" s="260">
        <v>1.55</v>
      </c>
      <c r="E7" s="260">
        <v>1.8</v>
      </c>
      <c r="F7" s="260">
        <v>1.85</v>
      </c>
      <c r="G7" s="220"/>
      <c r="H7" s="220"/>
      <c r="I7" s="220"/>
      <c r="J7" s="220"/>
    </row>
    <row r="8" spans="1:13" x14ac:dyDescent="0.2">
      <c r="A8" s="221" t="s">
        <v>507</v>
      </c>
      <c r="B8" s="222"/>
      <c r="C8" s="222"/>
      <c r="D8" s="222"/>
      <c r="E8" s="222"/>
      <c r="F8" s="222"/>
      <c r="G8" s="220"/>
      <c r="H8" s="220"/>
      <c r="I8" s="220"/>
      <c r="J8" s="220"/>
    </row>
    <row r="10" spans="1:13" s="227" customFormat="1" ht="38.25" x14ac:dyDescent="0.2">
      <c r="A10" s="224" t="s">
        <v>176</v>
      </c>
      <c r="B10" s="225" t="str">
        <f t="shared" ref="B10:J10" si="0">CONCATENATE(B3, " (x=", B5, ", y=", B6, ")")</f>
        <v>Fwy (x=0.6, y=8)</v>
      </c>
      <c r="C10" s="225" t="str">
        <f>CONCATENATE(C3, " (x=", C5, ", y=", C6, ")")</f>
        <v>Ramp (x=0.7, y=3)</v>
      </c>
      <c r="D10" s="225" t="str">
        <f t="shared" si="0"/>
        <v>Exp (x=0.6, y=6)</v>
      </c>
      <c r="E10" s="225" t="str">
        <f t="shared" si="0"/>
        <v>Art (x=0.6, y=4)</v>
      </c>
      <c r="F10" s="225" t="str">
        <f t="shared" si="0"/>
        <v>Col (x=0.7, y=3)</v>
      </c>
      <c r="G10" s="223" t="str">
        <f t="shared" si="0"/>
        <v>Fwy (x=0.5, y=9)</v>
      </c>
      <c r="H10" s="223" t="str">
        <f t="shared" si="0"/>
        <v>Bng (x=0.7, y=6)</v>
      </c>
      <c r="I10" s="223" t="str">
        <f t="shared" si="0"/>
        <v>Art (x=0.6, y=4)</v>
      </c>
      <c r="J10" s="223" t="str">
        <f t="shared" si="0"/>
        <v>Col (x=0.2, y=5)</v>
      </c>
      <c r="K10" s="217"/>
      <c r="L10" s="217"/>
      <c r="M10" s="217"/>
    </row>
    <row r="11" spans="1:13" x14ac:dyDescent="0.2">
      <c r="A11" s="228">
        <v>0</v>
      </c>
      <c r="B11" s="229">
        <f>IF($A11&gt;B$7, B$4/(1+B$5*(B$7^B$6)), B$4/(1+B$5*($A11^B$6)) )</f>
        <v>67</v>
      </c>
      <c r="C11" s="229">
        <f>IF($A11&gt;C$7, C$4/(1+C$5*(C$7^C$6)), C$4/(1+C$5*($A11^C$6)) )</f>
        <v>23</v>
      </c>
      <c r="D11" s="229">
        <f t="shared" ref="D11:F26" si="1">IF($A11&gt;D$7, D$4/(1+D$5*(D$7^D$6)), D$4/(1+D$5*($A11^D$6)) )</f>
        <v>50</v>
      </c>
      <c r="E11" s="229">
        <f t="shared" si="1"/>
        <v>40</v>
      </c>
      <c r="F11" s="229">
        <f t="shared" si="1"/>
        <v>30</v>
      </c>
      <c r="G11" s="226">
        <f>G$4/(1+G$5*($A11^G$6))</f>
        <v>67</v>
      </c>
      <c r="H11" s="226">
        <f t="shared" ref="H11:J26" si="2">H$4/(1+H$5*($A11^H$6))</f>
        <v>50</v>
      </c>
      <c r="I11" s="226">
        <f t="shared" si="2"/>
        <v>35</v>
      </c>
      <c r="J11" s="226">
        <f t="shared" si="2"/>
        <v>20</v>
      </c>
      <c r="K11" s="227"/>
      <c r="L11" s="227"/>
      <c r="M11" s="227"/>
    </row>
    <row r="12" spans="1:13" x14ac:dyDescent="0.2">
      <c r="A12" s="228">
        <v>0.1</v>
      </c>
      <c r="B12" s="229">
        <f t="shared" ref="B12:F27" si="3">IF($A12&gt;B$7, B$4/(1+B$5*(B$7^B$6)), B$4/(1+B$5*($A12^B$6)) )</f>
        <v>66.999999598000002</v>
      </c>
      <c r="C12" s="229">
        <f t="shared" si="3"/>
        <v>22.983911262116521</v>
      </c>
      <c r="D12" s="229">
        <f t="shared" si="1"/>
        <v>49.999970000018003</v>
      </c>
      <c r="E12" s="229">
        <f t="shared" si="1"/>
        <v>39.997600143991363</v>
      </c>
      <c r="F12" s="229">
        <f t="shared" si="1"/>
        <v>29.9790146897172</v>
      </c>
      <c r="G12" s="226">
        <f t="shared" ref="G12:J27" si="4">G$4/(1+G$5*($A12^G$6))</f>
        <v>66.999999966499999</v>
      </c>
      <c r="H12" s="226">
        <f t="shared" si="2"/>
        <v>49.999965000024503</v>
      </c>
      <c r="I12" s="226">
        <f t="shared" si="2"/>
        <v>34.997900125992444</v>
      </c>
      <c r="J12" s="226">
        <f t="shared" si="2"/>
        <v>19.999960000079998</v>
      </c>
    </row>
    <row r="13" spans="1:13" x14ac:dyDescent="0.2">
      <c r="A13" s="228">
        <v>0.5</v>
      </c>
      <c r="B13" s="229">
        <f t="shared" si="3"/>
        <v>66.843335931410749</v>
      </c>
      <c r="C13" s="229">
        <f t="shared" si="3"/>
        <v>21.149425287356323</v>
      </c>
      <c r="D13" s="229">
        <f t="shared" si="1"/>
        <v>49.535603715170282</v>
      </c>
      <c r="E13" s="229">
        <f t="shared" si="1"/>
        <v>38.554216867469876</v>
      </c>
      <c r="F13" s="229">
        <f t="shared" si="1"/>
        <v>27.586206896551726</v>
      </c>
      <c r="G13" s="226">
        <f t="shared" si="4"/>
        <v>66.934634146341466</v>
      </c>
      <c r="H13" s="226">
        <f t="shared" si="2"/>
        <v>49.459041731066456</v>
      </c>
      <c r="I13" s="226">
        <f t="shared" si="2"/>
        <v>33.734939759036145</v>
      </c>
      <c r="J13" s="226">
        <f t="shared" si="2"/>
        <v>19.875776397515526</v>
      </c>
    </row>
    <row r="14" spans="1:13" x14ac:dyDescent="0.2">
      <c r="A14" s="230">
        <f>A13+0.1</f>
        <v>0.6</v>
      </c>
      <c r="B14" s="229">
        <f t="shared" si="3"/>
        <v>66.331530995413644</v>
      </c>
      <c r="C14" s="229">
        <f t="shared" si="3"/>
        <v>19.979152189020152</v>
      </c>
      <c r="D14" s="229">
        <f t="shared" si="1"/>
        <v>48.638435103097912</v>
      </c>
      <c r="E14" s="229">
        <f t="shared" si="1"/>
        <v>37.11401425178147</v>
      </c>
      <c r="F14" s="229">
        <f t="shared" si="1"/>
        <v>26.059763724808896</v>
      </c>
      <c r="G14" s="226">
        <f t="shared" si="4"/>
        <v>66.664089784517458</v>
      </c>
      <c r="H14" s="226">
        <f t="shared" si="2"/>
        <v>48.418684499203614</v>
      </c>
      <c r="I14" s="226">
        <f t="shared" si="2"/>
        <v>32.474762470308789</v>
      </c>
      <c r="J14" s="226">
        <f t="shared" si="2"/>
        <v>19.693723216536426</v>
      </c>
    </row>
    <row r="15" spans="1:13" x14ac:dyDescent="0.2">
      <c r="A15" s="230">
        <f t="shared" ref="A15:A24" si="5">A14+0.1</f>
        <v>0.7</v>
      </c>
      <c r="B15" s="229">
        <f t="shared" si="3"/>
        <v>64.760027956459453</v>
      </c>
      <c r="C15" s="229">
        <f t="shared" si="3"/>
        <v>18.546891379727441</v>
      </c>
      <c r="D15" s="229">
        <f t="shared" si="1"/>
        <v>46.70324589427095</v>
      </c>
      <c r="E15" s="229">
        <f t="shared" si="1"/>
        <v>34.963201230704691</v>
      </c>
      <c r="F15" s="229">
        <f t="shared" si="1"/>
        <v>24.191597451818403</v>
      </c>
      <c r="G15" s="226">
        <f t="shared" si="4"/>
        <v>65.674890636738539</v>
      </c>
      <c r="H15" s="226">
        <f t="shared" si="2"/>
        <v>46.195594178357311</v>
      </c>
      <c r="I15" s="226">
        <f t="shared" si="2"/>
        <v>30.592801076866603</v>
      </c>
      <c r="J15" s="226">
        <f t="shared" si="2"/>
        <v>19.349583113231827</v>
      </c>
    </row>
    <row r="16" spans="1:13" x14ac:dyDescent="0.2">
      <c r="A16" s="230">
        <f t="shared" si="5"/>
        <v>0.79999999999999993</v>
      </c>
      <c r="B16" s="229">
        <f t="shared" si="3"/>
        <v>60.872385082240442</v>
      </c>
      <c r="C16" s="229">
        <f t="shared" si="3"/>
        <v>16.931684334511193</v>
      </c>
      <c r="D16" s="229">
        <f t="shared" si="1"/>
        <v>43.204517049539341</v>
      </c>
      <c r="E16" s="229">
        <f t="shared" si="1"/>
        <v>32.108913434369384</v>
      </c>
      <c r="F16" s="229">
        <f t="shared" si="1"/>
        <v>22.084805653710252</v>
      </c>
      <c r="G16" s="226">
        <f t="shared" si="4"/>
        <v>62.786471240482548</v>
      </c>
      <c r="H16" s="226">
        <f t="shared" si="2"/>
        <v>42.247542206984569</v>
      </c>
      <c r="I16" s="226">
        <f t="shared" si="2"/>
        <v>28.095299255073208</v>
      </c>
      <c r="J16" s="226">
        <f t="shared" si="2"/>
        <v>18.769896089855244</v>
      </c>
    </row>
    <row r="17" spans="1:10" x14ac:dyDescent="0.2">
      <c r="A17" s="230">
        <f t="shared" si="5"/>
        <v>0.89999999999999991</v>
      </c>
      <c r="B17" s="229">
        <f t="shared" si="3"/>
        <v>53.24727615585401</v>
      </c>
      <c r="C17" s="229">
        <f t="shared" si="3"/>
        <v>15.228762497517051</v>
      </c>
      <c r="D17" s="229">
        <f t="shared" si="1"/>
        <v>37.911397424724278</v>
      </c>
      <c r="E17" s="229">
        <f t="shared" si="1"/>
        <v>28.701404933771514</v>
      </c>
      <c r="F17" s="229">
        <f t="shared" si="1"/>
        <v>19.863603257630938</v>
      </c>
      <c r="G17" s="226">
        <f t="shared" si="4"/>
        <v>56.127523667239508</v>
      </c>
      <c r="H17" s="226">
        <f t="shared" si="2"/>
        <v>36.442917599574997</v>
      </c>
      <c r="I17" s="226">
        <f t="shared" si="2"/>
        <v>25.113729317050076</v>
      </c>
      <c r="J17" s="226">
        <f t="shared" si="2"/>
        <v>17.88751969863107</v>
      </c>
    </row>
    <row r="18" spans="1:10" x14ac:dyDescent="0.2">
      <c r="A18" s="230">
        <f t="shared" si="5"/>
        <v>0.99999999999999989</v>
      </c>
      <c r="B18" s="229">
        <f t="shared" si="3"/>
        <v>41.875000000000014</v>
      </c>
      <c r="C18" s="229">
        <f t="shared" si="3"/>
        <v>13.529411764705884</v>
      </c>
      <c r="D18" s="229">
        <f t="shared" si="1"/>
        <v>31.250000000000007</v>
      </c>
      <c r="E18" s="229">
        <f t="shared" si="1"/>
        <v>25.000000000000007</v>
      </c>
      <c r="F18" s="229">
        <f t="shared" si="1"/>
        <v>17.647058823529413</v>
      </c>
      <c r="G18" s="226">
        <f t="shared" si="4"/>
        <v>44.666666666666679</v>
      </c>
      <c r="H18" s="226">
        <f t="shared" si="2"/>
        <v>29.411764705882362</v>
      </c>
      <c r="I18" s="226">
        <f t="shared" si="2"/>
        <v>21.875000000000004</v>
      </c>
      <c r="J18" s="226">
        <f>J$4/(1+J$5*($A18^J$6))</f>
        <v>16.666666666666668</v>
      </c>
    </row>
    <row r="19" spans="1:10" x14ac:dyDescent="0.2">
      <c r="A19" s="230">
        <f t="shared" si="5"/>
        <v>1.0999999999999999</v>
      </c>
      <c r="B19" s="229">
        <f t="shared" si="3"/>
        <v>29.306871245378094</v>
      </c>
      <c r="C19" s="229">
        <f t="shared" si="3"/>
        <v>11.906610757363982</v>
      </c>
      <c r="D19" s="229">
        <f t="shared" si="1"/>
        <v>24.237293574606223</v>
      </c>
      <c r="E19" s="229">
        <f t="shared" si="1"/>
        <v>21.294038733856461</v>
      </c>
      <c r="F19" s="229">
        <f t="shared" si="1"/>
        <v>15.530361857431281</v>
      </c>
      <c r="G19" s="226">
        <f t="shared" si="4"/>
        <v>30.748418636766988</v>
      </c>
      <c r="H19" s="226">
        <f t="shared" si="2"/>
        <v>22.320504861249724</v>
      </c>
      <c r="I19" s="226">
        <f t="shared" si="2"/>
        <v>18.632283892124406</v>
      </c>
      <c r="J19" s="226">
        <f t="shared" si="2"/>
        <v>15.127425871831372</v>
      </c>
    </row>
    <row r="20" spans="1:10" x14ac:dyDescent="0.2">
      <c r="A20" s="230">
        <f t="shared" si="5"/>
        <v>1.2</v>
      </c>
      <c r="B20" s="229">
        <f t="shared" si="3"/>
        <v>18.715657940898801</v>
      </c>
      <c r="C20" s="229">
        <f t="shared" si="3"/>
        <v>10.409123823316436</v>
      </c>
      <c r="D20" s="229">
        <f t="shared" si="1"/>
        <v>17.910937077301888</v>
      </c>
      <c r="E20" s="229">
        <f t="shared" si="1"/>
        <v>17.824041066590617</v>
      </c>
      <c r="F20" s="229">
        <f t="shared" si="1"/>
        <v>13.577118030412745</v>
      </c>
      <c r="G20" s="226">
        <f t="shared" si="4"/>
        <v>18.715657940898801</v>
      </c>
      <c r="H20" s="226">
        <f t="shared" si="2"/>
        <v>16.18024115549186</v>
      </c>
      <c r="I20" s="226">
        <f t="shared" si="2"/>
        <v>15.596035933266791</v>
      </c>
      <c r="J20" s="226">
        <f t="shared" si="2"/>
        <v>13.354130165377549</v>
      </c>
    </row>
    <row r="21" spans="1:10" x14ac:dyDescent="0.2">
      <c r="A21" s="230">
        <f t="shared" si="5"/>
        <v>1.3</v>
      </c>
      <c r="B21" s="229">
        <f t="shared" si="3"/>
        <v>11.366751181198763</v>
      </c>
      <c r="C21" s="229">
        <f t="shared" si="3"/>
        <v>9.0626108199692634</v>
      </c>
      <c r="D21" s="229">
        <f t="shared" si="1"/>
        <v>12.833394257733669</v>
      </c>
      <c r="E21" s="229">
        <f t="shared" si="1"/>
        <v>14.740240118511531</v>
      </c>
      <c r="F21" s="229">
        <f t="shared" si="1"/>
        <v>11.82079672169904</v>
      </c>
      <c r="G21" s="226">
        <f t="shared" si="4"/>
        <v>10.631124333826405</v>
      </c>
      <c r="H21" s="226">
        <f t="shared" si="2"/>
        <v>11.418741392980939</v>
      </c>
      <c r="I21" s="226">
        <f t="shared" si="2"/>
        <v>12.897710103697589</v>
      </c>
      <c r="J21" s="226">
        <f t="shared" si="2"/>
        <v>11.477195386626541</v>
      </c>
    </row>
    <row r="22" spans="1:10" x14ac:dyDescent="0.2">
      <c r="A22" s="230">
        <f t="shared" si="5"/>
        <v>1.4000000000000001</v>
      </c>
      <c r="B22" s="229">
        <f t="shared" si="3"/>
        <v>6.798762677472137</v>
      </c>
      <c r="C22" s="229">
        <f t="shared" si="3"/>
        <v>7.8745549164612427</v>
      </c>
      <c r="D22" s="229">
        <f t="shared" si="1"/>
        <v>9.0617112686511732</v>
      </c>
      <c r="E22" s="229">
        <f t="shared" si="1"/>
        <v>12.103020914020137</v>
      </c>
      <c r="F22" s="229">
        <f t="shared" si="1"/>
        <v>10.271158586688577</v>
      </c>
      <c r="G22" s="226">
        <f t="shared" si="4"/>
        <v>5.9132308086761283</v>
      </c>
      <c r="H22" s="226">
        <f t="shared" si="2"/>
        <v>7.9736229999601917</v>
      </c>
      <c r="I22" s="226">
        <f t="shared" si="2"/>
        <v>10.59014329976762</v>
      </c>
      <c r="J22" s="226">
        <f t="shared" si="2"/>
        <v>9.6355451406018719</v>
      </c>
    </row>
    <row r="23" spans="1:10" x14ac:dyDescent="0.2">
      <c r="A23" s="230">
        <f t="shared" si="5"/>
        <v>1.5000000000000002</v>
      </c>
      <c r="B23" s="229">
        <f t="shared" si="3"/>
        <v>5.5403698274003172</v>
      </c>
      <c r="C23" s="229">
        <f t="shared" si="3"/>
        <v>6.8401486988847564</v>
      </c>
      <c r="D23" s="229">
        <f t="shared" si="1"/>
        <v>6.3821300358994755</v>
      </c>
      <c r="E23" s="229">
        <f t="shared" si="1"/>
        <v>9.9071207430340529</v>
      </c>
      <c r="F23" s="229">
        <f t="shared" si="1"/>
        <v>8.9219330855018555</v>
      </c>
      <c r="G23" s="226">
        <f t="shared" si="4"/>
        <v>3.3132757038682525</v>
      </c>
      <c r="H23" s="226">
        <f t="shared" si="2"/>
        <v>5.5720006965000817</v>
      </c>
      <c r="I23" s="226">
        <f t="shared" si="2"/>
        <v>8.6687306501547958</v>
      </c>
      <c r="J23" s="226">
        <f t="shared" si="2"/>
        <v>7.9404466501240645</v>
      </c>
    </row>
    <row r="24" spans="1:10" x14ac:dyDescent="0.2">
      <c r="A24" s="230">
        <f t="shared" si="5"/>
        <v>1.6000000000000003</v>
      </c>
      <c r="B24" s="229">
        <f t="shared" si="3"/>
        <v>5.5403698274003172</v>
      </c>
      <c r="C24" s="229">
        <f t="shared" si="3"/>
        <v>5.9474555233760844</v>
      </c>
      <c r="D24" s="229">
        <f t="shared" si="1"/>
        <v>5.3646071277932883</v>
      </c>
      <c r="E24" s="229">
        <f t="shared" si="1"/>
        <v>8.1100369817686317</v>
      </c>
      <c r="F24" s="229">
        <f t="shared" si="1"/>
        <v>7.7575506826644576</v>
      </c>
      <c r="G24" s="226">
        <f t="shared" si="4"/>
        <v>1.8948103999726937</v>
      </c>
      <c r="H24" s="226">
        <f t="shared" si="2"/>
        <v>3.9233991778061874</v>
      </c>
      <c r="I24" s="226">
        <f t="shared" si="2"/>
        <v>7.096282359047553</v>
      </c>
      <c r="J24" s="226">
        <f t="shared" si="2"/>
        <v>6.4575455127807695</v>
      </c>
    </row>
    <row r="25" spans="1:10" x14ac:dyDescent="0.2">
      <c r="A25" s="230">
        <f>A24+0.1</f>
        <v>1.7000000000000004</v>
      </c>
      <c r="B25" s="229">
        <f t="shared" si="3"/>
        <v>5.5403698274003172</v>
      </c>
      <c r="C25" s="229">
        <f t="shared" si="3"/>
        <v>5.549540202497897</v>
      </c>
      <c r="D25" s="229">
        <f t="shared" si="1"/>
        <v>5.3646071277932883</v>
      </c>
      <c r="E25" s="229">
        <f t="shared" si="1"/>
        <v>6.6541789907606663</v>
      </c>
      <c r="F25" s="229">
        <f t="shared" si="1"/>
        <v>6.7581266472933663</v>
      </c>
      <c r="G25" s="226">
        <f t="shared" si="4"/>
        <v>1.1112228185171944</v>
      </c>
      <c r="H25" s="226">
        <f t="shared" si="2"/>
        <v>2.7938738593779435</v>
      </c>
      <c r="I25" s="226">
        <f t="shared" si="2"/>
        <v>5.8224066169155835</v>
      </c>
      <c r="J25" s="226">
        <f t="shared" si="2"/>
        <v>5.2087212745532554</v>
      </c>
    </row>
    <row r="26" spans="1:10" x14ac:dyDescent="0.2">
      <c r="A26" s="228">
        <v>2</v>
      </c>
      <c r="B26" s="229">
        <f t="shared" si="3"/>
        <v>5.5403698274003172</v>
      </c>
      <c r="C26" s="229">
        <f t="shared" si="3"/>
        <v>5.549540202497897</v>
      </c>
      <c r="D26" s="229">
        <f t="shared" si="1"/>
        <v>5.3646071277932883</v>
      </c>
      <c r="E26" s="229">
        <f t="shared" si="1"/>
        <v>5.4805331462644675</v>
      </c>
      <c r="F26" s="229">
        <f t="shared" si="1"/>
        <v>5.5226878921971316</v>
      </c>
      <c r="G26" s="226">
        <f t="shared" si="4"/>
        <v>0.26070038910505838</v>
      </c>
      <c r="H26" s="226">
        <f t="shared" si="2"/>
        <v>1.0917030567685591</v>
      </c>
      <c r="I26" s="226">
        <f t="shared" si="2"/>
        <v>3.3018867924528301</v>
      </c>
      <c r="J26" s="226">
        <f t="shared" si="2"/>
        <v>2.7027027027027026</v>
      </c>
    </row>
    <row r="27" spans="1:10" x14ac:dyDescent="0.2">
      <c r="A27" s="228">
        <v>2.5</v>
      </c>
      <c r="B27" s="229">
        <f t="shared" si="3"/>
        <v>5.5403698274003172</v>
      </c>
      <c r="C27" s="229">
        <f t="shared" si="3"/>
        <v>5.549540202497897</v>
      </c>
      <c r="D27" s="229">
        <f t="shared" si="3"/>
        <v>5.3646071277932883</v>
      </c>
      <c r="E27" s="229">
        <f t="shared" si="3"/>
        <v>5.4805331462644675</v>
      </c>
      <c r="F27" s="229">
        <f t="shared" si="3"/>
        <v>5.5226878921971316</v>
      </c>
      <c r="G27" s="226">
        <f t="shared" si="4"/>
        <v>3.510888883089263E-2</v>
      </c>
      <c r="H27" s="226">
        <f t="shared" si="4"/>
        <v>0.29086942689633233</v>
      </c>
      <c r="I27" s="226">
        <f t="shared" si="4"/>
        <v>1.4322250639386189</v>
      </c>
      <c r="J27" s="226">
        <f t="shared" si="4"/>
        <v>0.97412480974124804</v>
      </c>
    </row>
    <row r="29" spans="1:10" x14ac:dyDescent="0.2">
      <c r="A29" s="231" t="s">
        <v>210</v>
      </c>
      <c r="B29" s="231"/>
    </row>
    <row r="30" spans="1:10" x14ac:dyDescent="0.2">
      <c r="A30" s="231" t="s">
        <v>127</v>
      </c>
      <c r="B30" s="231"/>
    </row>
    <row r="31" spans="1:10" x14ac:dyDescent="0.2">
      <c r="A31" s="231" t="s">
        <v>128</v>
      </c>
      <c r="B31" s="231"/>
    </row>
    <row r="32" spans="1:10" x14ac:dyDescent="0.2">
      <c r="A32" s="231"/>
      <c r="B32" s="231"/>
    </row>
    <row r="34" spans="1:1" x14ac:dyDescent="0.2">
      <c r="A34" s="232"/>
    </row>
    <row r="35" spans="1:1" x14ac:dyDescent="0.2">
      <c r="A35" s="232"/>
    </row>
    <row r="36" spans="1:1" x14ac:dyDescent="0.2">
      <c r="A36" s="232"/>
    </row>
  </sheetData>
  <pageMargins left="0.75" right="0.75" top="1" bottom="1" header="0.5" footer="0.5"/>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0.499984740745262"/>
  </sheetPr>
  <dimension ref="A1:AK201"/>
  <sheetViews>
    <sheetView view="pageBreakPreview" zoomScale="80" zoomScaleNormal="80" zoomScaleSheetLayoutView="80" workbookViewId="0">
      <selection activeCell="C87" sqref="C87"/>
    </sheetView>
  </sheetViews>
  <sheetFormatPr defaultColWidth="8.85546875" defaultRowHeight="12.75" x14ac:dyDescent="0.2"/>
  <cols>
    <col min="1" max="1" width="5.7109375" style="280" customWidth="1"/>
    <col min="2" max="2" width="30.7109375" style="268" customWidth="1"/>
    <col min="3" max="3" width="8.7109375" style="268" customWidth="1"/>
    <col min="4" max="4" width="8.7109375" style="280" customWidth="1"/>
    <col min="5" max="6" width="8.7109375" style="268" customWidth="1"/>
    <col min="7" max="7" width="8.7109375" style="279" customWidth="1"/>
    <col min="8" max="8" width="8.7109375" style="268" customWidth="1"/>
    <col min="9" max="22" width="10.42578125" style="268" customWidth="1"/>
    <col min="23" max="23" width="8.85546875" style="268" customWidth="1"/>
    <col min="24" max="25" width="8.85546875" style="268"/>
    <col min="26" max="27" width="10.5703125" style="268" bestFit="1" customWidth="1"/>
    <col min="28" max="29" width="8.85546875" style="268"/>
    <col min="30" max="30" width="9" style="268" bestFit="1" customWidth="1"/>
    <col min="31" max="31" width="10.5703125" style="268" bestFit="1" customWidth="1"/>
    <col min="32" max="32" width="9.5703125" style="268" bestFit="1" customWidth="1"/>
    <col min="33" max="16384" width="8.85546875" style="268"/>
  </cols>
  <sheetData>
    <row r="1" spans="1:37" ht="23.25" x14ac:dyDescent="0.35">
      <c r="A1" s="466" t="s">
        <v>509</v>
      </c>
      <c r="B1" s="466"/>
      <c r="C1" s="466"/>
      <c r="D1" s="466"/>
      <c r="E1" s="466"/>
      <c r="F1" s="466"/>
      <c r="G1" s="466"/>
      <c r="H1" s="466"/>
      <c r="I1" s="466"/>
      <c r="J1" s="267"/>
      <c r="K1" s="267"/>
      <c r="L1" s="267"/>
      <c r="M1" s="267"/>
      <c r="N1" s="267"/>
      <c r="O1" s="267"/>
      <c r="P1" s="267"/>
      <c r="Q1" s="267"/>
      <c r="R1" s="267"/>
      <c r="S1" s="267"/>
      <c r="T1" s="267"/>
      <c r="U1" s="267"/>
      <c r="V1" s="267"/>
      <c r="W1" s="267"/>
    </row>
    <row r="2" spans="1:37" s="270" customFormat="1" x14ac:dyDescent="0.2">
      <c r="A2" s="269"/>
      <c r="B2" s="269"/>
      <c r="C2" s="269"/>
      <c r="D2" s="269"/>
      <c r="E2" s="269"/>
      <c r="F2" s="269"/>
      <c r="G2" s="269"/>
      <c r="H2" s="269"/>
      <c r="I2" s="269"/>
      <c r="J2" s="269"/>
      <c r="K2" s="269"/>
      <c r="L2" s="269"/>
      <c r="M2" s="269"/>
      <c r="N2" s="269"/>
      <c r="O2" s="269"/>
      <c r="P2" s="269"/>
      <c r="Q2" s="269"/>
      <c r="R2" s="269"/>
      <c r="S2" s="269"/>
      <c r="T2" s="269"/>
      <c r="U2" s="269"/>
      <c r="V2" s="269"/>
      <c r="W2" s="269"/>
      <c r="AI2" s="271" t="s">
        <v>291</v>
      </c>
      <c r="AJ2" s="272"/>
    </row>
    <row r="3" spans="1:37" s="270" customFormat="1" ht="13.9" customHeight="1" x14ac:dyDescent="0.2">
      <c r="A3" s="269" t="s">
        <v>403</v>
      </c>
      <c r="B3" s="273" t="s">
        <v>404</v>
      </c>
      <c r="C3" s="269"/>
      <c r="D3" s="214" t="s">
        <v>467</v>
      </c>
      <c r="E3" s="269"/>
      <c r="F3" s="269"/>
      <c r="G3" s="269"/>
      <c r="H3" s="269"/>
      <c r="I3" s="274" t="s">
        <v>453</v>
      </c>
      <c r="J3" s="269"/>
      <c r="K3" s="269"/>
      <c r="L3" s="269"/>
      <c r="M3" s="269"/>
      <c r="N3" s="269"/>
      <c r="O3" s="269"/>
      <c r="P3" s="269"/>
      <c r="Q3" s="269"/>
      <c r="R3" s="269"/>
      <c r="S3" s="269"/>
      <c r="T3" s="269"/>
      <c r="U3" s="269"/>
      <c r="V3" s="269"/>
      <c r="W3" s="269"/>
      <c r="AI3" s="275">
        <v>0.09</v>
      </c>
      <c r="AJ3" s="272" t="s">
        <v>460</v>
      </c>
    </row>
    <row r="4" spans="1:37" x14ac:dyDescent="0.2">
      <c r="A4" s="276">
        <v>1</v>
      </c>
      <c r="B4" s="277" t="s">
        <v>499</v>
      </c>
      <c r="D4" s="278">
        <v>10000</v>
      </c>
      <c r="I4" s="272" t="s">
        <v>4</v>
      </c>
    </row>
    <row r="5" spans="1:37" x14ac:dyDescent="0.2">
      <c r="A5" s="276"/>
      <c r="B5" s="277"/>
    </row>
    <row r="6" spans="1:37" x14ac:dyDescent="0.2">
      <c r="A6" s="276"/>
      <c r="B6" s="277"/>
      <c r="F6" s="214" t="s">
        <v>467</v>
      </c>
      <c r="Z6" s="281" t="s">
        <v>261</v>
      </c>
      <c r="AA6" s="281" t="s">
        <v>161</v>
      </c>
      <c r="AB6" s="281" t="s">
        <v>4</v>
      </c>
      <c r="AC6" s="281" t="s">
        <v>3</v>
      </c>
      <c r="AD6" s="282" t="s">
        <v>160</v>
      </c>
      <c r="AI6" s="281"/>
      <c r="AJ6" s="214" t="s">
        <v>483</v>
      </c>
      <c r="AK6" s="283"/>
    </row>
    <row r="7" spans="1:37" x14ac:dyDescent="0.2">
      <c r="A7" s="269"/>
      <c r="B7" s="273"/>
      <c r="C7" s="281" t="s">
        <v>464</v>
      </c>
      <c r="D7" s="214" t="s">
        <v>465</v>
      </c>
      <c r="E7" s="281" t="s">
        <v>466</v>
      </c>
      <c r="F7" s="214" t="s">
        <v>470</v>
      </c>
      <c r="G7" s="281" t="s">
        <v>471</v>
      </c>
      <c r="H7" s="214" t="s">
        <v>472</v>
      </c>
      <c r="I7" s="281" t="s">
        <v>473</v>
      </c>
      <c r="W7" s="272" t="str">
        <f>B8 &amp; ", " &amp; D7</f>
        <v>Principal Arterial, 2 lanes</v>
      </c>
      <c r="X7" s="272"/>
      <c r="Y7" s="272"/>
      <c r="Z7" s="278">
        <f>VLOOKUP($B8,ArtExpFactors,2,FALSE)*VLOOKUP($B8,ArtExpFactors,3,FALSE)*SUMIFS($D$55:$D$56,$B$55:$B$56,"*"&amp;RIGHT($B8,4))*SUMIFS($D$60:$D$62,$B$60:$B$62,"*"&amp;RIGHT($B8,4))*VLOOKUP($B8,ArtExpFactors,4,FALSE)*C$66</f>
        <v>981.24998400000004</v>
      </c>
      <c r="AA7" s="278">
        <f>VLOOKUP($B8,ArtExpFactors,2,FALSE)*VLOOKUP($B8,ArtExpFactors,3,FALSE)*SUMIFS($D$55:$D$56,$B$55:$B$56,"*"&amp;RIGHT($B8,4))*SUMIFS($D$60:$D$62,$B$60:$B$62,"*"&amp;RIGHT($B8,4))*VLOOKUP($B8,ArtExpFactors,4,FALSE)*D$66</f>
        <v>936.64771200000007</v>
      </c>
      <c r="AB7" s="278">
        <f>VLOOKUP($B8,ArtExpFactors,2,FALSE)*VLOOKUP($B8,ArtExpFactors,3,FALSE)*SUMIFS($D$55:$D$56,$B$55:$B$56,"*"&amp;RIGHT($B8,4))*SUMIFS($D$60:$D$62,$B$60:$B$62,"*"&amp;RIGHT($B8,4))*VLOOKUP($B8,ArtExpFactors,4,FALSE)*E$66</f>
        <v>892.04543999999999</v>
      </c>
      <c r="AC7" s="278">
        <f>VLOOKUP($B8,ArtExpFactors,2,FALSE)*VLOOKUP($B8,ArtExpFactors,3,FALSE)*SUMIFS($D$55:$D$56,$B$55:$B$56,"*"&amp;RIGHT($B8,4))*SUMIFS($D$60:$D$62,$B$60:$B$62,"*"&amp;RIGHT($B8,4))*VLOOKUP($B8,ArtExpFactors,4,FALSE)*F$66</f>
        <v>847.4431679999999</v>
      </c>
      <c r="AD7" s="278">
        <f>VLOOKUP($B8,ArtExpFactors,2,FALSE)*VLOOKUP($B8,ArtExpFactors,3,FALSE)*SUMIFS($D$55:$D$56,$B$55:$B$56,"*"&amp;RIGHT($B8,4))*SUMIFS($D$60:$D$62,$B$60:$B$62,"*"&amp;RIGHT($B8,4))*VLOOKUP($B8,ArtExpFactors,4,FALSE)*G$66</f>
        <v>802.84089600000004</v>
      </c>
      <c r="AI7" s="281" t="s">
        <v>464</v>
      </c>
      <c r="AJ7" s="214" t="s">
        <v>465</v>
      </c>
      <c r="AK7" s="281" t="s">
        <v>466</v>
      </c>
    </row>
    <row r="8" spans="1:37" x14ac:dyDescent="0.2">
      <c r="A8" s="276">
        <v>2</v>
      </c>
      <c r="B8" s="272" t="s">
        <v>454</v>
      </c>
      <c r="C8" s="284">
        <f t="shared" ref="C8:F11" si="0">VLOOKUP($B8,ArtExpFactors,2,FALSE)*VLOOKUP($B8,ArtExpFactors,3,FALSE)*SUMIFS(C$55:C$56,$B$55:$B$56,"*"&amp;RIGHT($B8,4))*SUMIFS(C$60:C$62,$B$60:$B$62,"*"&amp;RIGHT($B8,4))*VLOOKUP($B8,ArtExpFactors,4,FALSE)*HLOOKUP($I$4,ATypeCap,2,FALSE)</f>
        <v>929.5104</v>
      </c>
      <c r="D8" s="284">
        <f t="shared" si="0"/>
        <v>892.04543999999999</v>
      </c>
      <c r="E8" s="284">
        <f t="shared" si="0"/>
        <v>854.48563200000001</v>
      </c>
      <c r="F8" s="284">
        <f t="shared" si="0"/>
        <v>834.66240000000005</v>
      </c>
      <c r="G8" s="285">
        <f>F8*F8/E8</f>
        <v>815.29904761904766</v>
      </c>
      <c r="H8" s="285">
        <f>G8*G8/F8</f>
        <v>796.38490609919177</v>
      </c>
      <c r="I8" s="285">
        <f>H8*H8/G8</f>
        <v>777.90955418724468</v>
      </c>
      <c r="W8" s="272" t="str">
        <f>B8 &amp; ", " &amp; E7</f>
        <v>Principal Arterial, 3 lanes</v>
      </c>
      <c r="X8" s="272"/>
      <c r="Y8" s="272"/>
      <c r="Z8" s="278">
        <f>VLOOKUP($B8,ArtExpFactors,2,FALSE)*VLOOKUP($B8,ArtExpFactors,3,FALSE)*SUMIFS($E$55:$E$56,$B$55:$B$56,"*"&amp;RIGHT($B8,4))*SUMIFS($E$60:$E$62,$B$60:$B$62,"*"&amp;RIGHT($B8,4))*VLOOKUP($B8,ArtExpFactors,4,FALSE)*C$66</f>
        <v>939.93419520000009</v>
      </c>
      <c r="AA8" s="278">
        <f>VLOOKUP($B8,ArtExpFactors,2,FALSE)*VLOOKUP($B8,ArtExpFactors,3,FALSE)*SUMIFS($E$55:$E$56,$B$55:$B$56,"*"&amp;RIGHT($B8,4))*SUMIFS($E$60:$E$62,$B$60:$B$62,"*"&amp;RIGHT($B8,4))*VLOOKUP($B8,ArtExpFactors,4,FALSE)*D$66</f>
        <v>897.20991360000005</v>
      </c>
      <c r="AB8" s="278">
        <f>VLOOKUP($B8,ArtExpFactors,2,FALSE)*VLOOKUP($B8,ArtExpFactors,3,FALSE)*SUMIFS($E$55:$E$56,$B$55:$B$56,"*"&amp;RIGHT($B8,4))*SUMIFS($E$60:$E$62,$B$60:$B$62,"*"&amp;RIGHT($B8,4))*VLOOKUP($B8,ArtExpFactors,4,FALSE)*E$66</f>
        <v>854.48563200000001</v>
      </c>
      <c r="AC8" s="278">
        <f>VLOOKUP($B8,ArtExpFactors,2,FALSE)*VLOOKUP($B8,ArtExpFactors,3,FALSE)*SUMIFS($E$55:$E$56,$B$55:$B$56,"*"&amp;RIGHT($B8,4))*SUMIFS($E$60:$E$62,$B$60:$B$62,"*"&amp;RIGHT($B8,4))*VLOOKUP($B8,ArtExpFactors,4,FALSE)*F$66</f>
        <v>811.76135039999997</v>
      </c>
      <c r="AD8" s="278">
        <f>VLOOKUP($B8,ArtExpFactors,2,FALSE)*VLOOKUP($B8,ArtExpFactors,3,FALSE)*SUMIFS($E$55:$E$56,$B$55:$B$56,"*"&amp;RIGHT($B8,4))*SUMIFS($E$60:$E$62,$B$60:$B$62,"*"&amp;RIGHT($B8,4))*VLOOKUP($B8,ArtExpFactors,4,FALSE)*G$66</f>
        <v>769.03706880000004</v>
      </c>
      <c r="AI8" s="286">
        <f t="shared" ref="AI8:AK11" si="1">IFERROR(ROUND(C8/$AI$3*2*LEFT(AI$7,1),-3),"")</f>
        <v>21000</v>
      </c>
      <c r="AJ8" s="286">
        <f t="shared" si="1"/>
        <v>40000</v>
      </c>
      <c r="AK8" s="286">
        <f t="shared" si="1"/>
        <v>57000</v>
      </c>
    </row>
    <row r="9" spans="1:37" x14ac:dyDescent="0.2">
      <c r="A9" s="276">
        <v>3</v>
      </c>
      <c r="B9" s="272" t="s">
        <v>408</v>
      </c>
      <c r="C9" s="284">
        <f t="shared" si="0"/>
        <v>840.13439999999991</v>
      </c>
      <c r="D9" s="284">
        <f t="shared" si="0"/>
        <v>806.27184</v>
      </c>
      <c r="E9" s="284">
        <f t="shared" si="0"/>
        <v>772.32355199999995</v>
      </c>
      <c r="F9" s="284">
        <f t="shared" si="0"/>
        <v>754.40639999999996</v>
      </c>
      <c r="G9" s="285">
        <f t="shared" ref="G9:I11" si="2">F9*F9/E9</f>
        <v>736.9049084249084</v>
      </c>
      <c r="H9" s="285">
        <f t="shared" si="2"/>
        <v>719.80943435888491</v>
      </c>
      <c r="I9" s="285">
        <f t="shared" si="2"/>
        <v>703.11055859231749</v>
      </c>
      <c r="W9" s="272" t="str">
        <f>B9 &amp; ", " &amp; D7</f>
        <v>Minor Arterial, 2 lanes</v>
      </c>
      <c r="Z9" s="278">
        <f>VLOOKUP($B9,ArtExpFactors,2,FALSE)*VLOOKUP($B9,ArtExpFactors,3,FALSE)*SUMIFS($D$55:$D$56,$B$55:$B$56,"*"&amp;RIGHT($B9,4))*SUMIFS($D$60:$D$62,$B$60:$B$62,"*"&amp;RIGHT($B9,4))*VLOOKUP($B9,ArtExpFactors,4,FALSE)*C$66</f>
        <v>886.89902400000005</v>
      </c>
      <c r="AA9" s="278">
        <f>VLOOKUP($B9,ArtExpFactors,2,FALSE)*VLOOKUP($B9,ArtExpFactors,3,FALSE)*SUMIFS($D$55:$D$56,$B$55:$B$56,"*"&amp;RIGHT($B9,4))*SUMIFS($D$60:$D$62,$B$60:$B$62,"*"&amp;RIGHT($B9,4))*VLOOKUP($B9,ArtExpFactors,4,FALSE)*D$66</f>
        <v>846.58543200000008</v>
      </c>
      <c r="AB9" s="278">
        <f>VLOOKUP($B9,ArtExpFactors,2,FALSE)*VLOOKUP($B9,ArtExpFactors,3,FALSE)*SUMIFS($D$55:$D$56,$B$55:$B$56,"*"&amp;RIGHT($B9,4))*SUMIFS($D$60:$D$62,$B$60:$B$62,"*"&amp;RIGHT($B9,4))*VLOOKUP($B9,ArtExpFactors,4,FALSE)*E$66</f>
        <v>806.27184</v>
      </c>
      <c r="AC9" s="278">
        <f>VLOOKUP($B9,ArtExpFactors,2,FALSE)*VLOOKUP($B9,ArtExpFactors,3,FALSE)*SUMIFS($D$55:$D$56,$B$55:$B$56,"*"&amp;RIGHT($B9,4))*SUMIFS($D$60:$D$62,$B$60:$B$62,"*"&amp;RIGHT($B9,4))*VLOOKUP($B9,ArtExpFactors,4,FALSE)*F$66</f>
        <v>765.95824799999991</v>
      </c>
      <c r="AD9" s="278">
        <f>VLOOKUP($B9,ArtExpFactors,2,FALSE)*VLOOKUP($B9,ArtExpFactors,3,FALSE)*SUMIFS($D$55:$D$56,$B$55:$B$56,"*"&amp;RIGHT($B9,4))*SUMIFS($D$60:$D$62,$B$60:$B$62,"*"&amp;RIGHT($B9,4))*VLOOKUP($B9,ArtExpFactors,4,FALSE)*G$66</f>
        <v>725.64465600000005</v>
      </c>
      <c r="AI9" s="286">
        <f t="shared" si="1"/>
        <v>19000</v>
      </c>
      <c r="AJ9" s="286">
        <f t="shared" si="1"/>
        <v>36000</v>
      </c>
      <c r="AK9" s="286">
        <f t="shared" si="1"/>
        <v>51000</v>
      </c>
    </row>
    <row r="10" spans="1:37" x14ac:dyDescent="0.2">
      <c r="A10" s="276">
        <v>4</v>
      </c>
      <c r="B10" s="272" t="s">
        <v>420</v>
      </c>
      <c r="C10" s="284">
        <f t="shared" si="0"/>
        <v>666.40000000000009</v>
      </c>
      <c r="D10" s="284">
        <f t="shared" si="0"/>
        <v>633.07999999999993</v>
      </c>
      <c r="E10" s="284">
        <f t="shared" si="0"/>
        <v>606.42399999999998</v>
      </c>
      <c r="F10" s="284">
        <f t="shared" si="0"/>
        <v>586.43200000000002</v>
      </c>
      <c r="G10" s="285">
        <f t="shared" si="2"/>
        <v>567.09907692307695</v>
      </c>
      <c r="H10" s="285">
        <f t="shared" si="2"/>
        <v>548.40350295857991</v>
      </c>
      <c r="I10" s="285">
        <f t="shared" si="2"/>
        <v>530.32426659730811</v>
      </c>
      <c r="W10" s="272" t="str">
        <f>B9 &amp; ", " &amp; E7</f>
        <v>Minor Arterial, 3 lanes</v>
      </c>
      <c r="Z10" s="278">
        <f>VLOOKUP($B9,ArtExpFactors,2,FALSE)*VLOOKUP($B9,ArtExpFactors,3,FALSE)*SUMIFS($E$55:$E$56,$B$55:$B$56,"*"&amp;RIGHT($B9,4))*SUMIFS($E$60:$E$62,$B$60:$B$62,"*"&amp;RIGHT($B9,4))*VLOOKUP($B9,ArtExpFactors,4,FALSE)*C$66</f>
        <v>849.55590719999998</v>
      </c>
      <c r="AA10" s="278">
        <f>VLOOKUP($B9,ArtExpFactors,2,FALSE)*VLOOKUP($B9,ArtExpFactors,3,FALSE)*SUMIFS($E$55:$E$56,$B$55:$B$56,"*"&amp;RIGHT($B9,4))*SUMIFS($E$60:$E$62,$B$60:$B$62,"*"&amp;RIGHT($B9,4))*VLOOKUP($B9,ArtExpFactors,4,FALSE)*D$66</f>
        <v>810.93972959999996</v>
      </c>
      <c r="AB10" s="278">
        <f>VLOOKUP($B9,ArtExpFactors,2,FALSE)*VLOOKUP($B9,ArtExpFactors,3,FALSE)*SUMIFS($E$55:$E$56,$B$55:$B$56,"*"&amp;RIGHT($B9,4))*SUMIFS($E$60:$E$62,$B$60:$B$62,"*"&amp;RIGHT($B9,4))*VLOOKUP($B9,ArtExpFactors,4,FALSE)*E$66</f>
        <v>772.32355199999995</v>
      </c>
      <c r="AC10" s="278">
        <f>VLOOKUP($B9,ArtExpFactors,2,FALSE)*VLOOKUP($B9,ArtExpFactors,3,FALSE)*SUMIFS($E$55:$E$56,$B$55:$B$56,"*"&amp;RIGHT($B9,4))*SUMIFS($E$60:$E$62,$B$60:$B$62,"*"&amp;RIGHT($B9,4))*VLOOKUP($B9,ArtExpFactors,4,FALSE)*F$66</f>
        <v>733.70737439999994</v>
      </c>
      <c r="AD10" s="278">
        <f>VLOOKUP($B9,ArtExpFactors,2,FALSE)*VLOOKUP($B9,ArtExpFactors,3,FALSE)*SUMIFS($E$55:$E$56,$B$55:$B$56,"*"&amp;RIGHT($B9,4))*SUMIFS($E$60:$E$62,$B$60:$B$62,"*"&amp;RIGHT($B9,4))*VLOOKUP($B9,ArtExpFactors,4,FALSE)*G$66</f>
        <v>695.09119679999992</v>
      </c>
      <c r="AI10" s="286">
        <f t="shared" si="1"/>
        <v>15000</v>
      </c>
      <c r="AJ10" s="286">
        <f t="shared" si="1"/>
        <v>28000</v>
      </c>
      <c r="AK10" s="286">
        <f t="shared" si="1"/>
        <v>40000</v>
      </c>
    </row>
    <row r="11" spans="1:37" x14ac:dyDescent="0.2">
      <c r="A11" s="276">
        <v>5</v>
      </c>
      <c r="B11" s="272" t="s">
        <v>421</v>
      </c>
      <c r="C11" s="284">
        <f t="shared" si="0"/>
        <v>514.5</v>
      </c>
      <c r="D11" s="284">
        <f t="shared" si="0"/>
        <v>488.77499999999998</v>
      </c>
      <c r="E11" s="284">
        <f t="shared" si="0"/>
        <v>468.19499999999999</v>
      </c>
      <c r="F11" s="284">
        <f>VLOOKUP($B11,ArtExpFactors,2,FALSE)*VLOOKUP($B11,ArtExpFactors,3,FALSE)*SUMIFS(F$55:F$56,$B$55:$B$56,"*"&amp;RIGHT($B11,4))*SUMIFS(F$60:F$62,$B$60:$B$62,"*"&amp;RIGHT($B11,4))*VLOOKUP($B11,ArtExpFactors,4,FALSE)*HLOOKUP($I$4,ATypeCap,2,FALSE)</f>
        <v>452.75999999999993</v>
      </c>
      <c r="G11" s="285">
        <f t="shared" si="2"/>
        <v>437.83384615384603</v>
      </c>
      <c r="H11" s="285">
        <f t="shared" si="2"/>
        <v>423.39976331360924</v>
      </c>
      <c r="I11" s="285">
        <f t="shared" si="2"/>
        <v>409.4415293582154</v>
      </c>
      <c r="W11" s="272" t="str">
        <f>B10 &amp; ", " &amp; C7</f>
        <v>Major Collector, 1 lane</v>
      </c>
      <c r="Z11" s="278">
        <f>VLOOKUP($B10,ArtExpFactors,2,FALSE)*VLOOKUP($B10,ArtExpFactors,3,FALSE)*SUMIFS($C$55:$C$56,$B$55:$B$56,"*"&amp;RIGHT($B10,4))*SUMIFS($C$60:$C$62,$B$60:$B$62,"*"&amp;RIGHT($B10,4))*VLOOKUP($B10,ArtExpFactors,4,FALSE)*C$66</f>
        <v>733.04000000000019</v>
      </c>
      <c r="AA11" s="278">
        <f>VLOOKUP($B10,ArtExpFactors,2,FALSE)*VLOOKUP($B10,ArtExpFactors,3,FALSE)*SUMIFS($C$55:$C$56,$B$55:$B$56,"*"&amp;RIGHT($B10,4))*SUMIFS($C$60:$C$62,$B$60:$B$62,"*"&amp;RIGHT($B10,4))*VLOOKUP($B10,ArtExpFactors,4,FALSE)*D$66</f>
        <v>699.72000000000014</v>
      </c>
      <c r="AB11" s="278">
        <f>VLOOKUP($B10,ArtExpFactors,2,FALSE)*VLOOKUP($B10,ArtExpFactors,3,FALSE)*SUMIFS($C$55:$C$56,$B$55:$B$56,"*"&amp;RIGHT($B10,4))*SUMIFS($C$60:$C$62,$B$60:$B$62,"*"&amp;RIGHT($B10,4))*VLOOKUP($B10,ArtExpFactors,4,FALSE)*E$66</f>
        <v>666.40000000000009</v>
      </c>
      <c r="AC11" s="278">
        <f>VLOOKUP($B10,ArtExpFactors,2,FALSE)*VLOOKUP($B10,ArtExpFactors,3,FALSE)*SUMIFS($C$55:$C$56,$B$55:$B$56,"*"&amp;RIGHT($B10,4))*SUMIFS($C$60:$C$62,$B$60:$B$62,"*"&amp;RIGHT($B10,4))*VLOOKUP($B10,ArtExpFactors,4,FALSE)*F$66</f>
        <v>633.08000000000004</v>
      </c>
      <c r="AD11" s="278">
        <f>VLOOKUP($B10,ArtExpFactors,2,FALSE)*VLOOKUP($B10,ArtExpFactors,3,FALSE)*SUMIFS($C$55:$C$56,$B$55:$B$56,"*"&amp;RIGHT($B10,4))*SUMIFS($C$60:$C$62,$B$60:$B$62,"*"&amp;RIGHT($B10,4))*VLOOKUP($B10,ArtExpFactors,4,FALSE)*G$66</f>
        <v>599.7600000000001</v>
      </c>
      <c r="AI11" s="286">
        <f t="shared" si="1"/>
        <v>11000</v>
      </c>
      <c r="AJ11" s="286">
        <f t="shared" si="1"/>
        <v>22000</v>
      </c>
      <c r="AK11" s="286">
        <f t="shared" si="1"/>
        <v>31000</v>
      </c>
    </row>
    <row r="12" spans="1:37" x14ac:dyDescent="0.2">
      <c r="A12" s="276">
        <v>6</v>
      </c>
      <c r="B12" s="272" t="s">
        <v>159</v>
      </c>
      <c r="C12" s="285">
        <f>C11*0.8</f>
        <v>411.6</v>
      </c>
      <c r="D12" s="285">
        <f t="shared" ref="D12:I12" si="3">D11*0.8</f>
        <v>391.02</v>
      </c>
      <c r="E12" s="285">
        <f t="shared" si="3"/>
        <v>374.55600000000004</v>
      </c>
      <c r="F12" s="285">
        <f t="shared" si="3"/>
        <v>362.20799999999997</v>
      </c>
      <c r="G12" s="285">
        <f t="shared" si="3"/>
        <v>350.26707692307684</v>
      </c>
      <c r="H12" s="285">
        <f t="shared" si="3"/>
        <v>338.71981065088744</v>
      </c>
      <c r="I12" s="285">
        <f t="shared" si="3"/>
        <v>327.55322348657234</v>
      </c>
      <c r="W12" s="272" t="str">
        <f>B10 &amp; ", " &amp; D7</f>
        <v>Major Collector, 2 lanes</v>
      </c>
      <c r="Z12" s="278">
        <f>VLOOKUP($B10,ArtExpFactors,2,FALSE)*VLOOKUP($B10,ArtExpFactors,3,FALSE)*SUMIFS($D$55:$D$56,$B$55:$B$56,"*"&amp;RIGHT($B10,4))*SUMIFS($D$60:$D$62,$B$60:$B$62,"*"&amp;RIGHT($B10,4))*VLOOKUP($B10,ArtExpFactors,4,FALSE)*C$66</f>
        <v>696.38799999999992</v>
      </c>
      <c r="AA12" s="278">
        <f>VLOOKUP($B10,ArtExpFactors,2,FALSE)*VLOOKUP($B10,ArtExpFactors,3,FALSE)*SUMIFS($D$55:$D$56,$B$55:$B$56,"*"&amp;RIGHT($B10,4))*SUMIFS($D$60:$D$62,$B$60:$B$62,"*"&amp;RIGHT($B10,4))*VLOOKUP($B10,ArtExpFactors,4,FALSE)*D$66</f>
        <v>664.73399999999992</v>
      </c>
      <c r="AB12" s="278">
        <f>VLOOKUP($B10,ArtExpFactors,2,FALSE)*VLOOKUP($B10,ArtExpFactors,3,FALSE)*SUMIFS($D$55:$D$56,$B$55:$B$56,"*"&amp;RIGHT($B10,4))*SUMIFS($D$60:$D$62,$B$60:$B$62,"*"&amp;RIGHT($B10,4))*VLOOKUP($B10,ArtExpFactors,4,FALSE)*E$66</f>
        <v>633.07999999999993</v>
      </c>
      <c r="AC12" s="278">
        <f>VLOOKUP($B10,ArtExpFactors,2,FALSE)*VLOOKUP($B10,ArtExpFactors,3,FALSE)*SUMIFS($D$55:$D$56,$B$55:$B$56,"*"&amp;RIGHT($B10,4))*SUMIFS($D$60:$D$62,$B$60:$B$62,"*"&amp;RIGHT($B10,4))*VLOOKUP($B10,ArtExpFactors,4,FALSE)*F$66</f>
        <v>601.42599999999993</v>
      </c>
      <c r="AD12" s="278">
        <f>VLOOKUP($B10,ArtExpFactors,2,FALSE)*VLOOKUP($B10,ArtExpFactors,3,FALSE)*SUMIFS($D$55:$D$56,$B$55:$B$56,"*"&amp;RIGHT($B10,4))*SUMIFS($D$60:$D$62,$B$60:$B$62,"*"&amp;RIGHT($B10,4))*VLOOKUP($B10,ArtExpFactors,4,FALSE)*G$66</f>
        <v>569.77199999999993</v>
      </c>
      <c r="AI12" s="286">
        <f>IFERROR(ROUND(C12/$AI$3*2*LEFT(AI$7,1),-3),"")</f>
        <v>9000</v>
      </c>
      <c r="AJ12" s="286"/>
      <c r="AK12" s="286"/>
    </row>
    <row r="13" spans="1:37" x14ac:dyDescent="0.2">
      <c r="A13" s="276">
        <v>7</v>
      </c>
      <c r="B13" s="272" t="s">
        <v>498</v>
      </c>
      <c r="C13" s="287">
        <v>300</v>
      </c>
      <c r="D13" s="285">
        <f>C13</f>
        <v>300</v>
      </c>
      <c r="E13" s="285">
        <f t="shared" ref="E13:I13" si="4">D13</f>
        <v>300</v>
      </c>
      <c r="F13" s="285">
        <f t="shared" si="4"/>
        <v>300</v>
      </c>
      <c r="G13" s="285">
        <f t="shared" si="4"/>
        <v>300</v>
      </c>
      <c r="H13" s="285">
        <f t="shared" si="4"/>
        <v>300</v>
      </c>
      <c r="I13" s="285">
        <f t="shared" si="4"/>
        <v>300</v>
      </c>
      <c r="W13" s="272" t="str">
        <f>B11 &amp; ", " &amp; C7</f>
        <v>Minor Collector, 1 lane</v>
      </c>
      <c r="Z13" s="278">
        <f>VLOOKUP($B11,ArtExpFactors,2,FALSE)*VLOOKUP($B11,ArtExpFactors,3,FALSE)*SUMIFS($C$55:$C$56,$B$55:$B$56,"*"&amp;RIGHT($B11,4))*SUMIFS($C$60:$C$62,$B$60:$B$62,"*"&amp;RIGHT($B11,4))*VLOOKUP($B11,ArtExpFactors,4,FALSE)*C$66</f>
        <v>565.95000000000005</v>
      </c>
      <c r="AA13" s="278">
        <f>VLOOKUP($B11,ArtExpFactors,2,FALSE)*VLOOKUP($B11,ArtExpFactors,3,FALSE)*SUMIFS($C$55:$C$56,$B$55:$B$56,"*"&amp;RIGHT($B11,4))*SUMIFS($C$60:$C$62,$B$60:$B$62,"*"&amp;RIGHT($B11,4))*VLOOKUP($B11,ArtExpFactors,4,FALSE)*D$66</f>
        <v>540.22500000000002</v>
      </c>
      <c r="AB13" s="278">
        <f>VLOOKUP($B11,ArtExpFactors,2,FALSE)*VLOOKUP($B11,ArtExpFactors,3,FALSE)*SUMIFS($C$55:$C$56,$B$55:$B$56,"*"&amp;RIGHT($B11,4))*SUMIFS($C$60:$C$62,$B$60:$B$62,"*"&amp;RIGHT($B11,4))*VLOOKUP($B11,ArtExpFactors,4,FALSE)*E$66</f>
        <v>514.5</v>
      </c>
      <c r="AC13" s="278">
        <f>VLOOKUP($B11,ArtExpFactors,2,FALSE)*VLOOKUP($B11,ArtExpFactors,3,FALSE)*SUMIFS($C$55:$C$56,$B$55:$B$56,"*"&amp;RIGHT($B11,4))*SUMIFS($C$60:$C$62,$B$60:$B$62,"*"&amp;RIGHT($B11,4))*VLOOKUP($B11,ArtExpFactors,4,FALSE)*F$66</f>
        <v>488.77499999999998</v>
      </c>
      <c r="AD13" s="278">
        <f>VLOOKUP($B11,ArtExpFactors,2,FALSE)*VLOOKUP($B11,ArtExpFactors,3,FALSE)*SUMIFS($C$55:$C$56,$B$55:$B$56,"*"&amp;RIGHT($B11,4))*SUMIFS($C$60:$C$62,$B$60:$B$62,"*"&amp;RIGHT($B11,4))*VLOOKUP($B11,ArtExpFactors,4,FALSE)*G$66</f>
        <v>463.05</v>
      </c>
      <c r="AI13" s="286"/>
      <c r="AJ13" s="286"/>
      <c r="AK13" s="286"/>
    </row>
    <row r="14" spans="1:37" x14ac:dyDescent="0.2">
      <c r="A14" s="288" t="s">
        <v>492</v>
      </c>
      <c r="B14" s="272"/>
      <c r="C14" s="276"/>
      <c r="D14" s="278"/>
      <c r="E14" s="272"/>
      <c r="G14" s="268"/>
      <c r="AI14" s="276"/>
      <c r="AJ14" s="278"/>
      <c r="AK14" s="272"/>
    </row>
    <row r="15" spans="1:37" x14ac:dyDescent="0.2">
      <c r="G15" s="268"/>
      <c r="W15" s="272"/>
      <c r="X15" s="272"/>
      <c r="Y15" s="272"/>
      <c r="Z15" s="281"/>
      <c r="AA15" s="281"/>
      <c r="AB15" s="281"/>
      <c r="AC15" s="281"/>
      <c r="AD15" s="281"/>
      <c r="AI15" s="279"/>
    </row>
    <row r="16" spans="1:37" x14ac:dyDescent="0.2">
      <c r="A16" s="276">
        <v>12</v>
      </c>
      <c r="B16" s="272" t="str">
        <f>'SFF 8.3'!B15</f>
        <v>Expressway, posted 60-70 mph</v>
      </c>
      <c r="C16" s="284">
        <f t="shared" ref="C16:F19" si="5">VLOOKUP($B16,ArtExpFactors,2,FALSE)*VLOOKUP($B16,ArtExpFactors,3,FALSE)*SUMIFS(C$55:C$57,$B$55:$B$57,LEFT($B16,4)&amp;"*")*SUMIFS(C$60:C$62,$B$60:$B$62,LEFT($B16,4)&amp;"*")*VLOOKUP($B16,ArtExpFactors,4,FALSE)</f>
        <v>1057.9199999999998</v>
      </c>
      <c r="D16" s="284">
        <f t="shared" si="5"/>
        <v>1015.6031999999999</v>
      </c>
      <c r="E16" s="284">
        <f t="shared" si="5"/>
        <v>983.86559999999997</v>
      </c>
      <c r="F16" s="284">
        <f t="shared" si="5"/>
        <v>962.70720000000006</v>
      </c>
      <c r="G16" s="285">
        <f>F16*F16/E16</f>
        <v>942.00381935483892</v>
      </c>
      <c r="H16" s="285">
        <f>G16*G16/F16</f>
        <v>921.74567270204682</v>
      </c>
      <c r="I16" s="285">
        <f>H16*H16/G16</f>
        <v>901.92318511705662</v>
      </c>
      <c r="W16" s="272"/>
      <c r="X16" s="272"/>
      <c r="Y16" s="272"/>
      <c r="Z16" s="215"/>
      <c r="AA16" s="215"/>
      <c r="AB16" s="215"/>
      <c r="AC16" s="215"/>
      <c r="AD16" s="215"/>
      <c r="AI16" s="286">
        <f t="shared" ref="AI16:AK19" si="6">IFERROR(ROUND(C16/$AI$3*2*LEFT(AI$7,1),-3),"")</f>
        <v>24000</v>
      </c>
      <c r="AJ16" s="286">
        <f t="shared" si="6"/>
        <v>45000</v>
      </c>
      <c r="AK16" s="286">
        <f t="shared" si="6"/>
        <v>66000</v>
      </c>
    </row>
    <row r="17" spans="1:37" x14ac:dyDescent="0.2">
      <c r="A17" s="276">
        <v>13</v>
      </c>
      <c r="B17" s="272" t="str">
        <f>'SFF 8.3'!B16</f>
        <v>Expressway, posted 55-65 mph</v>
      </c>
      <c r="C17" s="284">
        <f t="shared" si="5"/>
        <v>1021.44</v>
      </c>
      <c r="D17" s="284">
        <f t="shared" si="5"/>
        <v>980.58240000000012</v>
      </c>
      <c r="E17" s="284">
        <f t="shared" si="5"/>
        <v>949.93920000000014</v>
      </c>
      <c r="F17" s="284">
        <f t="shared" si="5"/>
        <v>929.51040000000012</v>
      </c>
      <c r="G17" s="285">
        <f t="shared" ref="G17:I19" si="7">F17*F17/E17</f>
        <v>909.5209290322581</v>
      </c>
      <c r="H17" s="285">
        <f t="shared" si="7"/>
        <v>889.96133916059659</v>
      </c>
      <c r="I17" s="285">
        <f t="shared" si="7"/>
        <v>870.82238563026112</v>
      </c>
      <c r="W17" s="272"/>
      <c r="X17" s="272"/>
      <c r="Y17" s="272"/>
      <c r="Z17" s="215"/>
      <c r="AA17" s="215"/>
      <c r="AB17" s="215"/>
      <c r="AC17" s="215"/>
      <c r="AD17" s="215"/>
      <c r="AI17" s="286">
        <f t="shared" si="6"/>
        <v>23000</v>
      </c>
      <c r="AJ17" s="286">
        <f t="shared" si="6"/>
        <v>44000</v>
      </c>
      <c r="AK17" s="286">
        <f t="shared" si="6"/>
        <v>63000</v>
      </c>
    </row>
    <row r="18" spans="1:37" x14ac:dyDescent="0.2">
      <c r="A18" s="276">
        <v>14</v>
      </c>
      <c r="B18" s="272" t="str">
        <f>'SFF 8.3'!B17</f>
        <v>Expressway, posted 50-60 mph</v>
      </c>
      <c r="C18" s="284">
        <f t="shared" si="5"/>
        <v>984.96</v>
      </c>
      <c r="D18" s="284">
        <f t="shared" si="5"/>
        <v>945.5616</v>
      </c>
      <c r="E18" s="284">
        <f t="shared" si="5"/>
        <v>916.0128000000002</v>
      </c>
      <c r="F18" s="284">
        <f t="shared" si="5"/>
        <v>896.31360000000018</v>
      </c>
      <c r="G18" s="285">
        <f t="shared" si="7"/>
        <v>877.03803870967749</v>
      </c>
      <c r="H18" s="285">
        <f t="shared" si="7"/>
        <v>858.17700561914671</v>
      </c>
      <c r="I18" s="285">
        <f t="shared" si="7"/>
        <v>839.72158614346608</v>
      </c>
      <c r="W18" s="272"/>
      <c r="X18" s="272"/>
      <c r="Y18" s="272"/>
      <c r="Z18" s="215"/>
      <c r="AA18" s="215"/>
      <c r="AB18" s="215"/>
      <c r="AC18" s="215"/>
      <c r="AD18" s="215"/>
      <c r="AI18" s="286">
        <f t="shared" si="6"/>
        <v>22000</v>
      </c>
      <c r="AJ18" s="286">
        <f t="shared" si="6"/>
        <v>42000</v>
      </c>
      <c r="AK18" s="286">
        <f t="shared" si="6"/>
        <v>61000</v>
      </c>
    </row>
    <row r="19" spans="1:37" x14ac:dyDescent="0.2">
      <c r="A19" s="276">
        <v>15</v>
      </c>
      <c r="B19" s="272" t="str">
        <f>'SFF 8.3'!B18</f>
        <v>Expressway, posted 45-55 mph</v>
      </c>
      <c r="C19" s="284">
        <f t="shared" si="5"/>
        <v>948.48</v>
      </c>
      <c r="D19" s="284">
        <f t="shared" si="5"/>
        <v>910.54079999999999</v>
      </c>
      <c r="E19" s="284">
        <f t="shared" si="5"/>
        <v>882.08640000000014</v>
      </c>
      <c r="F19" s="284">
        <f t="shared" si="5"/>
        <v>863.11680000000013</v>
      </c>
      <c r="G19" s="285">
        <f t="shared" si="7"/>
        <v>844.55514838709689</v>
      </c>
      <c r="H19" s="285">
        <f t="shared" si="7"/>
        <v>826.39267207769694</v>
      </c>
      <c r="I19" s="285">
        <f t="shared" si="7"/>
        <v>808.62078665667127</v>
      </c>
      <c r="W19" s="272"/>
      <c r="X19" s="272"/>
      <c r="Y19" s="272"/>
      <c r="Z19" s="215"/>
      <c r="AA19" s="215"/>
      <c r="AB19" s="215"/>
      <c r="AC19" s="215"/>
      <c r="AD19" s="215"/>
      <c r="AI19" s="286">
        <f t="shared" si="6"/>
        <v>21000</v>
      </c>
      <c r="AJ19" s="286">
        <f t="shared" si="6"/>
        <v>40000</v>
      </c>
      <c r="AK19" s="286">
        <f t="shared" si="6"/>
        <v>59000</v>
      </c>
    </row>
    <row r="20" spans="1:37" x14ac:dyDescent="0.2">
      <c r="A20" s="276"/>
      <c r="B20" s="272"/>
      <c r="C20" s="272"/>
      <c r="D20" s="278"/>
      <c r="E20" s="272"/>
      <c r="F20" s="272"/>
      <c r="G20" s="289"/>
      <c r="H20" s="272"/>
      <c r="I20" s="272"/>
      <c r="J20" s="272"/>
      <c r="K20" s="272"/>
      <c r="L20" s="272"/>
      <c r="M20" s="272"/>
      <c r="N20" s="272"/>
      <c r="O20" s="272"/>
      <c r="P20" s="272"/>
      <c r="Q20" s="272"/>
      <c r="R20" s="272"/>
      <c r="S20" s="272"/>
      <c r="T20" s="272"/>
      <c r="U20" s="272"/>
      <c r="V20" s="272"/>
      <c r="W20" s="272"/>
      <c r="X20" s="272"/>
      <c r="Y20" s="272"/>
      <c r="Z20" s="215"/>
      <c r="AA20" s="215"/>
      <c r="AB20" s="215"/>
      <c r="AC20" s="215"/>
      <c r="AD20" s="215"/>
    </row>
    <row r="21" spans="1:37" x14ac:dyDescent="0.2">
      <c r="A21" s="276"/>
      <c r="B21" s="272"/>
      <c r="C21" s="272"/>
      <c r="D21" s="278"/>
      <c r="E21" s="272"/>
      <c r="F21" s="214" t="s">
        <v>467</v>
      </c>
      <c r="G21" s="289"/>
      <c r="H21" s="272"/>
      <c r="I21" s="272"/>
      <c r="J21" s="272"/>
      <c r="K21" s="272"/>
      <c r="L21" s="272"/>
      <c r="M21" s="272"/>
      <c r="N21" s="272"/>
      <c r="O21" s="272"/>
      <c r="P21" s="272"/>
      <c r="Q21" s="272"/>
      <c r="R21" s="272"/>
      <c r="S21" s="272"/>
      <c r="T21" s="272"/>
      <c r="U21" s="272"/>
      <c r="V21" s="272"/>
      <c r="W21" s="272"/>
      <c r="X21" s="272"/>
      <c r="Y21" s="272"/>
      <c r="Z21" s="215"/>
      <c r="AA21" s="215"/>
      <c r="AB21" s="215"/>
      <c r="AC21" s="215"/>
      <c r="AD21" s="215"/>
    </row>
    <row r="22" spans="1:37" x14ac:dyDescent="0.2">
      <c r="A22" s="276"/>
      <c r="B22" s="272"/>
      <c r="C22" s="281" t="s">
        <v>464</v>
      </c>
      <c r="D22" s="214" t="s">
        <v>465</v>
      </c>
      <c r="E22" s="281" t="s">
        <v>466</v>
      </c>
      <c r="F22" s="214" t="s">
        <v>470</v>
      </c>
      <c r="G22" s="281" t="s">
        <v>471</v>
      </c>
      <c r="H22" s="214" t="s">
        <v>472</v>
      </c>
      <c r="I22" s="281" t="s">
        <v>473</v>
      </c>
      <c r="J22" s="272"/>
      <c r="K22" s="272"/>
      <c r="L22" s="272"/>
      <c r="M22" s="272"/>
      <c r="N22" s="272"/>
      <c r="O22" s="272"/>
      <c r="P22" s="272"/>
      <c r="Q22" s="272"/>
      <c r="R22" s="272"/>
      <c r="S22" s="272"/>
      <c r="T22" s="272"/>
      <c r="U22" s="272"/>
      <c r="V22" s="272"/>
      <c r="W22" s="272"/>
      <c r="X22" s="272"/>
      <c r="Y22" s="272"/>
      <c r="Z22" s="215"/>
      <c r="AA22" s="215"/>
      <c r="AB22" s="215"/>
      <c r="AC22" s="215"/>
      <c r="AD22" s="215"/>
      <c r="AI22" s="270" t="s">
        <v>289</v>
      </c>
    </row>
    <row r="23" spans="1:37" x14ac:dyDescent="0.2">
      <c r="A23" s="276">
        <v>30</v>
      </c>
      <c r="B23" s="272" t="s">
        <v>497</v>
      </c>
      <c r="C23" s="245">
        <v>1600</v>
      </c>
      <c r="D23" s="245">
        <v>1300</v>
      </c>
      <c r="E23" s="245">
        <v>1100</v>
      </c>
      <c r="F23" s="245">
        <v>900</v>
      </c>
      <c r="G23" s="215">
        <f>F23</f>
        <v>900</v>
      </c>
      <c r="H23" s="215">
        <f t="shared" ref="H23:I23" si="8">G23</f>
        <v>900</v>
      </c>
      <c r="I23" s="215">
        <f t="shared" si="8"/>
        <v>900</v>
      </c>
      <c r="J23" s="272"/>
      <c r="K23" s="272"/>
      <c r="L23" s="272"/>
      <c r="M23" s="272"/>
      <c r="N23" s="272"/>
      <c r="O23" s="272"/>
      <c r="P23" s="272"/>
      <c r="Q23" s="272"/>
      <c r="R23" s="272"/>
      <c r="S23" s="272"/>
      <c r="T23" s="272"/>
      <c r="U23" s="272"/>
      <c r="V23" s="272"/>
      <c r="W23" s="272"/>
      <c r="X23" s="272"/>
      <c r="Y23" s="272"/>
      <c r="Z23" s="215"/>
      <c r="AA23" s="215"/>
      <c r="AB23" s="215"/>
      <c r="AC23" s="215"/>
      <c r="AD23" s="215"/>
      <c r="AI23" s="268" t="s">
        <v>150</v>
      </c>
      <c r="AJ23" s="268" t="s">
        <v>298</v>
      </c>
      <c r="AK23" s="268" t="s">
        <v>289</v>
      </c>
    </row>
    <row r="24" spans="1:37" x14ac:dyDescent="0.2">
      <c r="A24" s="276">
        <v>31</v>
      </c>
      <c r="B24" s="272" t="s">
        <v>491</v>
      </c>
      <c r="C24" s="290">
        <f t="shared" ref="C24:I26" si="9">(VLOOKUP($B24,FwyCapFactors,2,FALSE)*LEFT(C$22,1)*$C$86*VLOOKUP(C$22,FwyFleLookup,2,FALSE)*$C$87+VLOOKUP($B24,FwyCapFactors,3,FALSE))/LEFT(C$22,1)</f>
        <v>1493.875</v>
      </c>
      <c r="D24" s="290">
        <f t="shared" si="9"/>
        <v>1493.875</v>
      </c>
      <c r="E24" s="290">
        <f t="shared" si="9"/>
        <v>1419.1812499999999</v>
      </c>
      <c r="F24" s="290">
        <f t="shared" si="9"/>
        <v>1359.4262500000002</v>
      </c>
      <c r="G24" s="290">
        <f t="shared" si="9"/>
        <v>1314.6100000000001</v>
      </c>
      <c r="H24" s="290">
        <f t="shared" si="9"/>
        <v>1284.7325000000001</v>
      </c>
      <c r="I24" s="290">
        <f t="shared" si="9"/>
        <v>1254.8549999999998</v>
      </c>
      <c r="J24" s="272"/>
      <c r="K24" s="272"/>
      <c r="L24" s="272"/>
      <c r="M24" s="272"/>
      <c r="N24" s="272"/>
      <c r="O24" s="272"/>
      <c r="P24" s="272"/>
      <c r="Q24" s="272"/>
      <c r="R24" s="272"/>
      <c r="S24" s="272"/>
      <c r="T24" s="272"/>
      <c r="U24" s="272"/>
      <c r="V24" s="272"/>
      <c r="W24" s="272"/>
      <c r="X24" s="272"/>
      <c r="Y24" s="272"/>
      <c r="Z24" s="215"/>
      <c r="AA24" s="215"/>
      <c r="AB24" s="215"/>
      <c r="AC24" s="215"/>
      <c r="AD24" s="215"/>
      <c r="AI24" s="268">
        <v>2</v>
      </c>
      <c r="AJ24" s="291">
        <f>C78</f>
        <v>1997.5</v>
      </c>
      <c r="AK24" s="291">
        <f>D27</f>
        <v>2105.3031250000004</v>
      </c>
    </row>
    <row r="25" spans="1:37" x14ac:dyDescent="0.2">
      <c r="A25" s="276">
        <v>32</v>
      </c>
      <c r="B25" s="272" t="s">
        <v>494</v>
      </c>
      <c r="C25" s="290">
        <f t="shared" si="9"/>
        <v>1717.9562500000002</v>
      </c>
      <c r="D25" s="290">
        <f t="shared" si="9"/>
        <v>1717.9562500000002</v>
      </c>
      <c r="E25" s="290">
        <f t="shared" si="9"/>
        <v>1632.0584374999999</v>
      </c>
      <c r="F25" s="290">
        <f t="shared" si="9"/>
        <v>1563.3401875000002</v>
      </c>
      <c r="G25" s="290">
        <f t="shared" si="9"/>
        <v>1511.8015</v>
      </c>
      <c r="H25" s="290">
        <f t="shared" si="9"/>
        <v>1477.4423749999999</v>
      </c>
      <c r="I25" s="290">
        <f t="shared" si="9"/>
        <v>1443.0832499999999</v>
      </c>
      <c r="J25" s="272"/>
      <c r="K25" s="272"/>
      <c r="L25" s="272"/>
      <c r="M25" s="272"/>
      <c r="N25" s="272"/>
      <c r="O25" s="272"/>
      <c r="P25" s="272"/>
      <c r="Q25" s="272"/>
      <c r="R25" s="272"/>
      <c r="S25" s="272"/>
      <c r="T25" s="272"/>
      <c r="U25" s="272"/>
      <c r="V25" s="272"/>
      <c r="W25" s="272"/>
      <c r="X25" s="272"/>
      <c r="Y25" s="272"/>
      <c r="Z25" s="215"/>
      <c r="AA25" s="215"/>
      <c r="AB25" s="215"/>
      <c r="AC25" s="215"/>
      <c r="AD25" s="215"/>
      <c r="AI25" s="268">
        <v>3</v>
      </c>
      <c r="AJ25" s="292">
        <f>AJ24</f>
        <v>1997.5</v>
      </c>
      <c r="AK25" s="291">
        <f>E27</f>
        <v>1900.8713020833331</v>
      </c>
    </row>
    <row r="26" spans="1:37" x14ac:dyDescent="0.2">
      <c r="A26" s="276">
        <v>33</v>
      </c>
      <c r="B26" s="272" t="s">
        <v>496</v>
      </c>
      <c r="C26" s="290">
        <f t="shared" si="9"/>
        <v>1755.3031250000001</v>
      </c>
      <c r="D26" s="290">
        <f t="shared" si="9"/>
        <v>1755.3031250000001</v>
      </c>
      <c r="E26" s="290">
        <f t="shared" si="9"/>
        <v>1667.5379687499999</v>
      </c>
      <c r="F26" s="290">
        <f t="shared" si="9"/>
        <v>1597.3258437500001</v>
      </c>
      <c r="G26" s="290">
        <f t="shared" si="9"/>
        <v>1544.6667499999999</v>
      </c>
      <c r="H26" s="290">
        <f t="shared" si="9"/>
        <v>1509.5606875000001</v>
      </c>
      <c r="I26" s="290">
        <f t="shared" si="9"/>
        <v>1474.4546250000001</v>
      </c>
      <c r="J26" s="272"/>
      <c r="K26" s="272"/>
      <c r="L26" s="272"/>
      <c r="M26" s="272"/>
      <c r="N26" s="272"/>
      <c r="O26" s="272"/>
      <c r="P26" s="272"/>
      <c r="Q26" s="272"/>
      <c r="R26" s="272"/>
      <c r="S26" s="272"/>
      <c r="T26" s="272"/>
      <c r="U26" s="272"/>
      <c r="V26" s="272"/>
      <c r="W26" s="272"/>
      <c r="X26" s="272"/>
      <c r="Y26" s="272"/>
      <c r="Z26" s="215"/>
      <c r="AA26" s="215"/>
      <c r="AB26" s="215"/>
      <c r="AC26" s="215"/>
      <c r="AD26" s="215"/>
      <c r="AI26" s="268">
        <v>4</v>
      </c>
      <c r="AJ26" s="292">
        <f t="shared" ref="AJ26:AJ29" si="10">AJ25</f>
        <v>1997.5</v>
      </c>
      <c r="AK26" s="291">
        <f>F27</f>
        <v>1772.3258437500001</v>
      </c>
    </row>
    <row r="27" spans="1:37" x14ac:dyDescent="0.2">
      <c r="A27" s="276">
        <v>34</v>
      </c>
      <c r="B27" s="272" t="s">
        <v>495</v>
      </c>
      <c r="C27" s="215">
        <f>D27</f>
        <v>2105.3031250000004</v>
      </c>
      <c r="D27" s="290">
        <f t="shared" ref="D27:I29" si="11">(VLOOKUP($B27,FwyCapFactors,2,FALSE)*LEFT(D$22,1)*$C$86*VLOOKUP(D$22,FwyFleLookup,2,FALSE)*$C$87+VLOOKUP($B27,FwyCapFactors,3,FALSE))/LEFT(D$22,1)</f>
        <v>2105.3031250000004</v>
      </c>
      <c r="E27" s="290">
        <f t="shared" si="11"/>
        <v>1900.8713020833331</v>
      </c>
      <c r="F27" s="290">
        <f t="shared" si="11"/>
        <v>1772.3258437500001</v>
      </c>
      <c r="G27" s="290">
        <f>(VLOOKUP($B27,FwyCapFactors,2,FALSE)*LEFT(G$22,1)*$C$86*VLOOKUP(G$22,FwyFleLookup,2,FALSE)*$C$87+VLOOKUP($B27,FwyCapFactors,3,FALSE))/LEFT(G$22,1)</f>
        <v>1684.6667499999999</v>
      </c>
      <c r="H27" s="290">
        <f t="shared" si="11"/>
        <v>1626.2273541666666</v>
      </c>
      <c r="I27" s="290">
        <f t="shared" si="11"/>
        <v>1574.4546250000001</v>
      </c>
      <c r="J27" s="272"/>
      <c r="K27" s="272"/>
      <c r="L27" s="272"/>
      <c r="M27" s="272"/>
      <c r="N27" s="272"/>
      <c r="O27" s="272"/>
      <c r="P27" s="272"/>
      <c r="Q27" s="272"/>
      <c r="R27" s="272"/>
      <c r="S27" s="272"/>
      <c r="T27" s="272"/>
      <c r="U27" s="272"/>
      <c r="V27" s="272"/>
      <c r="W27" s="272"/>
      <c r="Z27" s="215"/>
      <c r="AA27" s="215"/>
      <c r="AB27" s="215"/>
      <c r="AI27" s="268">
        <v>5</v>
      </c>
      <c r="AJ27" s="292">
        <f t="shared" si="10"/>
        <v>1997.5</v>
      </c>
      <c r="AK27" s="291">
        <f>G27</f>
        <v>1684.6667499999999</v>
      </c>
    </row>
    <row r="28" spans="1:37" x14ac:dyDescent="0.2">
      <c r="A28" s="276">
        <v>35</v>
      </c>
      <c r="B28" s="272" t="s">
        <v>501</v>
      </c>
      <c r="C28" s="290">
        <f>(VLOOKUP($B28,FwyCapFactors,2,FALSE)*LEFT(C$22,1)*$C$86*VLOOKUP(C$22,FwyFleLookup,2,FALSE)*$C$87+VLOOKUP($B28,FwyCapFactors,3,FALSE))/LEFT(C$22,1)</f>
        <v>1792.65</v>
      </c>
      <c r="D28" s="290">
        <f t="shared" si="11"/>
        <v>1792.65</v>
      </c>
      <c r="E28" s="290">
        <f t="shared" si="11"/>
        <v>1703.0175000000002</v>
      </c>
      <c r="F28" s="290">
        <f t="shared" si="11"/>
        <v>1631.3115000000003</v>
      </c>
      <c r="G28" s="290">
        <f t="shared" si="11"/>
        <v>1577.5320000000002</v>
      </c>
      <c r="H28" s="290">
        <f t="shared" si="11"/>
        <v>1541.6790000000001</v>
      </c>
      <c r="I28" s="290">
        <f t="shared" si="11"/>
        <v>1505.8259999999998</v>
      </c>
      <c r="J28" s="272"/>
      <c r="K28" s="272"/>
      <c r="L28" s="272"/>
      <c r="M28" s="272"/>
      <c r="N28" s="272"/>
      <c r="O28" s="272"/>
      <c r="P28" s="272"/>
      <c r="Q28" s="272"/>
      <c r="R28" s="272"/>
      <c r="S28" s="272"/>
      <c r="T28" s="272"/>
      <c r="U28" s="272"/>
      <c r="V28" s="272"/>
      <c r="W28" s="272"/>
      <c r="Z28" s="215"/>
      <c r="AA28" s="215"/>
      <c r="AB28" s="215"/>
      <c r="AI28" s="268">
        <v>6</v>
      </c>
      <c r="AJ28" s="292">
        <f>AJ27</f>
        <v>1997.5</v>
      </c>
      <c r="AK28" s="291">
        <f>H27</f>
        <v>1626.2273541666666</v>
      </c>
    </row>
    <row r="29" spans="1:37" x14ac:dyDescent="0.2">
      <c r="A29" s="276">
        <v>36</v>
      </c>
      <c r="B29" s="272" t="s">
        <v>500</v>
      </c>
      <c r="C29" s="215">
        <f>D29</f>
        <v>2142.65</v>
      </c>
      <c r="D29" s="290">
        <f t="shared" si="11"/>
        <v>2142.65</v>
      </c>
      <c r="E29" s="290">
        <f t="shared" si="11"/>
        <v>1936.3508333333336</v>
      </c>
      <c r="F29" s="290">
        <f t="shared" si="11"/>
        <v>1806.3115000000003</v>
      </c>
      <c r="G29" s="290">
        <f t="shared" si="11"/>
        <v>1717.5319999999999</v>
      </c>
      <c r="H29" s="290">
        <f t="shared" si="11"/>
        <v>1658.3456666666668</v>
      </c>
      <c r="I29" s="290">
        <f t="shared" si="11"/>
        <v>1605.8259999999998</v>
      </c>
      <c r="J29" s="272"/>
      <c r="K29" s="272"/>
      <c r="L29" s="272"/>
      <c r="M29" s="272"/>
      <c r="N29" s="272"/>
      <c r="O29" s="272"/>
      <c r="P29" s="272"/>
      <c r="Q29" s="272"/>
      <c r="R29" s="272"/>
      <c r="S29" s="272"/>
      <c r="T29" s="272"/>
      <c r="U29" s="272"/>
      <c r="V29" s="272"/>
      <c r="W29" s="272"/>
      <c r="Z29" s="215"/>
      <c r="AA29" s="215"/>
      <c r="AB29" s="215"/>
      <c r="AI29" s="268">
        <v>7</v>
      </c>
      <c r="AJ29" s="292">
        <f t="shared" si="10"/>
        <v>1997.5</v>
      </c>
      <c r="AK29" s="291">
        <f>I27</f>
        <v>1574.4546250000001</v>
      </c>
    </row>
    <row r="30" spans="1:37" x14ac:dyDescent="0.2">
      <c r="A30" s="276">
        <v>37</v>
      </c>
      <c r="B30" s="272" t="s">
        <v>489</v>
      </c>
      <c r="C30" s="290">
        <f t="shared" ref="C30:I30" si="12">(VLOOKUP($B30,FwyCapFactors,2,FALSE)*LEFT(C$22,1)*$C$86*VLOOKUP(C$22,FwyFleLookup,2,FALSE)+VLOOKUP($B30,FwyCapFactors,3,FALSE))/LEFT(C$22,1)</f>
        <v>1938</v>
      </c>
      <c r="D30" s="290">
        <f t="shared" si="12"/>
        <v>1938</v>
      </c>
      <c r="E30" s="290">
        <f t="shared" si="12"/>
        <v>1841.1000000000001</v>
      </c>
      <c r="F30" s="290">
        <f t="shared" si="12"/>
        <v>1763.5800000000002</v>
      </c>
      <c r="G30" s="290">
        <f t="shared" si="12"/>
        <v>1705.44</v>
      </c>
      <c r="H30" s="290">
        <f t="shared" si="12"/>
        <v>1666.68</v>
      </c>
      <c r="I30" s="290">
        <f t="shared" si="12"/>
        <v>1627.9199999999998</v>
      </c>
      <c r="J30" s="272"/>
      <c r="K30" s="272"/>
      <c r="L30" s="272"/>
      <c r="M30" s="272"/>
      <c r="N30" s="272"/>
      <c r="O30" s="272"/>
      <c r="P30" s="272"/>
      <c r="Q30" s="272"/>
      <c r="R30" s="272"/>
      <c r="S30" s="272"/>
      <c r="T30" s="272"/>
      <c r="U30" s="272"/>
      <c r="V30" s="272"/>
    </row>
    <row r="31" spans="1:37" x14ac:dyDescent="0.2">
      <c r="A31" s="276">
        <v>38</v>
      </c>
      <c r="B31" s="272" t="s">
        <v>490</v>
      </c>
      <c r="C31" s="290">
        <f>C30</f>
        <v>1938</v>
      </c>
      <c r="D31" s="290">
        <f t="shared" ref="D31:I32" si="13">D30</f>
        <v>1938</v>
      </c>
      <c r="E31" s="290">
        <f t="shared" si="13"/>
        <v>1841.1000000000001</v>
      </c>
      <c r="F31" s="290">
        <f t="shared" si="13"/>
        <v>1763.5800000000002</v>
      </c>
      <c r="G31" s="290">
        <f t="shared" si="13"/>
        <v>1705.44</v>
      </c>
      <c r="H31" s="290">
        <f t="shared" si="13"/>
        <v>1666.68</v>
      </c>
      <c r="I31" s="290">
        <f t="shared" si="13"/>
        <v>1627.9199999999998</v>
      </c>
      <c r="J31" s="272"/>
      <c r="K31" s="272"/>
      <c r="L31" s="272"/>
      <c r="M31" s="272"/>
      <c r="N31" s="272"/>
      <c r="O31" s="272"/>
      <c r="P31" s="272"/>
      <c r="Q31" s="272"/>
      <c r="R31" s="272"/>
      <c r="S31" s="272"/>
      <c r="T31" s="272"/>
      <c r="U31" s="272"/>
      <c r="V31" s="272"/>
      <c r="AI31" s="270" t="s">
        <v>511</v>
      </c>
    </row>
    <row r="32" spans="1:37" x14ac:dyDescent="0.2">
      <c r="A32" s="276">
        <v>39</v>
      </c>
      <c r="B32" s="272" t="s">
        <v>488</v>
      </c>
      <c r="C32" s="290">
        <f>C31</f>
        <v>1938</v>
      </c>
      <c r="D32" s="290">
        <f t="shared" si="13"/>
        <v>1938</v>
      </c>
      <c r="E32" s="290">
        <f t="shared" si="13"/>
        <v>1841.1000000000001</v>
      </c>
      <c r="F32" s="290">
        <f t="shared" si="13"/>
        <v>1763.5800000000002</v>
      </c>
      <c r="G32" s="290">
        <f t="shared" si="13"/>
        <v>1705.44</v>
      </c>
      <c r="H32" s="290">
        <f t="shared" si="13"/>
        <v>1666.68</v>
      </c>
      <c r="I32" s="290">
        <f t="shared" si="13"/>
        <v>1627.9199999999998</v>
      </c>
      <c r="J32" s="272"/>
      <c r="K32" s="272"/>
      <c r="L32" s="272"/>
      <c r="M32" s="272"/>
      <c r="N32" s="272"/>
      <c r="O32" s="272"/>
      <c r="P32" s="272"/>
      <c r="Q32" s="272"/>
      <c r="R32" s="272"/>
      <c r="S32" s="272"/>
      <c r="T32" s="272"/>
      <c r="U32" s="272"/>
      <c r="V32" s="272"/>
      <c r="W32" s="293"/>
      <c r="AI32" s="268" t="s">
        <v>150</v>
      </c>
      <c r="AJ32" s="294" t="s">
        <v>324</v>
      </c>
      <c r="AK32" s="294" t="s">
        <v>325</v>
      </c>
    </row>
    <row r="33" spans="1:37" x14ac:dyDescent="0.2">
      <c r="A33" s="276">
        <v>40</v>
      </c>
      <c r="B33" s="272" t="s">
        <v>431</v>
      </c>
      <c r="C33" s="245">
        <v>1800</v>
      </c>
      <c r="D33" s="215">
        <f>D32/C32*C33</f>
        <v>1800</v>
      </c>
      <c r="E33" s="215">
        <f t="shared" ref="E33:I33" si="14">E32/D32*D33</f>
        <v>1710.0000000000002</v>
      </c>
      <c r="F33" s="215">
        <f t="shared" si="14"/>
        <v>1638.0000000000002</v>
      </c>
      <c r="G33" s="215">
        <f t="shared" si="14"/>
        <v>1584</v>
      </c>
      <c r="H33" s="215">
        <f t="shared" si="14"/>
        <v>1548</v>
      </c>
      <c r="I33" s="215">
        <f t="shared" si="14"/>
        <v>1511.9999999999998</v>
      </c>
      <c r="J33" s="272"/>
      <c r="K33" s="272"/>
      <c r="L33" s="272"/>
      <c r="M33" s="272"/>
      <c r="N33" s="272"/>
      <c r="O33" s="272"/>
      <c r="P33" s="272"/>
      <c r="Q33" s="272"/>
      <c r="R33" s="272"/>
      <c r="S33" s="272"/>
      <c r="T33" s="272"/>
      <c r="U33" s="272"/>
      <c r="V33" s="272"/>
      <c r="W33" s="293"/>
      <c r="AC33" s="295"/>
      <c r="AI33" s="268">
        <f t="shared" ref="AI33:AI38" si="15">AI24</f>
        <v>2</v>
      </c>
      <c r="AJ33" s="296">
        <f t="shared" ref="AJ33:AJ38" si="16">AI33*AJ24</f>
        <v>3995</v>
      </c>
      <c r="AK33" s="296">
        <f t="shared" ref="AK33:AK38" si="17">AK24*AI33</f>
        <v>4210.6062500000007</v>
      </c>
    </row>
    <row r="34" spans="1:37" x14ac:dyDescent="0.2">
      <c r="A34" s="276">
        <v>41</v>
      </c>
      <c r="B34" s="272" t="s">
        <v>428</v>
      </c>
      <c r="C34" s="245">
        <v>1200</v>
      </c>
      <c r="D34" s="245">
        <v>900</v>
      </c>
      <c r="E34" s="245">
        <v>600</v>
      </c>
      <c r="F34" s="215">
        <f>E34</f>
        <v>600</v>
      </c>
      <c r="G34" s="215">
        <f t="shared" ref="G34:I34" si="18">F34</f>
        <v>600</v>
      </c>
      <c r="H34" s="215">
        <f t="shared" si="18"/>
        <v>600</v>
      </c>
      <c r="I34" s="215">
        <f t="shared" si="18"/>
        <v>600</v>
      </c>
      <c r="J34" s="272"/>
      <c r="K34" s="272"/>
      <c r="L34" s="272"/>
      <c r="M34" s="272"/>
      <c r="N34" s="272"/>
      <c r="O34" s="272"/>
      <c r="P34" s="272"/>
      <c r="Q34" s="272"/>
      <c r="R34" s="272"/>
      <c r="S34" s="272"/>
      <c r="T34" s="272"/>
      <c r="U34" s="272"/>
      <c r="V34" s="272"/>
      <c r="W34" s="293"/>
      <c r="AC34" s="295"/>
      <c r="AI34" s="268">
        <f t="shared" si="15"/>
        <v>3</v>
      </c>
      <c r="AJ34" s="296">
        <f t="shared" si="16"/>
        <v>5992.5</v>
      </c>
      <c r="AK34" s="296">
        <f t="shared" si="17"/>
        <v>5702.6139062499997</v>
      </c>
    </row>
    <row r="35" spans="1:37" x14ac:dyDescent="0.2">
      <c r="A35" s="276">
        <v>42</v>
      </c>
      <c r="B35" s="272" t="s">
        <v>429</v>
      </c>
      <c r="C35" s="215">
        <f>C9*1.1</f>
        <v>924.14783999999997</v>
      </c>
      <c r="D35" s="215">
        <f>D9*1.1</f>
        <v>886.89902400000005</v>
      </c>
      <c r="E35" s="215">
        <f>E9*1.1</f>
        <v>849.55590719999998</v>
      </c>
      <c r="F35" s="215">
        <f t="shared" ref="F35:I35" si="19">F9*1.1</f>
        <v>829.84703999999999</v>
      </c>
      <c r="G35" s="215">
        <f t="shared" si="19"/>
        <v>810.59539926739933</v>
      </c>
      <c r="H35" s="215">
        <f t="shared" si="19"/>
        <v>791.79037779477346</v>
      </c>
      <c r="I35" s="215">
        <f t="shared" si="19"/>
        <v>773.42161445154932</v>
      </c>
      <c r="J35" s="272"/>
      <c r="K35" s="272"/>
      <c r="L35" s="272"/>
      <c r="M35" s="272"/>
      <c r="N35" s="272"/>
      <c r="O35" s="272"/>
      <c r="P35" s="272"/>
      <c r="Q35" s="272"/>
      <c r="R35" s="272"/>
      <c r="S35" s="272"/>
      <c r="T35" s="272"/>
      <c r="U35" s="272"/>
      <c r="V35" s="272"/>
      <c r="W35" s="293"/>
      <c r="AC35" s="295"/>
      <c r="AI35" s="268">
        <f t="shared" si="15"/>
        <v>4</v>
      </c>
      <c r="AJ35" s="296">
        <f t="shared" si="16"/>
        <v>7990</v>
      </c>
      <c r="AK35" s="296">
        <f t="shared" si="17"/>
        <v>7089.3033750000004</v>
      </c>
    </row>
    <row r="36" spans="1:37" x14ac:dyDescent="0.2">
      <c r="A36" s="276"/>
      <c r="B36" s="272"/>
      <c r="C36" s="215"/>
      <c r="D36" s="215"/>
      <c r="E36" s="215"/>
      <c r="F36" s="215"/>
      <c r="G36" s="215"/>
      <c r="H36" s="215"/>
      <c r="I36" s="215"/>
      <c r="J36" s="272"/>
      <c r="K36" s="272"/>
      <c r="L36" s="272"/>
      <c r="M36" s="272"/>
      <c r="N36" s="272"/>
      <c r="O36" s="272"/>
      <c r="P36" s="272"/>
      <c r="Q36" s="272"/>
      <c r="R36" s="272"/>
      <c r="S36" s="272"/>
      <c r="T36" s="272"/>
      <c r="U36" s="272"/>
      <c r="V36" s="272"/>
      <c r="W36" s="293"/>
      <c r="AC36" s="295"/>
      <c r="AI36" s="268">
        <f t="shared" si="15"/>
        <v>5</v>
      </c>
      <c r="AJ36" s="296">
        <f t="shared" si="16"/>
        <v>9987.5</v>
      </c>
      <c r="AK36" s="296">
        <f t="shared" si="17"/>
        <v>8423.3337499999998</v>
      </c>
    </row>
    <row r="37" spans="1:37" ht="15" x14ac:dyDescent="0.2">
      <c r="A37" s="276"/>
      <c r="B37" s="297" t="s">
        <v>435</v>
      </c>
      <c r="C37" s="272"/>
      <c r="D37" s="276"/>
      <c r="E37" s="272"/>
      <c r="F37" s="272"/>
      <c r="G37" s="289"/>
      <c r="H37" s="272"/>
      <c r="I37" s="272"/>
      <c r="J37" s="272"/>
      <c r="K37" s="272"/>
      <c r="L37" s="272"/>
      <c r="M37" s="272"/>
      <c r="N37" s="272"/>
      <c r="O37" s="272"/>
      <c r="P37" s="272"/>
      <c r="Q37" s="272"/>
      <c r="R37" s="272"/>
      <c r="S37" s="272"/>
      <c r="T37" s="272"/>
      <c r="U37" s="272"/>
      <c r="V37" s="272"/>
      <c r="W37" s="272"/>
      <c r="AI37" s="268">
        <f t="shared" si="15"/>
        <v>6</v>
      </c>
      <c r="AJ37" s="296">
        <f t="shared" si="16"/>
        <v>11985</v>
      </c>
      <c r="AK37" s="296">
        <f t="shared" si="17"/>
        <v>9757.3641250000001</v>
      </c>
    </row>
    <row r="38" spans="1:37" x14ac:dyDescent="0.2">
      <c r="B38" s="298" t="s">
        <v>502</v>
      </c>
      <c r="C38" s="298"/>
      <c r="D38" s="298"/>
      <c r="E38" s="298"/>
      <c r="F38" s="298"/>
      <c r="G38" s="299"/>
      <c r="H38" s="299"/>
      <c r="I38" s="299"/>
      <c r="J38" s="299"/>
      <c r="K38" s="299"/>
      <c r="L38" s="299"/>
      <c r="M38" s="299"/>
      <c r="N38" s="299"/>
      <c r="O38" s="299"/>
      <c r="P38" s="299"/>
      <c r="Q38" s="299"/>
      <c r="R38" s="299"/>
      <c r="S38" s="299"/>
      <c r="T38" s="299"/>
      <c r="U38" s="299"/>
      <c r="V38" s="299"/>
      <c r="W38" s="299"/>
      <c r="AI38" s="268">
        <f t="shared" si="15"/>
        <v>7</v>
      </c>
      <c r="AJ38" s="296">
        <f t="shared" si="16"/>
        <v>13982.5</v>
      </c>
      <c r="AK38" s="296">
        <f t="shared" si="17"/>
        <v>11021.182375</v>
      </c>
    </row>
    <row r="39" spans="1:37" x14ac:dyDescent="0.2">
      <c r="B39" s="298" t="s">
        <v>493</v>
      </c>
      <c r="C39" s="298"/>
      <c r="D39" s="298"/>
      <c r="E39" s="298"/>
      <c r="F39" s="298"/>
      <c r="G39" s="299"/>
      <c r="H39" s="299"/>
      <c r="I39" s="299"/>
      <c r="J39" s="299"/>
      <c r="K39" s="299"/>
      <c r="L39" s="299"/>
      <c r="M39" s="299"/>
      <c r="N39" s="299"/>
      <c r="O39" s="299"/>
      <c r="P39" s="299"/>
      <c r="Q39" s="299"/>
      <c r="R39" s="299"/>
      <c r="S39" s="299"/>
      <c r="T39" s="299"/>
      <c r="U39" s="299"/>
      <c r="V39" s="299"/>
      <c r="W39" s="299"/>
    </row>
    <row r="40" spans="1:37" ht="15" x14ac:dyDescent="0.2">
      <c r="B40" s="297" t="s">
        <v>468</v>
      </c>
      <c r="H40" s="294"/>
      <c r="I40" s="294"/>
      <c r="AE40" s="296"/>
      <c r="AF40" s="296"/>
      <c r="AI40" s="270" t="s">
        <v>512</v>
      </c>
    </row>
    <row r="41" spans="1:37" x14ac:dyDescent="0.2">
      <c r="B41" s="300" t="s">
        <v>260</v>
      </c>
      <c r="H41" s="294"/>
      <c r="I41" s="294"/>
      <c r="AI41" s="268" t="s">
        <v>150</v>
      </c>
      <c r="AJ41" s="294" t="s">
        <v>324</v>
      </c>
      <c r="AK41" s="294" t="s">
        <v>325</v>
      </c>
    </row>
    <row r="42" spans="1:37" x14ac:dyDescent="0.2">
      <c r="B42" s="300"/>
      <c r="H42" s="294"/>
      <c r="I42" s="294"/>
      <c r="AI42" s="268">
        <f t="shared" ref="AI42:AI47" si="20">AI33</f>
        <v>2</v>
      </c>
      <c r="AJ42" s="296">
        <f t="shared" ref="AJ42:AK47" si="21">MROUND(AJ33/$AI$3*2, 1000)</f>
        <v>89000</v>
      </c>
      <c r="AK42" s="296">
        <f t="shared" si="21"/>
        <v>94000</v>
      </c>
    </row>
    <row r="43" spans="1:37" x14ac:dyDescent="0.2">
      <c r="C43" s="281" t="s">
        <v>461</v>
      </c>
      <c r="D43" s="281" t="s">
        <v>228</v>
      </c>
      <c r="E43" s="282" t="s">
        <v>463</v>
      </c>
      <c r="F43" s="279"/>
      <c r="G43" s="294"/>
      <c r="H43" s="294"/>
      <c r="AI43" s="268">
        <f t="shared" si="20"/>
        <v>3</v>
      </c>
      <c r="AJ43" s="296">
        <f t="shared" si="21"/>
        <v>133000</v>
      </c>
      <c r="AK43" s="296">
        <f t="shared" si="21"/>
        <v>127000</v>
      </c>
    </row>
    <row r="44" spans="1:37" x14ac:dyDescent="0.2">
      <c r="B44" s="300" t="s">
        <v>454</v>
      </c>
      <c r="C44" s="301">
        <v>1900</v>
      </c>
      <c r="D44" s="302">
        <v>0.96</v>
      </c>
      <c r="E44" s="302">
        <v>0.52</v>
      </c>
      <c r="F44" s="279"/>
      <c r="G44" s="294"/>
      <c r="H44" s="294"/>
      <c r="AI44" s="268">
        <f t="shared" si="20"/>
        <v>4</v>
      </c>
      <c r="AJ44" s="296">
        <f t="shared" si="21"/>
        <v>178000</v>
      </c>
      <c r="AK44" s="296">
        <f t="shared" si="21"/>
        <v>158000</v>
      </c>
    </row>
    <row r="45" spans="1:37" x14ac:dyDescent="0.2">
      <c r="B45" s="300" t="s">
        <v>408</v>
      </c>
      <c r="C45" s="301">
        <v>1900</v>
      </c>
      <c r="D45" s="302">
        <v>0.96</v>
      </c>
      <c r="E45" s="302">
        <v>0.47</v>
      </c>
      <c r="F45" s="279"/>
      <c r="G45" s="294"/>
      <c r="H45" s="294"/>
      <c r="AI45" s="268">
        <f t="shared" si="20"/>
        <v>5</v>
      </c>
      <c r="AJ45" s="296">
        <f t="shared" si="21"/>
        <v>222000</v>
      </c>
      <c r="AK45" s="296">
        <f t="shared" si="21"/>
        <v>187000</v>
      </c>
    </row>
    <row r="46" spans="1:37" x14ac:dyDescent="0.2">
      <c r="B46" s="300" t="s">
        <v>420</v>
      </c>
      <c r="C46" s="301">
        <v>1700</v>
      </c>
      <c r="D46" s="302">
        <v>0.98</v>
      </c>
      <c r="E46" s="302">
        <v>0.4</v>
      </c>
      <c r="F46" s="279"/>
      <c r="G46" s="294"/>
      <c r="H46" s="294"/>
      <c r="AI46" s="268">
        <f t="shared" si="20"/>
        <v>6</v>
      </c>
      <c r="AJ46" s="296">
        <f t="shared" si="21"/>
        <v>266000</v>
      </c>
      <c r="AK46" s="296">
        <f t="shared" si="21"/>
        <v>217000</v>
      </c>
    </row>
    <row r="47" spans="1:37" x14ac:dyDescent="0.2">
      <c r="B47" s="300" t="s">
        <v>421</v>
      </c>
      <c r="C47" s="301">
        <v>1500</v>
      </c>
      <c r="D47" s="302">
        <v>0.98</v>
      </c>
      <c r="E47" s="302">
        <v>0.35</v>
      </c>
      <c r="F47" s="279"/>
      <c r="G47" s="294"/>
      <c r="H47" s="294"/>
      <c r="AI47" s="268">
        <f t="shared" si="20"/>
        <v>7</v>
      </c>
      <c r="AJ47" s="296">
        <f t="shared" si="21"/>
        <v>311000</v>
      </c>
      <c r="AK47" s="296">
        <f t="shared" si="21"/>
        <v>245000</v>
      </c>
    </row>
    <row r="48" spans="1:37" x14ac:dyDescent="0.2">
      <c r="B48" s="300"/>
      <c r="C48" s="278"/>
      <c r="D48" s="303"/>
      <c r="E48" s="303"/>
      <c r="F48" s="279"/>
      <c r="G48" s="294"/>
      <c r="H48" s="294"/>
    </row>
    <row r="49" spans="2:23" x14ac:dyDescent="0.2">
      <c r="B49" s="300" t="str">
        <f>'SFF 8.3'!B15</f>
        <v>Expressway, posted 60-70 mph</v>
      </c>
      <c r="C49" s="301">
        <v>1900</v>
      </c>
      <c r="D49" s="302">
        <v>0.96</v>
      </c>
      <c r="E49" s="302">
        <v>0.57999999999999996</v>
      </c>
      <c r="F49" s="279"/>
      <c r="G49" s="294"/>
      <c r="H49" s="294"/>
    </row>
    <row r="50" spans="2:23" x14ac:dyDescent="0.2">
      <c r="B50" s="300" t="str">
        <f>'SFF 8.3'!B16</f>
        <v>Expressway, posted 55-65 mph</v>
      </c>
      <c r="C50" s="301">
        <v>1900</v>
      </c>
      <c r="D50" s="302">
        <v>0.96</v>
      </c>
      <c r="E50" s="302">
        <v>0.56000000000000005</v>
      </c>
      <c r="F50" s="279"/>
      <c r="G50" s="294"/>
      <c r="H50" s="294"/>
    </row>
    <row r="51" spans="2:23" x14ac:dyDescent="0.2">
      <c r="B51" s="300" t="str">
        <f>'SFF 8.3'!B17</f>
        <v>Expressway, posted 50-60 mph</v>
      </c>
      <c r="C51" s="301">
        <v>1900</v>
      </c>
      <c r="D51" s="302">
        <v>0.96</v>
      </c>
      <c r="E51" s="302">
        <v>0.54</v>
      </c>
      <c r="F51" s="279"/>
      <c r="G51" s="294"/>
      <c r="H51" s="294"/>
    </row>
    <row r="52" spans="2:23" x14ac:dyDescent="0.2">
      <c r="B52" s="300" t="str">
        <f>'SFF 8.3'!B18</f>
        <v>Expressway, posted 45-55 mph</v>
      </c>
      <c r="C52" s="301">
        <v>1900</v>
      </c>
      <c r="D52" s="302">
        <v>0.96</v>
      </c>
      <c r="E52" s="302">
        <v>0.52</v>
      </c>
      <c r="F52" s="279"/>
      <c r="G52" s="294"/>
      <c r="H52" s="294"/>
    </row>
    <row r="53" spans="2:23" x14ac:dyDescent="0.2">
      <c r="B53" s="300"/>
      <c r="C53" s="278"/>
      <c r="D53" s="303"/>
      <c r="E53" s="303"/>
      <c r="F53" s="303"/>
      <c r="H53" s="294"/>
      <c r="I53" s="294"/>
    </row>
    <row r="54" spans="2:23" x14ac:dyDescent="0.2">
      <c r="B54" s="281" t="s">
        <v>486</v>
      </c>
      <c r="C54" s="214" t="s">
        <v>464</v>
      </c>
      <c r="D54" s="304" t="s">
        <v>465</v>
      </c>
      <c r="E54" s="304" t="s">
        <v>466</v>
      </c>
      <c r="F54" s="304" t="s">
        <v>470</v>
      </c>
      <c r="H54" s="294"/>
      <c r="I54" s="294"/>
    </row>
    <row r="55" spans="2:23" x14ac:dyDescent="0.2">
      <c r="B55" s="300" t="s">
        <v>484</v>
      </c>
      <c r="C55" s="302">
        <v>0.98</v>
      </c>
      <c r="D55" s="302">
        <v>0.99</v>
      </c>
      <c r="E55" s="302">
        <v>0.99</v>
      </c>
      <c r="F55" s="302">
        <v>1</v>
      </c>
      <c r="H55" s="294"/>
      <c r="I55" s="294"/>
    </row>
    <row r="56" spans="2:23" x14ac:dyDescent="0.2">
      <c r="B56" s="300" t="s">
        <v>485</v>
      </c>
      <c r="C56" s="302">
        <v>1</v>
      </c>
      <c r="D56" s="302">
        <v>1</v>
      </c>
      <c r="E56" s="302">
        <v>1</v>
      </c>
      <c r="F56" s="302">
        <v>1</v>
      </c>
      <c r="H56" s="294"/>
      <c r="I56" s="294"/>
    </row>
    <row r="57" spans="2:23" x14ac:dyDescent="0.2">
      <c r="B57" s="300" t="s">
        <v>487</v>
      </c>
      <c r="C57" s="302">
        <v>1</v>
      </c>
      <c r="D57" s="302">
        <v>1</v>
      </c>
      <c r="E57" s="302">
        <v>1</v>
      </c>
      <c r="F57" s="302">
        <v>1</v>
      </c>
      <c r="H57" s="294"/>
      <c r="I57" s="294"/>
    </row>
    <row r="58" spans="2:23" x14ac:dyDescent="0.2">
      <c r="B58" s="300"/>
      <c r="C58" s="278"/>
      <c r="D58" s="303"/>
      <c r="E58" s="303"/>
      <c r="F58" s="303"/>
      <c r="H58" s="294"/>
      <c r="I58" s="294"/>
    </row>
    <row r="59" spans="2:23" x14ac:dyDescent="0.2">
      <c r="B59" s="281" t="s">
        <v>462</v>
      </c>
      <c r="C59" s="214" t="s">
        <v>464</v>
      </c>
      <c r="D59" s="304" t="s">
        <v>465</v>
      </c>
      <c r="E59" s="304" t="s">
        <v>466</v>
      </c>
      <c r="F59" s="304" t="s">
        <v>470</v>
      </c>
      <c r="H59" s="294"/>
      <c r="I59" s="294"/>
    </row>
    <row r="60" spans="2:23" x14ac:dyDescent="0.2">
      <c r="B60" s="300" t="s">
        <v>484</v>
      </c>
      <c r="C60" s="302">
        <v>1</v>
      </c>
      <c r="D60" s="302">
        <v>0.95</v>
      </c>
      <c r="E60" s="302">
        <v>0.91</v>
      </c>
      <c r="F60" s="302">
        <v>0.88</v>
      </c>
      <c r="H60" s="294"/>
      <c r="I60" s="294"/>
    </row>
    <row r="61" spans="2:23" x14ac:dyDescent="0.2">
      <c r="B61" s="300" t="s">
        <v>485</v>
      </c>
      <c r="C61" s="302">
        <v>1</v>
      </c>
      <c r="D61" s="302">
        <v>0.95</v>
      </c>
      <c r="E61" s="302">
        <v>0.91</v>
      </c>
      <c r="F61" s="302">
        <v>0.88</v>
      </c>
      <c r="H61" s="294"/>
      <c r="I61" s="294"/>
    </row>
    <row r="62" spans="2:23" x14ac:dyDescent="0.2">
      <c r="B62" s="300" t="s">
        <v>487</v>
      </c>
      <c r="C62" s="302">
        <v>1</v>
      </c>
      <c r="D62" s="302">
        <v>0.96</v>
      </c>
      <c r="E62" s="302">
        <v>0.93</v>
      </c>
      <c r="F62" s="302">
        <v>0.91</v>
      </c>
      <c r="H62" s="294"/>
      <c r="I62" s="294"/>
    </row>
    <row r="63" spans="2:23" x14ac:dyDescent="0.2">
      <c r="B63" s="300"/>
      <c r="C63" s="278"/>
      <c r="D63" s="303"/>
      <c r="E63" s="303"/>
      <c r="F63" s="303"/>
      <c r="H63" s="294"/>
      <c r="I63" s="294"/>
    </row>
    <row r="64" spans="2:23" x14ac:dyDescent="0.2">
      <c r="B64" s="272"/>
      <c r="C64" s="281">
        <v>1</v>
      </c>
      <c r="D64" s="281">
        <v>2</v>
      </c>
      <c r="E64" s="281">
        <v>3</v>
      </c>
      <c r="F64" s="281">
        <v>4</v>
      </c>
      <c r="G64" s="282">
        <v>5</v>
      </c>
      <c r="H64" s="272"/>
      <c r="I64" s="272"/>
      <c r="J64" s="272"/>
      <c r="K64" s="272"/>
      <c r="L64" s="272"/>
      <c r="M64" s="272"/>
      <c r="N64" s="272"/>
      <c r="O64" s="272"/>
      <c r="P64" s="272"/>
      <c r="Q64" s="272"/>
      <c r="R64" s="272"/>
      <c r="S64" s="272"/>
      <c r="T64" s="272"/>
      <c r="U64" s="272"/>
      <c r="V64" s="272"/>
      <c r="W64" s="272"/>
    </row>
    <row r="65" spans="1:23" x14ac:dyDescent="0.2">
      <c r="C65" s="281" t="s">
        <v>261</v>
      </c>
      <c r="D65" s="281" t="s">
        <v>161</v>
      </c>
      <c r="E65" s="281" t="s">
        <v>4</v>
      </c>
      <c r="F65" s="281" t="s">
        <v>3</v>
      </c>
      <c r="G65" s="282" t="s">
        <v>160</v>
      </c>
      <c r="H65" s="272"/>
      <c r="I65" s="272"/>
      <c r="J65" s="272"/>
      <c r="K65" s="272"/>
      <c r="L65" s="272"/>
      <c r="M65" s="272"/>
      <c r="N65" s="272"/>
      <c r="O65" s="272"/>
      <c r="P65" s="272"/>
      <c r="Q65" s="272"/>
      <c r="R65" s="272"/>
      <c r="S65" s="272"/>
      <c r="T65" s="272"/>
      <c r="U65" s="272"/>
      <c r="V65" s="272"/>
      <c r="W65" s="272"/>
    </row>
    <row r="66" spans="1:23" x14ac:dyDescent="0.2">
      <c r="B66" s="298" t="s">
        <v>453</v>
      </c>
      <c r="C66" s="302">
        <v>1.1000000000000001</v>
      </c>
      <c r="D66" s="305">
        <v>1.05</v>
      </c>
      <c r="E66" s="302">
        <v>1</v>
      </c>
      <c r="F66" s="302">
        <v>0.95</v>
      </c>
      <c r="G66" s="302">
        <v>0.9</v>
      </c>
      <c r="H66" s="272"/>
      <c r="I66" s="272"/>
      <c r="J66" s="272"/>
      <c r="K66" s="272"/>
      <c r="L66" s="272"/>
      <c r="M66" s="272"/>
      <c r="N66" s="272"/>
      <c r="O66" s="272"/>
      <c r="P66" s="272"/>
      <c r="Q66" s="272"/>
      <c r="R66" s="272"/>
      <c r="S66" s="272"/>
      <c r="T66" s="272"/>
      <c r="U66" s="272"/>
      <c r="V66" s="272"/>
      <c r="W66" s="272"/>
    </row>
    <row r="67" spans="1:23" x14ac:dyDescent="0.2">
      <c r="H67" s="294"/>
      <c r="I67" s="294"/>
    </row>
    <row r="68" spans="1:23" x14ac:dyDescent="0.2">
      <c r="H68" s="294"/>
      <c r="I68" s="294"/>
    </row>
    <row r="69" spans="1:23" ht="15" x14ac:dyDescent="0.2">
      <c r="B69" s="297" t="s">
        <v>469</v>
      </c>
    </row>
    <row r="70" spans="1:23" x14ac:dyDescent="0.2">
      <c r="A70" s="276"/>
      <c r="B70" s="298" t="s">
        <v>285</v>
      </c>
      <c r="C70" s="272"/>
      <c r="D70" s="276"/>
      <c r="E70" s="272"/>
      <c r="F70" s="306"/>
      <c r="G70" s="289"/>
      <c r="H70" s="272"/>
      <c r="I70" s="272"/>
      <c r="J70" s="272"/>
      <c r="K70" s="272"/>
      <c r="L70" s="272"/>
      <c r="M70" s="272"/>
      <c r="N70" s="272"/>
      <c r="O70" s="272"/>
      <c r="P70" s="272"/>
      <c r="Q70" s="272"/>
      <c r="R70" s="272"/>
      <c r="S70" s="272"/>
      <c r="T70" s="272"/>
      <c r="U70" s="272"/>
      <c r="V70" s="272"/>
      <c r="W70" s="272"/>
    </row>
    <row r="71" spans="1:23" x14ac:dyDescent="0.2">
      <c r="A71" s="276"/>
      <c r="B71" s="298" t="s">
        <v>286</v>
      </c>
      <c r="C71" s="272"/>
      <c r="D71" s="276"/>
      <c r="E71" s="272"/>
      <c r="F71" s="272"/>
      <c r="G71" s="289"/>
      <c r="H71" s="276" t="s">
        <v>534</v>
      </c>
      <c r="I71" s="272"/>
      <c r="J71" s="272"/>
      <c r="K71" s="272"/>
      <c r="L71" s="272"/>
      <c r="M71" s="272"/>
      <c r="N71" s="272"/>
      <c r="O71" s="272"/>
      <c r="P71" s="272"/>
      <c r="Q71" s="272"/>
      <c r="R71" s="272"/>
      <c r="S71" s="272"/>
      <c r="T71" s="272"/>
      <c r="U71" s="272"/>
      <c r="V71" s="272"/>
      <c r="W71" s="272"/>
    </row>
    <row r="72" spans="1:23" ht="13.9" customHeight="1" x14ac:dyDescent="0.2">
      <c r="A72" s="276"/>
      <c r="B72" s="298"/>
      <c r="C72" s="272"/>
      <c r="D72" s="276"/>
      <c r="E72" s="272"/>
      <c r="F72" s="272"/>
      <c r="G72" s="289"/>
      <c r="H72" s="313">
        <v>0.85</v>
      </c>
      <c r="I72" s="272"/>
      <c r="J72" s="272"/>
      <c r="K72" s="272"/>
      <c r="L72" s="272"/>
      <c r="M72" s="272"/>
      <c r="N72" s="272"/>
      <c r="O72" s="272"/>
      <c r="P72" s="272"/>
      <c r="Q72" s="272"/>
      <c r="R72" s="272"/>
      <c r="S72" s="272"/>
      <c r="T72" s="272"/>
      <c r="U72" s="272"/>
      <c r="V72" s="272"/>
      <c r="W72" s="272"/>
    </row>
    <row r="73" spans="1:23" ht="13.9" customHeight="1" x14ac:dyDescent="0.2">
      <c r="A73" s="276"/>
      <c r="B73" s="298"/>
      <c r="C73" s="281" t="s">
        <v>297</v>
      </c>
      <c r="D73" s="281" t="s">
        <v>274</v>
      </c>
      <c r="E73" s="272"/>
      <c r="F73" s="272"/>
      <c r="G73" s="282" t="s">
        <v>273</v>
      </c>
      <c r="H73" s="314" t="s">
        <v>533</v>
      </c>
      <c r="I73" s="272"/>
      <c r="J73" s="272"/>
      <c r="K73" s="272"/>
      <c r="L73" s="272"/>
      <c r="M73" s="272"/>
      <c r="N73" s="272"/>
      <c r="O73" s="272"/>
      <c r="P73" s="272"/>
      <c r="Q73" s="272"/>
      <c r="R73" s="272"/>
      <c r="S73" s="272"/>
      <c r="T73" s="272"/>
      <c r="U73" s="272"/>
      <c r="V73" s="272"/>
      <c r="W73" s="272"/>
    </row>
    <row r="74" spans="1:23" ht="13.9" customHeight="1" x14ac:dyDescent="0.2">
      <c r="A74" s="276"/>
      <c r="B74" s="272" t="str">
        <f t="shared" ref="B74:B81" si="22">B23</f>
        <v>Fwy: fwy-to-fwy loop ramp</v>
      </c>
      <c r="C74" s="286">
        <f>H74*$H$72</f>
        <v>1530</v>
      </c>
      <c r="D74" s="301">
        <v>0</v>
      </c>
      <c r="E74" s="272"/>
      <c r="F74" s="272" t="s">
        <v>464</v>
      </c>
      <c r="G74" s="302">
        <v>1</v>
      </c>
      <c r="H74" s="315">
        <v>1800</v>
      </c>
      <c r="I74" s="272"/>
      <c r="J74" s="272"/>
      <c r="K74" s="272"/>
      <c r="L74" s="272"/>
      <c r="M74" s="272"/>
      <c r="N74" s="272"/>
      <c r="O74" s="272"/>
      <c r="P74" s="272"/>
      <c r="Q74" s="272"/>
      <c r="R74" s="272"/>
      <c r="S74" s="272"/>
      <c r="T74" s="272"/>
      <c r="U74" s="272"/>
      <c r="V74" s="272"/>
      <c r="W74" s="272"/>
    </row>
    <row r="75" spans="1:23" ht="13.9" customHeight="1" x14ac:dyDescent="0.2">
      <c r="A75" s="276"/>
      <c r="B75" s="272" t="str">
        <f t="shared" si="22"/>
        <v>Fwy: C-D road, flyover ramp</v>
      </c>
      <c r="C75" s="286">
        <f t="shared" ref="C75:C84" si="23">H75*$H$72</f>
        <v>1700</v>
      </c>
      <c r="D75" s="301">
        <v>0</v>
      </c>
      <c r="E75" s="272"/>
      <c r="F75" s="272" t="s">
        <v>465</v>
      </c>
      <c r="G75" s="302">
        <v>1</v>
      </c>
      <c r="H75" s="315">
        <v>2000</v>
      </c>
      <c r="I75" s="272"/>
      <c r="J75" s="272"/>
      <c r="K75" s="272"/>
      <c r="L75" s="272"/>
      <c r="M75" s="272"/>
      <c r="N75" s="272"/>
      <c r="O75" s="272"/>
      <c r="P75" s="272"/>
      <c r="Q75" s="272"/>
      <c r="R75" s="272"/>
      <c r="S75" s="272"/>
      <c r="T75" s="272"/>
      <c r="U75" s="272"/>
      <c r="V75" s="272"/>
      <c r="W75" s="272"/>
    </row>
    <row r="76" spans="1:23" ht="13.9" customHeight="1" x14ac:dyDescent="0.2">
      <c r="A76" s="276"/>
      <c r="B76" s="272" t="str">
        <f t="shared" si="22"/>
        <v>Fwy: posted 55-60 mph</v>
      </c>
      <c r="C76" s="286">
        <f t="shared" si="23"/>
        <v>1955</v>
      </c>
      <c r="D76" s="301">
        <v>0</v>
      </c>
      <c r="E76" s="272"/>
      <c r="F76" s="272" t="s">
        <v>466</v>
      </c>
      <c r="G76" s="302">
        <v>0.95</v>
      </c>
      <c r="H76" s="315">
        <v>2300</v>
      </c>
      <c r="I76" s="272"/>
      <c r="J76" s="272"/>
      <c r="K76" s="272"/>
      <c r="L76" s="272"/>
      <c r="M76" s="272"/>
      <c r="N76" s="272"/>
      <c r="O76" s="272"/>
      <c r="P76" s="272"/>
      <c r="Q76" s="272"/>
      <c r="R76" s="272"/>
      <c r="S76" s="272"/>
      <c r="T76" s="272"/>
      <c r="U76" s="272"/>
      <c r="V76" s="272"/>
      <c r="W76" s="272"/>
    </row>
    <row r="77" spans="1:23" ht="13.9" customHeight="1" x14ac:dyDescent="0.2">
      <c r="A77" s="276"/>
      <c r="B77" s="272" t="str">
        <f t="shared" si="22"/>
        <v>Fwy: posted 65 mph, no aux lane</v>
      </c>
      <c r="C77" s="286">
        <f t="shared" si="23"/>
        <v>1997.5</v>
      </c>
      <c r="D77" s="301">
        <v>0</v>
      </c>
      <c r="E77" s="272"/>
      <c r="F77" s="272" t="s">
        <v>470</v>
      </c>
      <c r="G77" s="302">
        <v>0.91</v>
      </c>
      <c r="H77" s="315">
        <v>2350</v>
      </c>
      <c r="I77" s="272"/>
      <c r="J77" s="272"/>
      <c r="K77" s="272"/>
      <c r="L77" s="272"/>
      <c r="M77" s="272"/>
      <c r="N77" s="272"/>
      <c r="O77" s="272"/>
      <c r="P77" s="272"/>
      <c r="Q77" s="272"/>
      <c r="R77" s="272"/>
      <c r="S77" s="272"/>
      <c r="T77" s="272"/>
      <c r="U77" s="272"/>
      <c r="V77" s="272"/>
      <c r="W77" s="272"/>
    </row>
    <row r="78" spans="1:23" ht="13.9" customHeight="1" x14ac:dyDescent="0.2">
      <c r="A78" s="276"/>
      <c r="B78" s="272" t="str">
        <f t="shared" si="22"/>
        <v>Fwy: posted 65 mph, aux lane</v>
      </c>
      <c r="C78" s="286">
        <f t="shared" si="23"/>
        <v>1997.5</v>
      </c>
      <c r="D78" s="301">
        <v>700</v>
      </c>
      <c r="E78" s="272"/>
      <c r="F78" s="272" t="s">
        <v>471</v>
      </c>
      <c r="G78" s="302">
        <v>0.88</v>
      </c>
      <c r="H78" s="315">
        <v>2350</v>
      </c>
      <c r="I78" s="272"/>
      <c r="J78" s="272"/>
      <c r="K78" s="272"/>
      <c r="L78" s="272"/>
      <c r="M78" s="272"/>
      <c r="N78" s="272"/>
      <c r="O78" s="272"/>
      <c r="P78" s="272"/>
      <c r="Q78" s="272"/>
      <c r="R78" s="272"/>
      <c r="S78" s="272"/>
      <c r="T78" s="272"/>
      <c r="U78" s="272"/>
      <c r="V78" s="272"/>
      <c r="W78" s="272"/>
    </row>
    <row r="79" spans="1:23" ht="13.9" customHeight="1" x14ac:dyDescent="0.2">
      <c r="A79" s="276"/>
      <c r="B79" s="272" t="str">
        <f t="shared" si="22"/>
        <v>Fwy: posted 75 mph, no aux lane</v>
      </c>
      <c r="C79" s="286">
        <f t="shared" si="23"/>
        <v>2040</v>
      </c>
      <c r="D79" s="301">
        <v>0</v>
      </c>
      <c r="E79" s="272"/>
      <c r="F79" s="272" t="s">
        <v>472</v>
      </c>
      <c r="G79" s="302">
        <v>0.86</v>
      </c>
      <c r="H79" s="315">
        <v>2400</v>
      </c>
      <c r="I79" s="272"/>
      <c r="J79" s="272"/>
      <c r="K79" s="272"/>
      <c r="L79" s="272"/>
      <c r="M79" s="272"/>
      <c r="N79" s="272"/>
      <c r="O79" s="272"/>
      <c r="P79" s="272"/>
      <c r="Q79" s="272"/>
      <c r="R79" s="272"/>
      <c r="S79" s="272"/>
      <c r="T79" s="272"/>
      <c r="U79" s="272"/>
      <c r="V79" s="272"/>
      <c r="W79" s="272"/>
    </row>
    <row r="80" spans="1:23" ht="13.9" customHeight="1" x14ac:dyDescent="0.2">
      <c r="A80" s="276"/>
      <c r="B80" s="272" t="str">
        <f t="shared" si="22"/>
        <v>Fwy: posted 75 mph, aux lane</v>
      </c>
      <c r="C80" s="286">
        <f t="shared" si="23"/>
        <v>2040</v>
      </c>
      <c r="D80" s="301">
        <v>700</v>
      </c>
      <c r="E80" s="272"/>
      <c r="F80" s="272" t="s">
        <v>473</v>
      </c>
      <c r="G80" s="302">
        <v>0.84</v>
      </c>
      <c r="H80" s="315">
        <v>2400</v>
      </c>
      <c r="I80" s="272"/>
      <c r="J80" s="272"/>
      <c r="K80" s="272"/>
      <c r="L80" s="272"/>
      <c r="M80" s="272"/>
      <c r="N80" s="272"/>
      <c r="O80" s="272"/>
      <c r="P80" s="272"/>
      <c r="Q80" s="272"/>
      <c r="R80" s="272"/>
      <c r="S80" s="272"/>
      <c r="T80" s="272"/>
      <c r="U80" s="272"/>
      <c r="V80" s="272"/>
      <c r="W80" s="272"/>
    </row>
    <row r="81" spans="1:23" ht="13.9" customHeight="1" x14ac:dyDescent="0.2">
      <c r="A81" s="276"/>
      <c r="B81" s="272" t="str">
        <f t="shared" si="22"/>
        <v>Fwy: HOV lane</v>
      </c>
      <c r="C81" s="286">
        <f t="shared" si="23"/>
        <v>2040</v>
      </c>
      <c r="D81" s="301">
        <v>0</v>
      </c>
      <c r="E81" s="272"/>
      <c r="G81" s="268"/>
      <c r="H81" s="315">
        <v>2400</v>
      </c>
      <c r="I81" s="272"/>
      <c r="J81" s="272"/>
      <c r="K81" s="272"/>
      <c r="L81" s="272"/>
      <c r="M81" s="272"/>
      <c r="N81" s="272"/>
      <c r="O81" s="272"/>
      <c r="P81" s="272"/>
      <c r="Q81" s="272"/>
      <c r="R81" s="272"/>
      <c r="S81" s="272"/>
      <c r="T81" s="272"/>
      <c r="U81" s="272"/>
      <c r="V81" s="272"/>
      <c r="W81" s="272"/>
    </row>
    <row r="82" spans="1:23" x14ac:dyDescent="0.2">
      <c r="A82" s="276"/>
      <c r="B82" s="272" t="s">
        <v>418</v>
      </c>
      <c r="C82" s="286">
        <f t="shared" si="23"/>
        <v>2040</v>
      </c>
      <c r="D82" s="301">
        <v>0</v>
      </c>
      <c r="E82" s="272"/>
      <c r="G82" s="268"/>
      <c r="H82" s="315">
        <v>2400</v>
      </c>
      <c r="I82" s="272"/>
      <c r="J82" s="272"/>
      <c r="K82" s="272"/>
      <c r="L82" s="272"/>
      <c r="M82" s="272"/>
      <c r="N82" s="272"/>
      <c r="O82" s="272"/>
      <c r="P82" s="272"/>
      <c r="Q82" s="272"/>
      <c r="R82" s="272"/>
      <c r="S82" s="272"/>
      <c r="T82" s="272"/>
      <c r="U82" s="272"/>
      <c r="V82" s="272"/>
      <c r="W82" s="272"/>
    </row>
    <row r="83" spans="1:23" x14ac:dyDescent="0.2">
      <c r="A83" s="276"/>
      <c r="B83" s="272" t="s">
        <v>430</v>
      </c>
      <c r="C83" s="286">
        <f t="shared" si="23"/>
        <v>2040</v>
      </c>
      <c r="D83" s="301">
        <v>0</v>
      </c>
      <c r="E83" s="272"/>
      <c r="F83" s="272"/>
      <c r="G83" s="289"/>
      <c r="H83" s="315">
        <v>2400</v>
      </c>
      <c r="I83" s="272"/>
      <c r="J83" s="272"/>
      <c r="K83" s="272"/>
      <c r="L83" s="272"/>
      <c r="M83" s="272"/>
      <c r="N83" s="272"/>
      <c r="O83" s="272"/>
      <c r="P83" s="272"/>
      <c r="Q83" s="272"/>
      <c r="R83" s="272"/>
      <c r="S83" s="272"/>
      <c r="T83" s="272"/>
      <c r="U83" s="272"/>
      <c r="V83" s="272"/>
      <c r="W83" s="272"/>
    </row>
    <row r="84" spans="1:23" x14ac:dyDescent="0.2">
      <c r="A84" s="276"/>
      <c r="B84" s="272" t="s">
        <v>431</v>
      </c>
      <c r="C84" s="286">
        <f t="shared" si="23"/>
        <v>2040</v>
      </c>
      <c r="D84" s="301">
        <v>0</v>
      </c>
      <c r="E84" s="272"/>
      <c r="F84" s="272"/>
      <c r="G84" s="289"/>
      <c r="H84" s="315">
        <v>2400</v>
      </c>
      <c r="I84" s="272"/>
      <c r="J84" s="272"/>
      <c r="K84" s="272"/>
      <c r="L84" s="272"/>
      <c r="M84" s="272"/>
      <c r="N84" s="272"/>
      <c r="O84" s="272"/>
      <c r="P84" s="272"/>
      <c r="Q84" s="272"/>
      <c r="R84" s="272"/>
      <c r="S84" s="272"/>
      <c r="T84" s="272"/>
      <c r="U84" s="272"/>
      <c r="V84" s="272"/>
      <c r="W84" s="272"/>
    </row>
    <row r="85" spans="1:23" x14ac:dyDescent="0.2">
      <c r="A85" s="276"/>
      <c r="D85" s="268"/>
      <c r="E85" s="272"/>
      <c r="F85" s="272"/>
      <c r="G85" s="289"/>
      <c r="H85" s="272"/>
      <c r="I85" s="272"/>
      <c r="J85" s="272"/>
      <c r="K85" s="272"/>
      <c r="L85" s="272"/>
      <c r="M85" s="272"/>
      <c r="N85" s="272"/>
      <c r="O85" s="272"/>
      <c r="P85" s="272"/>
      <c r="Q85" s="272"/>
      <c r="R85" s="272"/>
      <c r="S85" s="272"/>
      <c r="T85" s="272"/>
      <c r="U85" s="272"/>
      <c r="V85" s="272"/>
      <c r="W85" s="272"/>
    </row>
    <row r="86" spans="1:23" x14ac:dyDescent="0.2">
      <c r="A86" s="276"/>
      <c r="B86" s="272" t="s">
        <v>227</v>
      </c>
      <c r="C86" s="302">
        <v>0.95</v>
      </c>
      <c r="D86" s="278"/>
      <c r="E86" s="272"/>
      <c r="F86" s="272"/>
      <c r="G86" s="289"/>
      <c r="H86" s="272"/>
      <c r="I86" s="272"/>
      <c r="J86" s="272"/>
      <c r="K86" s="272"/>
      <c r="L86" s="272"/>
      <c r="M86" s="272"/>
      <c r="N86" s="272"/>
      <c r="O86" s="272"/>
      <c r="P86" s="272"/>
      <c r="Q86" s="272"/>
      <c r="R86" s="272"/>
      <c r="S86" s="272"/>
      <c r="T86" s="272"/>
      <c r="U86" s="272"/>
      <c r="V86" s="272"/>
      <c r="W86" s="272"/>
    </row>
    <row r="87" spans="1:23" x14ac:dyDescent="0.2">
      <c r="A87" s="276"/>
      <c r="B87" s="272" t="s">
        <v>228</v>
      </c>
      <c r="C87" s="307">
        <v>0.92500000000000004</v>
      </c>
      <c r="D87" s="278"/>
      <c r="E87" s="272"/>
      <c r="F87" s="272"/>
      <c r="G87" s="289"/>
      <c r="H87" s="272"/>
      <c r="I87" s="272"/>
      <c r="J87" s="272"/>
      <c r="K87" s="272"/>
      <c r="L87" s="272"/>
      <c r="M87" s="272"/>
      <c r="N87" s="272"/>
      <c r="O87" s="272"/>
      <c r="P87" s="272"/>
      <c r="Q87" s="272"/>
      <c r="R87" s="272"/>
      <c r="S87" s="272"/>
      <c r="T87" s="272"/>
      <c r="U87" s="272"/>
      <c r="V87" s="272"/>
      <c r="W87" s="272"/>
    </row>
    <row r="88" spans="1:23" x14ac:dyDescent="0.2">
      <c r="A88" s="276"/>
      <c r="B88" s="298"/>
      <c r="C88" s="272"/>
      <c r="D88" s="276"/>
      <c r="E88" s="272"/>
      <c r="F88" s="272"/>
      <c r="G88" s="289"/>
      <c r="H88" s="272"/>
      <c r="I88" s="272"/>
      <c r="J88" s="272"/>
      <c r="K88" s="272"/>
      <c r="L88" s="272"/>
      <c r="M88" s="272"/>
      <c r="N88" s="272"/>
      <c r="O88" s="272"/>
      <c r="P88" s="272"/>
      <c r="Q88" s="272"/>
      <c r="R88" s="272"/>
      <c r="S88" s="272"/>
      <c r="T88" s="272"/>
      <c r="U88" s="272"/>
      <c r="V88" s="272"/>
      <c r="W88" s="272"/>
    </row>
    <row r="89" spans="1:23" ht="15" x14ac:dyDescent="0.2">
      <c r="A89" s="276"/>
      <c r="B89" s="297" t="s">
        <v>435</v>
      </c>
      <c r="C89" s="272"/>
      <c r="D89" s="276"/>
      <c r="E89" s="272"/>
      <c r="F89" s="272"/>
      <c r="G89" s="289"/>
      <c r="H89" s="272"/>
      <c r="I89" s="272"/>
      <c r="J89" s="272"/>
      <c r="K89" s="272"/>
      <c r="L89" s="272"/>
      <c r="M89" s="272"/>
      <c r="N89" s="272"/>
      <c r="O89" s="272"/>
      <c r="P89" s="272"/>
      <c r="Q89" s="272"/>
      <c r="R89" s="272"/>
      <c r="S89" s="272"/>
      <c r="T89" s="272"/>
      <c r="U89" s="272"/>
      <c r="V89" s="272"/>
      <c r="W89" s="272"/>
    </row>
    <row r="90" spans="1:23" x14ac:dyDescent="0.2">
      <c r="B90" s="298" t="s">
        <v>281</v>
      </c>
      <c r="C90" s="298" t="s">
        <v>282</v>
      </c>
      <c r="D90" s="298"/>
      <c r="E90" s="298"/>
      <c r="F90" s="298"/>
      <c r="G90" s="299"/>
      <c r="H90" s="299"/>
      <c r="I90" s="299"/>
      <c r="J90" s="299"/>
      <c r="K90" s="299"/>
      <c r="L90" s="299"/>
      <c r="M90" s="299"/>
      <c r="N90" s="299"/>
      <c r="O90" s="299"/>
      <c r="P90" s="299"/>
      <c r="Q90" s="299"/>
      <c r="R90" s="299"/>
      <c r="S90" s="299"/>
      <c r="T90" s="299"/>
      <c r="U90" s="299"/>
      <c r="V90" s="299"/>
      <c r="W90" s="299"/>
    </row>
    <row r="91" spans="1:23" x14ac:dyDescent="0.2">
      <c r="B91" s="298" t="s">
        <v>475</v>
      </c>
      <c r="C91" s="298"/>
      <c r="D91" s="298"/>
      <c r="E91" s="298"/>
      <c r="F91" s="298"/>
      <c r="G91" s="299"/>
      <c r="H91" s="299"/>
      <c r="I91" s="299"/>
      <c r="J91" s="299"/>
      <c r="K91" s="299"/>
      <c r="L91" s="299"/>
      <c r="M91" s="299"/>
      <c r="N91" s="299"/>
      <c r="O91" s="299"/>
      <c r="P91" s="299"/>
      <c r="Q91" s="299"/>
      <c r="R91" s="299"/>
      <c r="S91" s="299"/>
      <c r="T91" s="299"/>
      <c r="U91" s="299"/>
      <c r="V91" s="299"/>
      <c r="W91" s="299"/>
    </row>
    <row r="92" spans="1:23" ht="13.9" customHeight="1" x14ac:dyDescent="0.2">
      <c r="B92" s="298" t="s">
        <v>482</v>
      </c>
      <c r="C92" s="272"/>
      <c r="D92" s="272"/>
      <c r="E92" s="272"/>
      <c r="F92" s="272"/>
      <c r="G92" s="272"/>
      <c r="H92" s="272"/>
      <c r="I92" s="272"/>
      <c r="J92" s="272"/>
      <c r="K92" s="272"/>
      <c r="L92" s="272"/>
      <c r="M92" s="272"/>
      <c r="N92" s="272"/>
      <c r="O92" s="272"/>
      <c r="P92" s="272"/>
      <c r="Q92" s="272"/>
      <c r="R92" s="272"/>
      <c r="S92" s="272"/>
      <c r="T92" s="272"/>
      <c r="U92" s="272"/>
      <c r="V92" s="272"/>
      <c r="W92" s="272"/>
    </row>
    <row r="93" spans="1:23" ht="13.9" customHeight="1" x14ac:dyDescent="0.2">
      <c r="B93" s="298" t="s">
        <v>476</v>
      </c>
      <c r="C93" s="272"/>
      <c r="D93" s="272"/>
      <c r="E93" s="272"/>
      <c r="F93" s="272"/>
      <c r="G93" s="272"/>
      <c r="H93" s="272"/>
      <c r="I93" s="272"/>
      <c r="J93" s="272"/>
      <c r="K93" s="272"/>
      <c r="L93" s="272"/>
      <c r="M93" s="272"/>
      <c r="N93" s="272"/>
      <c r="O93" s="272"/>
      <c r="P93" s="272"/>
      <c r="Q93" s="272"/>
      <c r="R93" s="272"/>
      <c r="S93" s="272"/>
      <c r="T93" s="272"/>
      <c r="U93" s="272"/>
      <c r="V93" s="272"/>
      <c r="W93" s="272"/>
    </row>
    <row r="94" spans="1:23" ht="13.9" customHeight="1" x14ac:dyDescent="0.2">
      <c r="B94" s="298" t="s">
        <v>477</v>
      </c>
      <c r="C94" s="308"/>
      <c r="D94" s="308"/>
      <c r="E94" s="308"/>
      <c r="F94" s="308"/>
      <c r="G94" s="308"/>
      <c r="H94" s="308"/>
      <c r="I94" s="308"/>
      <c r="J94" s="308"/>
      <c r="K94" s="308"/>
      <c r="L94" s="308"/>
      <c r="M94" s="308"/>
      <c r="N94" s="308"/>
      <c r="O94" s="308"/>
      <c r="P94" s="308"/>
      <c r="Q94" s="308"/>
      <c r="R94" s="308"/>
      <c r="S94" s="308"/>
      <c r="T94" s="308"/>
      <c r="U94" s="308"/>
      <c r="V94" s="308"/>
      <c r="W94" s="308"/>
    </row>
    <row r="95" spans="1:23" x14ac:dyDescent="0.2">
      <c r="B95" s="467"/>
      <c r="C95" s="467"/>
      <c r="D95" s="467"/>
      <c r="E95" s="467"/>
      <c r="F95" s="467"/>
      <c r="G95" s="467"/>
      <c r="H95" s="467"/>
      <c r="I95" s="467"/>
      <c r="J95" s="467"/>
      <c r="K95" s="467"/>
      <c r="L95" s="467"/>
      <c r="M95" s="467"/>
      <c r="N95" s="467"/>
      <c r="O95" s="467"/>
      <c r="P95" s="467"/>
      <c r="Q95" s="467"/>
      <c r="R95" s="467"/>
      <c r="S95" s="467"/>
      <c r="T95" s="467"/>
      <c r="U95" s="467"/>
      <c r="V95" s="467"/>
      <c r="W95" s="467"/>
    </row>
    <row r="96" spans="1:23" x14ac:dyDescent="0.2">
      <c r="B96" s="312"/>
      <c r="C96" s="312"/>
      <c r="D96" s="312"/>
      <c r="E96" s="312"/>
      <c r="F96" s="312"/>
      <c r="G96" s="312"/>
      <c r="H96" s="312"/>
      <c r="I96" s="312"/>
      <c r="J96" s="312"/>
      <c r="K96" s="312"/>
      <c r="L96" s="312"/>
      <c r="M96" s="312"/>
      <c r="N96" s="312"/>
      <c r="O96" s="312"/>
      <c r="P96" s="312"/>
      <c r="Q96" s="312"/>
      <c r="R96" s="312"/>
      <c r="S96" s="312"/>
      <c r="T96" s="312"/>
      <c r="U96" s="312"/>
      <c r="V96" s="312"/>
      <c r="W96" s="312"/>
    </row>
    <row r="97" spans="2:23" x14ac:dyDescent="0.2">
      <c r="B97" s="312"/>
      <c r="C97" s="312"/>
      <c r="D97" s="312"/>
      <c r="E97" s="312"/>
      <c r="F97" s="312"/>
      <c r="G97" s="312"/>
      <c r="H97" s="312"/>
      <c r="I97" s="312"/>
      <c r="J97" s="312"/>
      <c r="K97" s="312"/>
      <c r="L97" s="312"/>
      <c r="M97" s="312"/>
      <c r="N97" s="312"/>
      <c r="O97" s="312"/>
      <c r="P97" s="312"/>
      <c r="Q97" s="312"/>
      <c r="R97" s="312"/>
      <c r="S97" s="312"/>
      <c r="T97" s="312"/>
      <c r="U97" s="312"/>
      <c r="V97" s="312"/>
      <c r="W97" s="312"/>
    </row>
    <row r="98" spans="2:23" x14ac:dyDescent="0.2">
      <c r="B98" s="312"/>
      <c r="C98" s="312"/>
      <c r="D98" s="312"/>
      <c r="E98" s="312"/>
      <c r="F98" s="312"/>
      <c r="G98" s="312"/>
      <c r="H98" s="312"/>
      <c r="I98" s="312"/>
      <c r="J98" s="312"/>
      <c r="K98" s="312"/>
      <c r="L98" s="312"/>
      <c r="M98" s="312"/>
      <c r="N98" s="312"/>
      <c r="O98" s="312"/>
      <c r="P98" s="312"/>
      <c r="Q98" s="312"/>
      <c r="R98" s="312"/>
      <c r="S98" s="312"/>
      <c r="T98" s="312"/>
      <c r="U98" s="312"/>
      <c r="V98" s="312"/>
      <c r="W98" s="312"/>
    </row>
    <row r="99" spans="2:23" x14ac:dyDescent="0.2">
      <c r="B99" s="312"/>
      <c r="C99" s="312"/>
      <c r="D99" s="312"/>
      <c r="E99" s="312"/>
      <c r="F99" s="312"/>
      <c r="G99" s="312"/>
      <c r="H99" s="312"/>
      <c r="I99" s="312"/>
      <c r="J99" s="312"/>
      <c r="K99" s="312"/>
      <c r="L99" s="312"/>
      <c r="M99" s="312"/>
      <c r="N99" s="312"/>
      <c r="O99" s="312"/>
      <c r="P99" s="312"/>
      <c r="Q99" s="312"/>
      <c r="R99" s="312"/>
      <c r="S99" s="312"/>
      <c r="T99" s="312"/>
      <c r="U99" s="312"/>
      <c r="V99" s="312"/>
      <c r="W99" s="312"/>
    </row>
    <row r="100" spans="2:23" x14ac:dyDescent="0.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row>
    <row r="101" spans="2:23" x14ac:dyDescent="0.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row>
    <row r="102" spans="2:23" x14ac:dyDescent="0.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row>
    <row r="103" spans="2:23" x14ac:dyDescent="0.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row>
    <row r="104" spans="2:23" x14ac:dyDescent="0.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row>
    <row r="105" spans="2:23" x14ac:dyDescent="0.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row>
    <row r="106" spans="2:23" x14ac:dyDescent="0.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row>
    <row r="107" spans="2:23" x14ac:dyDescent="0.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row>
    <row r="108" spans="2:23" x14ac:dyDescent="0.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row>
    <row r="109" spans="2:23" x14ac:dyDescent="0.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row>
    <row r="110" spans="2:23" x14ac:dyDescent="0.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row>
    <row r="111" spans="2:23" x14ac:dyDescent="0.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row>
    <row r="112" spans="2:23" x14ac:dyDescent="0.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row>
    <row r="113" spans="2:23" x14ac:dyDescent="0.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row>
    <row r="114" spans="2:23" x14ac:dyDescent="0.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row>
    <row r="115" spans="2:23" x14ac:dyDescent="0.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row>
    <row r="116" spans="2:23" x14ac:dyDescent="0.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row>
    <row r="117" spans="2:23" x14ac:dyDescent="0.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row>
    <row r="118" spans="2:23" x14ac:dyDescent="0.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row>
    <row r="119" spans="2:23" x14ac:dyDescent="0.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row>
    <row r="120" spans="2:23" x14ac:dyDescent="0.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row>
    <row r="121" spans="2:23" x14ac:dyDescent="0.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row>
    <row r="122" spans="2:23" x14ac:dyDescent="0.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row>
    <row r="123" spans="2:23" x14ac:dyDescent="0.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row>
    <row r="124" spans="2:23" x14ac:dyDescent="0.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row>
    <row r="125" spans="2:23" x14ac:dyDescent="0.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row>
    <row r="126" spans="2:23" x14ac:dyDescent="0.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row>
    <row r="127" spans="2:23" x14ac:dyDescent="0.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row>
    <row r="128" spans="2:23" x14ac:dyDescent="0.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row>
    <row r="129" spans="2:23" x14ac:dyDescent="0.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row>
    <row r="130" spans="2:23" x14ac:dyDescent="0.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row>
    <row r="131" spans="2:23" x14ac:dyDescent="0.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row>
    <row r="132" spans="2:23" x14ac:dyDescent="0.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row>
    <row r="133" spans="2:23" x14ac:dyDescent="0.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row>
    <row r="134" spans="2:23" x14ac:dyDescent="0.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row>
    <row r="135" spans="2:23" x14ac:dyDescent="0.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row>
    <row r="136" spans="2:23" x14ac:dyDescent="0.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row>
    <row r="137" spans="2:23" x14ac:dyDescent="0.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row>
    <row r="138" spans="2:23" x14ac:dyDescent="0.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row>
    <row r="139" spans="2:23" x14ac:dyDescent="0.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row>
    <row r="140" spans="2:23" x14ac:dyDescent="0.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row>
    <row r="141" spans="2:23" x14ac:dyDescent="0.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row>
    <row r="142" spans="2:23" x14ac:dyDescent="0.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row>
    <row r="143" spans="2:23" x14ac:dyDescent="0.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row>
    <row r="144" spans="2:23" x14ac:dyDescent="0.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row>
    <row r="145" spans="2:23" x14ac:dyDescent="0.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row>
    <row r="146" spans="2:23" x14ac:dyDescent="0.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row>
    <row r="147" spans="2:23" x14ac:dyDescent="0.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row>
    <row r="148" spans="2:23" x14ac:dyDescent="0.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row>
    <row r="149" spans="2:23" x14ac:dyDescent="0.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row>
    <row r="150" spans="2:23" x14ac:dyDescent="0.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row>
    <row r="151" spans="2:23" x14ac:dyDescent="0.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row>
    <row r="152" spans="2:23" x14ac:dyDescent="0.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row>
    <row r="153" spans="2:23" x14ac:dyDescent="0.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row>
    <row r="154" spans="2:23" x14ac:dyDescent="0.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row>
    <row r="162" spans="24:30" x14ac:dyDescent="0.2">
      <c r="AA162" s="268">
        <v>0.97</v>
      </c>
    </row>
    <row r="164" spans="24:30" x14ac:dyDescent="0.2">
      <c r="X164" s="294" t="s">
        <v>227</v>
      </c>
      <c r="Y164" s="309" t="s">
        <v>228</v>
      </c>
      <c r="Z164" s="294">
        <v>3</v>
      </c>
      <c r="AA164" s="268">
        <v>4</v>
      </c>
      <c r="AB164" s="268">
        <v>5</v>
      </c>
      <c r="AC164" s="268">
        <v>6</v>
      </c>
    </row>
    <row r="165" spans="24:30" x14ac:dyDescent="0.2">
      <c r="X165" s="268">
        <v>0.95</v>
      </c>
      <c r="Y165" s="280">
        <v>0.96</v>
      </c>
      <c r="Z165" s="268">
        <f>W193*X165*Y165</f>
        <v>2097.6</v>
      </c>
      <c r="AA165" s="268">
        <f>Z165*$AA$162</f>
        <v>2034.6719999999998</v>
      </c>
      <c r="AB165" s="268">
        <f>AA165*$AA$162</f>
        <v>1973.6318399999998</v>
      </c>
      <c r="AC165" s="268">
        <f>AB165*$AA$162</f>
        <v>1914.4228847999998</v>
      </c>
    </row>
    <row r="166" spans="24:30" x14ac:dyDescent="0.2">
      <c r="Y166" s="280"/>
      <c r="Z166" s="268">
        <f>Z165*Z164</f>
        <v>6292.7999999999993</v>
      </c>
      <c r="AA166" s="268">
        <f>AA165*AA164</f>
        <v>8138.6879999999992</v>
      </c>
      <c r="AB166" s="268">
        <f>AB165*AB164</f>
        <v>9868.1591999999982</v>
      </c>
      <c r="AC166" s="268">
        <f>AC165*AC164</f>
        <v>11486.537308799998</v>
      </c>
      <c r="AD166" s="279"/>
    </row>
    <row r="167" spans="24:30" x14ac:dyDescent="0.2">
      <c r="Y167" s="280"/>
      <c r="Z167" s="279">
        <f>2200*0.3</f>
        <v>660</v>
      </c>
      <c r="AA167" s="279">
        <f>2200*0.3</f>
        <v>660</v>
      </c>
      <c r="AB167" s="279">
        <f>2200*0.3</f>
        <v>660</v>
      </c>
      <c r="AC167" s="279">
        <f>2200*0.3</f>
        <v>660</v>
      </c>
      <c r="AD167" s="279"/>
    </row>
    <row r="168" spans="24:30" x14ac:dyDescent="0.2">
      <c r="Y168" s="280"/>
      <c r="Z168" s="279">
        <f>Z166+Z167</f>
        <v>6952.7999999999993</v>
      </c>
      <c r="AA168" s="279">
        <f>AA166+AA167</f>
        <v>8798.6879999999983</v>
      </c>
      <c r="AB168" s="279">
        <f>AB166+AB167</f>
        <v>10528.159199999998</v>
      </c>
      <c r="AC168" s="279">
        <f>AC166+AC167</f>
        <v>12146.537308799998</v>
      </c>
      <c r="AD168" s="279"/>
    </row>
    <row r="169" spans="24:30" x14ac:dyDescent="0.2">
      <c r="Y169" s="280"/>
      <c r="Z169" s="279">
        <f>Z168/(Z164+1)</f>
        <v>1738.1999999999998</v>
      </c>
      <c r="AA169" s="279">
        <f>AA168/(AA164+1)</f>
        <v>1759.7375999999997</v>
      </c>
      <c r="AB169" s="279">
        <f>AB168/(AB164+1)</f>
        <v>1754.6931999999997</v>
      </c>
      <c r="AC169" s="279">
        <f>AC168/(AC164+1)</f>
        <v>1735.2196155428569</v>
      </c>
      <c r="AD169" s="279"/>
    </row>
    <row r="170" spans="24:30" x14ac:dyDescent="0.2">
      <c r="Y170" s="280"/>
      <c r="Z170" s="279">
        <f>Z168/Z164</f>
        <v>2317.6</v>
      </c>
      <c r="AA170" s="279">
        <f>AA168/AA164</f>
        <v>2199.6719999999996</v>
      </c>
      <c r="AB170" s="279">
        <f>AB168/AB164</f>
        <v>2105.6318399999996</v>
      </c>
      <c r="AC170" s="279">
        <f>AC168/AC164</f>
        <v>2024.4228847999996</v>
      </c>
      <c r="AD170" s="279"/>
    </row>
    <row r="171" spans="24:30" x14ac:dyDescent="0.2">
      <c r="Y171" s="280"/>
      <c r="Z171" s="279">
        <f>Z167/Z164</f>
        <v>220</v>
      </c>
      <c r="AA171" s="279">
        <f>AA167/AA164</f>
        <v>165</v>
      </c>
      <c r="AB171" s="279">
        <f>AB167/AB164</f>
        <v>132</v>
      </c>
      <c r="AC171" s="279">
        <f>AC167/AC164</f>
        <v>110</v>
      </c>
      <c r="AD171" s="279"/>
    </row>
    <row r="172" spans="24:30" x14ac:dyDescent="0.2">
      <c r="Y172" s="280"/>
      <c r="Z172" s="279">
        <f>Z165+Z171</f>
        <v>2317.6</v>
      </c>
      <c r="AA172" s="279">
        <f>AA165+AA171</f>
        <v>2199.6719999999996</v>
      </c>
      <c r="AB172" s="279">
        <f>AB165+AB171</f>
        <v>2105.63184</v>
      </c>
      <c r="AC172" s="279">
        <f>AC165+AC171</f>
        <v>2024.4228847999998</v>
      </c>
      <c r="AD172" s="279"/>
    </row>
    <row r="173" spans="24:30" x14ac:dyDescent="0.2">
      <c r="Y173" s="280"/>
      <c r="Z173" s="279">
        <f>Z169+Z171</f>
        <v>1958.1999999999998</v>
      </c>
      <c r="AA173" s="279">
        <f>AA169+AA171</f>
        <v>1924.7375999999997</v>
      </c>
      <c r="AB173" s="279">
        <f>AB169+AB171</f>
        <v>1886.6931999999997</v>
      </c>
      <c r="AC173" s="279">
        <f>AC169+AC171</f>
        <v>1845.2196155428569</v>
      </c>
    </row>
    <row r="174" spans="24:30" x14ac:dyDescent="0.2">
      <c r="Z174" s="279">
        <f>Z170-Z169</f>
        <v>579.40000000000009</v>
      </c>
    </row>
    <row r="175" spans="24:30" x14ac:dyDescent="0.2">
      <c r="Z175" s="279">
        <f>Z169*(Z164+1)</f>
        <v>6952.7999999999993</v>
      </c>
    </row>
    <row r="176" spans="24:30" x14ac:dyDescent="0.2">
      <c r="Z176" s="279">
        <f>Z170*Z164</f>
        <v>6952.7999999999993</v>
      </c>
    </row>
    <row r="177" spans="4:26" x14ac:dyDescent="0.2">
      <c r="Z177" s="279"/>
    </row>
    <row r="178" spans="4:26" x14ac:dyDescent="0.2">
      <c r="Z178" s="279"/>
    </row>
    <row r="179" spans="4:26" x14ac:dyDescent="0.2">
      <c r="Z179" s="268">
        <f>Z174*3</f>
        <v>1738.2000000000003</v>
      </c>
    </row>
    <row r="187" spans="4:26" x14ac:dyDescent="0.2">
      <c r="D187" s="280">
        <v>2200</v>
      </c>
      <c r="E187" s="268" t="e">
        <f>D187*#REF!</f>
        <v>#REF!</v>
      </c>
    </row>
    <row r="188" spans="4:26" x14ac:dyDescent="0.2">
      <c r="D188" s="280">
        <v>2200</v>
      </c>
      <c r="E188" s="268" t="e">
        <f>D188*#REF!</f>
        <v>#REF!</v>
      </c>
    </row>
    <row r="189" spans="4:26" x14ac:dyDescent="0.2">
      <c r="D189" s="280">
        <v>2200</v>
      </c>
      <c r="E189" s="268" t="e">
        <f>D189*#REF!</f>
        <v>#REF!</v>
      </c>
    </row>
    <row r="190" spans="4:26" x14ac:dyDescent="0.2">
      <c r="D190" s="280">
        <v>2200</v>
      </c>
      <c r="E190" s="268" t="e">
        <f>D190*#REF!</f>
        <v>#REF!</v>
      </c>
      <c r="G190" s="279" t="e">
        <f>E190/5</f>
        <v>#REF!</v>
      </c>
    </row>
    <row r="192" spans="4:26" x14ac:dyDescent="0.2">
      <c r="W192" s="310" t="s">
        <v>226</v>
      </c>
    </row>
    <row r="193" spans="23:23" x14ac:dyDescent="0.2">
      <c r="W193" s="311">
        <v>2300</v>
      </c>
    </row>
    <row r="194" spans="23:23" x14ac:dyDescent="0.2">
      <c r="W194" s="310" t="s">
        <v>235</v>
      </c>
    </row>
    <row r="195" spans="23:23" x14ac:dyDescent="0.2">
      <c r="W195" s="310" t="s">
        <v>229</v>
      </c>
    </row>
    <row r="196" spans="23:23" x14ac:dyDescent="0.2">
      <c r="W196" s="310" t="s">
        <v>236</v>
      </c>
    </row>
    <row r="197" spans="23:23" x14ac:dyDescent="0.2">
      <c r="W197" s="310" t="s">
        <v>237</v>
      </c>
    </row>
    <row r="198" spans="23:23" x14ac:dyDescent="0.2">
      <c r="W198" s="310" t="s">
        <v>238</v>
      </c>
    </row>
    <row r="199" spans="23:23" x14ac:dyDescent="0.2">
      <c r="W199" s="310" t="s">
        <v>230</v>
      </c>
    </row>
    <row r="200" spans="23:23" x14ac:dyDescent="0.2">
      <c r="W200" s="311"/>
    </row>
    <row r="201" spans="23:23" x14ac:dyDescent="0.2">
      <c r="W201" s="311"/>
    </row>
  </sheetData>
  <mergeCells count="2">
    <mergeCell ref="A1:I1"/>
    <mergeCell ref="B95:W95"/>
  </mergeCells>
  <dataValidations count="1">
    <dataValidation type="list" allowBlank="1" showInputMessage="1" showErrorMessage="1" sqref="I4" xr:uid="{00000000-0002-0000-0800-000000000000}">
      <formula1>$C$65:$G$65</formula1>
    </dataValidation>
  </dataValidations>
  <printOptions horizontalCentered="1"/>
  <pageMargins left="0.75" right="0.75" top="1" bottom="1" header="0.5" footer="0.5"/>
  <pageSetup scale="91" fitToHeight="2" orientation="portrait" r:id="rId1"/>
  <headerFooter alignWithMargins="0">
    <oddFooter>&amp;L&amp;"Calibri,Regular"&amp;9&amp;F</oddFooter>
  </headerFooter>
  <rowBreaks count="2" manualBreakCount="2">
    <brk id="39" max="8" man="1"/>
    <brk id="94" max="8"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0.499984740745262"/>
  </sheetPr>
  <dimension ref="A1:K83"/>
  <sheetViews>
    <sheetView showGridLines="0" view="pageBreakPreview" zoomScale="80" zoomScaleNormal="85" zoomScaleSheetLayoutView="80" workbookViewId="0">
      <selection activeCell="M37" sqref="M37"/>
    </sheetView>
  </sheetViews>
  <sheetFormatPr defaultColWidth="9.140625" defaultRowHeight="12.75" x14ac:dyDescent="0.2"/>
  <cols>
    <col min="1" max="1" width="6.7109375" style="211" customWidth="1"/>
    <col min="2" max="2" width="14.28515625" style="211" customWidth="1"/>
    <col min="3" max="3" width="6.7109375" style="125" customWidth="1"/>
    <col min="4" max="4" width="34.7109375" style="124" customWidth="1"/>
    <col min="5" max="5" width="8.7109375" style="133" customWidth="1"/>
    <col min="6" max="6" width="8.7109375" style="125" customWidth="1"/>
    <col min="7" max="7" width="8.7109375" style="124" customWidth="1"/>
    <col min="8" max="8" width="8.7109375" style="134" customWidth="1"/>
    <col min="9" max="9" width="8.7109375" style="124" customWidth="1"/>
    <col min="10" max="10" width="10.5703125" style="124" customWidth="1"/>
    <col min="11" max="11" width="6" style="124" customWidth="1"/>
    <col min="12" max="12" width="41.140625" style="124" bestFit="1" customWidth="1"/>
    <col min="13" max="16384" width="9.140625" style="124"/>
  </cols>
  <sheetData>
    <row r="1" spans="1:11" ht="23.25" x14ac:dyDescent="0.35">
      <c r="A1" s="242"/>
      <c r="B1" s="242"/>
      <c r="C1" s="465" t="s">
        <v>510</v>
      </c>
      <c r="D1" s="465"/>
      <c r="E1" s="465"/>
      <c r="F1" s="465"/>
      <c r="G1" s="465"/>
      <c r="H1" s="465"/>
      <c r="I1" s="465"/>
      <c r="J1" s="465"/>
      <c r="K1" s="465"/>
    </row>
    <row r="2" spans="1:11" ht="24.75" customHeight="1" x14ac:dyDescent="0.2">
      <c r="D2" s="126"/>
      <c r="E2" s="463" t="s">
        <v>402</v>
      </c>
      <c r="F2" s="463"/>
      <c r="G2" s="463"/>
      <c r="H2" s="463"/>
      <c r="I2" s="463"/>
    </row>
    <row r="3" spans="1:11" x14ac:dyDescent="0.2">
      <c r="A3" s="243" t="s">
        <v>456</v>
      </c>
      <c r="B3" s="243"/>
      <c r="C3" s="127" t="s">
        <v>455</v>
      </c>
      <c r="D3" s="126"/>
      <c r="E3" s="127">
        <v>1</v>
      </c>
      <c r="F3" s="127">
        <v>2</v>
      </c>
      <c r="G3" s="127">
        <v>3</v>
      </c>
      <c r="H3" s="127">
        <v>4</v>
      </c>
      <c r="I3" s="127">
        <v>5</v>
      </c>
    </row>
    <row r="4" spans="1:11" ht="13.9" customHeight="1" x14ac:dyDescent="0.2">
      <c r="A4" s="243" t="s">
        <v>403</v>
      </c>
      <c r="B4" s="243"/>
      <c r="C4" s="127" t="s">
        <v>403</v>
      </c>
      <c r="D4" s="128" t="s">
        <v>404</v>
      </c>
      <c r="E4" s="128" t="s">
        <v>261</v>
      </c>
      <c r="F4" s="128" t="s">
        <v>161</v>
      </c>
      <c r="G4" s="128" t="s">
        <v>4</v>
      </c>
      <c r="H4" s="128" t="s">
        <v>3</v>
      </c>
      <c r="I4" s="128" t="s">
        <v>405</v>
      </c>
      <c r="J4" s="127"/>
      <c r="K4" s="127"/>
    </row>
    <row r="5" spans="1:11" s="127" customFormat="1" x14ac:dyDescent="0.2">
      <c r="A5" s="211">
        <v>1</v>
      </c>
      <c r="B5" s="211"/>
      <c r="C5" s="125">
        <v>1</v>
      </c>
      <c r="D5" s="124" t="s">
        <v>406</v>
      </c>
      <c r="E5" s="213">
        <f t="shared" ref="E5:I8" si="0">1 / ((1/E42) + (E54*E$66/3600))</f>
        <v>30</v>
      </c>
      <c r="F5" s="213">
        <f t="shared" si="0"/>
        <v>24</v>
      </c>
      <c r="G5" s="213">
        <f t="shared" si="0"/>
        <v>20.16</v>
      </c>
      <c r="H5" s="213">
        <f t="shared" si="0"/>
        <v>17.034700315457414</v>
      </c>
      <c r="I5" s="213">
        <f t="shared" si="0"/>
        <v>13.535791757049891</v>
      </c>
      <c r="J5" s="124"/>
      <c r="K5" s="124"/>
    </row>
    <row r="6" spans="1:11" x14ac:dyDescent="0.2">
      <c r="A6" s="211">
        <v>2</v>
      </c>
      <c r="C6" s="125">
        <v>2</v>
      </c>
      <c r="D6" s="124" t="s">
        <v>454</v>
      </c>
      <c r="E6" s="212">
        <f t="shared" si="0"/>
        <v>60</v>
      </c>
      <c r="F6" s="212">
        <f t="shared" si="0"/>
        <v>47.710843373493979</v>
      </c>
      <c r="G6" s="212">
        <f t="shared" si="0"/>
        <v>39.560439560439562</v>
      </c>
      <c r="H6" s="212">
        <f t="shared" si="0"/>
        <v>32.757051865332116</v>
      </c>
      <c r="I6" s="212">
        <f t="shared" si="0"/>
        <v>24.347826086956523</v>
      </c>
      <c r="J6" s="135"/>
    </row>
    <row r="7" spans="1:11" x14ac:dyDescent="0.2">
      <c r="A7" s="211">
        <v>3</v>
      </c>
      <c r="C7" s="125">
        <v>3</v>
      </c>
      <c r="D7" s="124" t="s">
        <v>408</v>
      </c>
      <c r="E7" s="212">
        <f t="shared" si="0"/>
        <v>53</v>
      </c>
      <c r="F7" s="212">
        <f t="shared" si="0"/>
        <v>41.379310344827587</v>
      </c>
      <c r="G7" s="212">
        <f t="shared" si="0"/>
        <v>35.294117647058826</v>
      </c>
      <c r="H7" s="212">
        <f t="shared" si="0"/>
        <v>30.120940138434623</v>
      </c>
      <c r="I7" s="212">
        <f t="shared" si="0"/>
        <v>21.290322580645164</v>
      </c>
      <c r="J7" s="135"/>
    </row>
    <row r="8" spans="1:11" x14ac:dyDescent="0.2">
      <c r="A8" s="246">
        <v>4</v>
      </c>
      <c r="B8" s="246"/>
      <c r="C8" s="130">
        <v>4</v>
      </c>
      <c r="D8" s="124" t="s">
        <v>420</v>
      </c>
      <c r="E8" s="212">
        <f t="shared" si="0"/>
        <v>45</v>
      </c>
      <c r="F8" s="212">
        <f t="shared" si="0"/>
        <v>34.708520179372194</v>
      </c>
      <c r="G8" s="212">
        <f t="shared" si="0"/>
        <v>28.799999999999997</v>
      </c>
      <c r="H8" s="212">
        <f t="shared" si="0"/>
        <v>25.678098432710659</v>
      </c>
      <c r="I8" s="212">
        <f t="shared" si="0"/>
        <v>18.378378378378379</v>
      </c>
      <c r="J8" s="135"/>
    </row>
    <row r="9" spans="1:11" x14ac:dyDescent="0.2">
      <c r="A9" s="211">
        <v>5</v>
      </c>
      <c r="C9" s="125">
        <v>5</v>
      </c>
      <c r="D9" s="124" t="s">
        <v>421</v>
      </c>
      <c r="E9" s="212">
        <f>E8-3</f>
        <v>42</v>
      </c>
      <c r="F9" s="212">
        <f>F8-3</f>
        <v>31.708520179372194</v>
      </c>
      <c r="G9" s="212">
        <f>G8-3</f>
        <v>25.799999999999997</v>
      </c>
      <c r="H9" s="212">
        <f>H8-3</f>
        <v>22.678098432710659</v>
      </c>
      <c r="I9" s="212">
        <f>I8-3</f>
        <v>15.378378378378379</v>
      </c>
      <c r="J9" s="135"/>
    </row>
    <row r="10" spans="1:11" x14ac:dyDescent="0.2">
      <c r="A10" s="246" t="s">
        <v>457</v>
      </c>
      <c r="B10" s="246"/>
      <c r="C10" s="130">
        <v>6</v>
      </c>
      <c r="D10" s="124" t="s">
        <v>159</v>
      </c>
      <c r="E10" s="132">
        <f>E5</f>
        <v>30</v>
      </c>
      <c r="F10" s="132">
        <f>F5</f>
        <v>24</v>
      </c>
      <c r="G10" s="132">
        <f>G5</f>
        <v>20.16</v>
      </c>
      <c r="H10" s="132">
        <f>H5</f>
        <v>17.034700315457414</v>
      </c>
      <c r="I10" s="132">
        <f>I5</f>
        <v>13.535791757049891</v>
      </c>
      <c r="J10" s="135"/>
    </row>
    <row r="11" spans="1:11" x14ac:dyDescent="0.2">
      <c r="A11" s="246" t="s">
        <v>457</v>
      </c>
      <c r="B11" s="246"/>
      <c r="C11" s="125">
        <v>7</v>
      </c>
      <c r="D11" s="124" t="s">
        <v>498</v>
      </c>
      <c r="E11" s="234">
        <v>15</v>
      </c>
      <c r="F11" s="132">
        <f>E11</f>
        <v>15</v>
      </c>
      <c r="G11" s="132">
        <f>F11</f>
        <v>15</v>
      </c>
      <c r="H11" s="132">
        <f>G11</f>
        <v>15</v>
      </c>
      <c r="I11" s="132">
        <f>H11</f>
        <v>15</v>
      </c>
      <c r="J11" s="135"/>
    </row>
    <row r="12" spans="1:11" x14ac:dyDescent="0.2">
      <c r="E12" s="129"/>
      <c r="F12" s="129"/>
      <c r="G12" s="129"/>
      <c r="H12" s="129"/>
      <c r="I12" s="129"/>
    </row>
    <row r="13" spans="1:11" x14ac:dyDescent="0.2">
      <c r="A13" s="243" t="s">
        <v>456</v>
      </c>
      <c r="B13" s="243"/>
      <c r="C13" s="127" t="s">
        <v>455</v>
      </c>
      <c r="E13" s="128" t="s">
        <v>455</v>
      </c>
      <c r="F13" s="128" t="s">
        <v>456</v>
      </c>
      <c r="G13" s="129"/>
      <c r="H13" s="129"/>
      <c r="I13" s="129"/>
    </row>
    <row r="14" spans="1:11" x14ac:dyDescent="0.2">
      <c r="A14" s="243" t="s">
        <v>403</v>
      </c>
      <c r="B14" s="243"/>
      <c r="C14" s="127" t="s">
        <v>403</v>
      </c>
      <c r="D14" s="128" t="s">
        <v>404</v>
      </c>
      <c r="E14" s="128" t="s">
        <v>410</v>
      </c>
      <c r="F14" s="128" t="s">
        <v>410</v>
      </c>
      <c r="G14" s="142" t="s">
        <v>441</v>
      </c>
    </row>
    <row r="15" spans="1:11" x14ac:dyDescent="0.2">
      <c r="A15" s="246" t="s">
        <v>457</v>
      </c>
      <c r="B15" s="246"/>
      <c r="C15" s="130">
        <v>12</v>
      </c>
      <c r="D15" s="124" t="s">
        <v>478</v>
      </c>
      <c r="E15" s="213">
        <f>1 / ((1/E47) + (E59*E68/3600))</f>
        <v>59.617834394904463</v>
      </c>
      <c r="F15" s="134"/>
      <c r="G15" s="135"/>
      <c r="H15" s="135"/>
    </row>
    <row r="16" spans="1:11" x14ac:dyDescent="0.2">
      <c r="A16" s="211" t="s">
        <v>457</v>
      </c>
      <c r="C16" s="125">
        <v>13</v>
      </c>
      <c r="D16" s="124" t="s">
        <v>479</v>
      </c>
      <c r="E16" s="213">
        <f>1 / ((1/E48) + (E60*E69/3600))</f>
        <v>53.333333333333336</v>
      </c>
      <c r="F16" s="134"/>
      <c r="G16" s="135"/>
    </row>
    <row r="17" spans="1:10" x14ac:dyDescent="0.2">
      <c r="A17" s="211">
        <v>11</v>
      </c>
      <c r="B17" s="207">
        <v>50</v>
      </c>
      <c r="C17" s="125">
        <v>14</v>
      </c>
      <c r="D17" s="124" t="s">
        <v>480</v>
      </c>
      <c r="E17" s="213">
        <f>1 / ((1/E49) + (E61*E70/3600))</f>
        <v>47.710843373493979</v>
      </c>
      <c r="G17" s="135"/>
      <c r="H17" s="135"/>
    </row>
    <row r="18" spans="1:10" x14ac:dyDescent="0.2">
      <c r="A18" s="246" t="s">
        <v>457</v>
      </c>
      <c r="B18" s="239"/>
      <c r="C18" s="130">
        <v>15</v>
      </c>
      <c r="D18" s="124" t="s">
        <v>481</v>
      </c>
      <c r="E18" s="213">
        <f>1 / ((1/E50) + (E62*E71/3600))</f>
        <v>42.603550295857993</v>
      </c>
      <c r="G18" s="135"/>
      <c r="H18" s="135"/>
    </row>
    <row r="19" spans="1:10" x14ac:dyDescent="0.2">
      <c r="A19" s="246"/>
      <c r="B19" s="240"/>
      <c r="C19" s="130"/>
      <c r="E19" s="129"/>
      <c r="G19" s="135"/>
      <c r="H19" s="135"/>
    </row>
    <row r="20" spans="1:10" x14ac:dyDescent="0.2">
      <c r="A20" s="211">
        <v>29</v>
      </c>
      <c r="B20" s="207">
        <v>40</v>
      </c>
      <c r="C20" s="125">
        <v>30</v>
      </c>
      <c r="D20" s="124" t="e">
        <f>#REF!</f>
        <v>#REF!</v>
      </c>
      <c r="E20" s="234">
        <v>35</v>
      </c>
      <c r="G20" s="143"/>
      <c r="H20" s="143"/>
      <c r="I20" s="143"/>
      <c r="J20" s="145"/>
    </row>
    <row r="21" spans="1:10" x14ac:dyDescent="0.2">
      <c r="A21" s="211">
        <v>33</v>
      </c>
      <c r="B21" s="207">
        <v>55</v>
      </c>
      <c r="C21" s="125">
        <v>31</v>
      </c>
      <c r="D21" s="124" t="e">
        <f>#REF!</f>
        <v>#REF!</v>
      </c>
      <c r="E21" s="234">
        <v>55</v>
      </c>
      <c r="G21" s="143"/>
      <c r="H21" s="143"/>
      <c r="I21" s="143"/>
      <c r="J21" s="146"/>
    </row>
    <row r="22" spans="1:10" x14ac:dyDescent="0.2">
      <c r="A22" s="207" t="s">
        <v>457</v>
      </c>
      <c r="B22" s="207" t="s">
        <v>457</v>
      </c>
      <c r="C22" s="125">
        <v>32</v>
      </c>
      <c r="D22" s="124" t="e">
        <f>#REF!</f>
        <v>#REF!</v>
      </c>
      <c r="E22" s="234">
        <v>62</v>
      </c>
      <c r="G22" s="143"/>
      <c r="H22" s="143"/>
      <c r="I22" s="143"/>
      <c r="J22" s="145"/>
    </row>
    <row r="23" spans="1:10" x14ac:dyDescent="0.2">
      <c r="A23" s="211">
        <v>32</v>
      </c>
      <c r="B23" s="207">
        <v>67</v>
      </c>
      <c r="C23" s="125">
        <v>33</v>
      </c>
      <c r="D23" s="124" t="e">
        <f>#REF!</f>
        <v>#REF!</v>
      </c>
      <c r="E23" s="234">
        <v>67</v>
      </c>
      <c r="G23" s="143"/>
      <c r="H23" s="143"/>
      <c r="I23" s="143"/>
      <c r="J23" s="145"/>
    </row>
    <row r="24" spans="1:10" x14ac:dyDescent="0.2">
      <c r="A24" s="211">
        <v>31</v>
      </c>
      <c r="B24" s="207">
        <v>67</v>
      </c>
      <c r="C24" s="125">
        <v>34</v>
      </c>
      <c r="D24" s="124" t="e">
        <f>#REF!</f>
        <v>#REF!</v>
      </c>
      <c r="E24" s="234">
        <v>67</v>
      </c>
      <c r="G24" s="143"/>
      <c r="H24" s="143"/>
      <c r="I24" s="143"/>
      <c r="J24" s="148"/>
    </row>
    <row r="25" spans="1:10" x14ac:dyDescent="0.2">
      <c r="A25" s="207" t="s">
        <v>457</v>
      </c>
      <c r="B25" s="207" t="s">
        <v>457</v>
      </c>
      <c r="C25" s="125">
        <v>35</v>
      </c>
      <c r="D25" s="124" t="e">
        <f>#REF!</f>
        <v>#REF!</v>
      </c>
      <c r="E25" s="234">
        <v>75</v>
      </c>
      <c r="G25" s="143"/>
      <c r="H25" s="143"/>
      <c r="I25" s="143"/>
      <c r="J25" s="146"/>
    </row>
    <row r="26" spans="1:10" x14ac:dyDescent="0.2">
      <c r="A26" s="211">
        <v>35</v>
      </c>
      <c r="B26" s="207">
        <v>75</v>
      </c>
      <c r="C26" s="125">
        <v>36</v>
      </c>
      <c r="D26" s="124" t="e">
        <f>#REF!</f>
        <v>#REF!</v>
      </c>
      <c r="E26" s="234">
        <v>75</v>
      </c>
      <c r="G26" s="143"/>
      <c r="H26" s="143"/>
      <c r="I26" s="143"/>
      <c r="J26" s="146"/>
    </row>
    <row r="27" spans="1:10" x14ac:dyDescent="0.2">
      <c r="A27" s="211">
        <v>34</v>
      </c>
      <c r="B27" s="207">
        <v>70</v>
      </c>
      <c r="C27" s="125">
        <v>37</v>
      </c>
      <c r="D27" s="124" t="e">
        <f>#REF!</f>
        <v>#REF!</v>
      </c>
      <c r="E27" s="234">
        <v>70</v>
      </c>
      <c r="G27" s="135"/>
      <c r="H27" s="124"/>
    </row>
    <row r="28" spans="1:10" x14ac:dyDescent="0.2">
      <c r="A28" s="211">
        <v>39</v>
      </c>
      <c r="B28" s="207">
        <v>70</v>
      </c>
      <c r="C28" s="125">
        <v>38</v>
      </c>
      <c r="D28" s="124" t="e">
        <f>#REF!</f>
        <v>#REF!</v>
      </c>
      <c r="E28" s="234">
        <v>70</v>
      </c>
      <c r="G28" s="147"/>
      <c r="H28" s="148"/>
      <c r="I28" s="148"/>
      <c r="J28" s="148"/>
    </row>
    <row r="29" spans="1:10" x14ac:dyDescent="0.2">
      <c r="A29" s="211">
        <v>38</v>
      </c>
      <c r="B29" s="207">
        <v>70</v>
      </c>
      <c r="C29" s="125">
        <v>39</v>
      </c>
      <c r="D29" s="124" t="e">
        <f>#REF!</f>
        <v>#REF!</v>
      </c>
      <c r="E29" s="234">
        <v>70</v>
      </c>
      <c r="G29" s="135"/>
      <c r="H29" s="124"/>
    </row>
    <row r="30" spans="1:10" x14ac:dyDescent="0.2">
      <c r="A30" s="211">
        <v>40</v>
      </c>
      <c r="B30" s="241" t="s">
        <v>474</v>
      </c>
      <c r="C30" s="125">
        <v>40</v>
      </c>
      <c r="D30" s="124" t="e">
        <f>#REF!</f>
        <v>#REF!</v>
      </c>
      <c r="E30" s="235">
        <v>77</v>
      </c>
      <c r="G30" s="135"/>
      <c r="H30" s="124"/>
    </row>
    <row r="31" spans="1:10" x14ac:dyDescent="0.2">
      <c r="A31" s="211">
        <v>36</v>
      </c>
      <c r="B31" s="207">
        <v>23</v>
      </c>
      <c r="C31" s="125">
        <v>41</v>
      </c>
      <c r="D31" s="124" t="e">
        <f>#REF!</f>
        <v>#REF!</v>
      </c>
      <c r="E31" s="234">
        <v>23</v>
      </c>
    </row>
    <row r="32" spans="1:10" x14ac:dyDescent="0.2">
      <c r="A32" s="211">
        <v>37</v>
      </c>
      <c r="B32" s="207">
        <v>26</v>
      </c>
      <c r="C32" s="125">
        <v>42</v>
      </c>
      <c r="D32" s="124" t="e">
        <f>#REF!</f>
        <v>#REF!</v>
      </c>
      <c r="E32" s="234">
        <v>26</v>
      </c>
    </row>
    <row r="33" spans="1:9" x14ac:dyDescent="0.2">
      <c r="E33" s="131"/>
      <c r="F33" s="131"/>
      <c r="G33" s="131"/>
      <c r="H33" s="131"/>
      <c r="I33" s="131"/>
    </row>
    <row r="34" spans="1:9" ht="15" x14ac:dyDescent="0.25">
      <c r="A34" s="247"/>
      <c r="B34" s="247"/>
      <c r="C34" s="144" t="s">
        <v>435</v>
      </c>
    </row>
    <row r="35" spans="1:9" x14ac:dyDescent="0.2">
      <c r="A35" s="248"/>
      <c r="B35" s="248"/>
      <c r="C35" s="137" t="s">
        <v>458</v>
      </c>
    </row>
    <row r="36" spans="1:9" x14ac:dyDescent="0.2">
      <c r="A36" s="248"/>
      <c r="B36" s="248"/>
      <c r="C36" s="137" t="s">
        <v>459</v>
      </c>
    </row>
    <row r="37" spans="1:9" x14ac:dyDescent="0.2">
      <c r="A37" s="248"/>
      <c r="B37" s="248"/>
      <c r="C37" s="137"/>
    </row>
    <row r="38" spans="1:9" ht="15" x14ac:dyDescent="0.25">
      <c r="A38" s="247"/>
      <c r="B38" s="247"/>
      <c r="C38" s="144" t="s">
        <v>440</v>
      </c>
      <c r="D38" s="136"/>
    </row>
    <row r="39" spans="1:9" x14ac:dyDescent="0.2">
      <c r="A39" s="248"/>
      <c r="B39" s="248"/>
      <c r="C39" s="137" t="s">
        <v>419</v>
      </c>
    </row>
    <row r="40" spans="1:9" x14ac:dyDescent="0.2">
      <c r="D40" s="464" t="s">
        <v>168</v>
      </c>
      <c r="E40" s="464"/>
      <c r="F40" s="464"/>
      <c r="G40" s="464"/>
      <c r="H40" s="464"/>
      <c r="I40" s="464"/>
    </row>
    <row r="41" spans="1:9" x14ac:dyDescent="0.2">
      <c r="D41" s="125"/>
      <c r="E41" s="138" t="s">
        <v>261</v>
      </c>
      <c r="F41" s="138" t="s">
        <v>161</v>
      </c>
      <c r="G41" s="138" t="s">
        <v>4</v>
      </c>
      <c r="H41" s="138" t="s">
        <v>3</v>
      </c>
      <c r="I41" s="128" t="s">
        <v>405</v>
      </c>
    </row>
    <row r="42" spans="1:9" x14ac:dyDescent="0.2">
      <c r="D42" s="139" t="s">
        <v>406</v>
      </c>
      <c r="E42" s="244">
        <v>30</v>
      </c>
      <c r="F42" s="244">
        <v>30</v>
      </c>
      <c r="G42" s="236">
        <v>28</v>
      </c>
      <c r="H42" s="236">
        <v>27</v>
      </c>
      <c r="I42" s="244">
        <v>26</v>
      </c>
    </row>
    <row r="43" spans="1:9" x14ac:dyDescent="0.2">
      <c r="D43" s="139" t="s">
        <v>407</v>
      </c>
      <c r="E43" s="236">
        <v>60</v>
      </c>
      <c r="F43" s="236">
        <v>55</v>
      </c>
      <c r="G43" s="244">
        <v>50</v>
      </c>
      <c r="H43" s="244">
        <v>45</v>
      </c>
      <c r="I43" s="244">
        <v>35</v>
      </c>
    </row>
    <row r="44" spans="1:9" x14ac:dyDescent="0.2">
      <c r="D44" s="139" t="s">
        <v>408</v>
      </c>
      <c r="E44" s="236">
        <v>53</v>
      </c>
      <c r="F44" s="236">
        <v>50</v>
      </c>
      <c r="G44" s="236">
        <v>48</v>
      </c>
      <c r="H44" s="236">
        <v>44</v>
      </c>
      <c r="I44" s="236">
        <v>33</v>
      </c>
    </row>
    <row r="45" spans="1:9" x14ac:dyDescent="0.2">
      <c r="D45" s="139" t="s">
        <v>409</v>
      </c>
      <c r="E45" s="236">
        <v>45</v>
      </c>
      <c r="F45" s="236">
        <v>43</v>
      </c>
      <c r="G45" s="236">
        <v>40</v>
      </c>
      <c r="H45" s="244">
        <v>37</v>
      </c>
      <c r="I45" s="244">
        <v>34</v>
      </c>
    </row>
    <row r="46" spans="1:9" x14ac:dyDescent="0.2">
      <c r="D46" s="139"/>
      <c r="E46" s="207"/>
      <c r="F46" s="207"/>
      <c r="G46" s="207"/>
      <c r="H46" s="207"/>
      <c r="I46" s="207"/>
    </row>
    <row r="47" spans="1:9" x14ac:dyDescent="0.2">
      <c r="D47" s="139" t="str">
        <f>D15</f>
        <v>Expressway, posted 60-70 mph</v>
      </c>
      <c r="E47" s="244">
        <v>65</v>
      </c>
      <c r="F47" s="208"/>
      <c r="G47" s="208"/>
      <c r="H47" s="208"/>
      <c r="I47" s="211"/>
    </row>
    <row r="48" spans="1:9" x14ac:dyDescent="0.2">
      <c r="D48" s="139" t="str">
        <f>D16</f>
        <v>Expressway, posted 55-65 mph</v>
      </c>
      <c r="E48" s="244">
        <v>60</v>
      </c>
      <c r="F48" s="208"/>
      <c r="G48" s="208"/>
      <c r="H48" s="208"/>
      <c r="I48" s="211"/>
    </row>
    <row r="49" spans="4:10" x14ac:dyDescent="0.2">
      <c r="D49" s="139" t="str">
        <f>D17</f>
        <v>Expressway, posted 50-60 mph</v>
      </c>
      <c r="E49" s="244">
        <v>55</v>
      </c>
      <c r="F49" s="208"/>
      <c r="G49" s="208"/>
      <c r="H49" s="208"/>
      <c r="I49" s="211"/>
    </row>
    <row r="50" spans="4:10" x14ac:dyDescent="0.2">
      <c r="D50" s="139" t="str">
        <f>D18</f>
        <v>Expressway, posted 45-55 mph</v>
      </c>
      <c r="E50" s="244">
        <v>50</v>
      </c>
      <c r="F50" s="208"/>
      <c r="G50" s="208"/>
      <c r="H50" s="208"/>
      <c r="I50" s="211"/>
    </row>
    <row r="51" spans="4:10" x14ac:dyDescent="0.2">
      <c r="F51" s="131"/>
      <c r="G51" s="131"/>
      <c r="H51" s="131"/>
      <c r="I51" s="125"/>
      <c r="J51" s="131"/>
    </row>
    <row r="52" spans="4:10" x14ac:dyDescent="0.2">
      <c r="D52" s="464" t="s">
        <v>163</v>
      </c>
      <c r="E52" s="464"/>
      <c r="F52" s="464"/>
      <c r="G52" s="464"/>
      <c r="H52" s="464"/>
      <c r="I52" s="464"/>
      <c r="J52" s="131"/>
    </row>
    <row r="53" spans="4:10" x14ac:dyDescent="0.2">
      <c r="D53" s="125"/>
      <c r="E53" s="138" t="s">
        <v>261</v>
      </c>
      <c r="F53" s="138" t="s">
        <v>161</v>
      </c>
      <c r="G53" s="138" t="s">
        <v>4</v>
      </c>
      <c r="H53" s="138" t="s">
        <v>3</v>
      </c>
      <c r="I53" s="128" t="s">
        <v>405</v>
      </c>
      <c r="J53" s="131"/>
    </row>
    <row r="54" spans="4:10" x14ac:dyDescent="0.2">
      <c r="D54" s="139" t="s">
        <v>406</v>
      </c>
      <c r="E54" s="237">
        <v>0</v>
      </c>
      <c r="F54" s="237">
        <v>3</v>
      </c>
      <c r="G54" s="237">
        <v>5</v>
      </c>
      <c r="H54" s="237">
        <v>6</v>
      </c>
      <c r="I54" s="237">
        <v>8.5</v>
      </c>
    </row>
    <row r="55" spans="4:10" x14ac:dyDescent="0.2">
      <c r="D55" s="139" t="s">
        <v>407</v>
      </c>
      <c r="E55" s="237">
        <v>0</v>
      </c>
      <c r="F55" s="237">
        <v>1</v>
      </c>
      <c r="G55" s="237">
        <v>1.9</v>
      </c>
      <c r="H55" s="237">
        <v>2.2999999999999998</v>
      </c>
      <c r="I55" s="237">
        <v>3</v>
      </c>
    </row>
    <row r="56" spans="4:10" x14ac:dyDescent="0.2">
      <c r="D56" s="139" t="s">
        <v>408</v>
      </c>
      <c r="E56" s="237">
        <v>0</v>
      </c>
      <c r="F56" s="237">
        <v>1.5</v>
      </c>
      <c r="G56" s="237">
        <v>2.7</v>
      </c>
      <c r="H56" s="237">
        <v>2.9</v>
      </c>
      <c r="I56" s="237">
        <v>4</v>
      </c>
    </row>
    <row r="57" spans="4:10" x14ac:dyDescent="0.2">
      <c r="D57" s="139" t="s">
        <v>409</v>
      </c>
      <c r="E57" s="237">
        <v>0</v>
      </c>
      <c r="F57" s="237">
        <v>2</v>
      </c>
      <c r="G57" s="237">
        <v>3.5</v>
      </c>
      <c r="H57" s="237">
        <v>3.3</v>
      </c>
      <c r="I57" s="237">
        <v>6</v>
      </c>
    </row>
    <row r="58" spans="4:10" x14ac:dyDescent="0.2">
      <c r="D58" s="139"/>
      <c r="E58" s="208"/>
      <c r="F58" s="208"/>
      <c r="G58" s="208"/>
      <c r="H58" s="208"/>
      <c r="I58" s="208"/>
    </row>
    <row r="59" spans="4:10" x14ac:dyDescent="0.2">
      <c r="D59" s="139" t="str">
        <f>D47</f>
        <v>Expressway, posted 60-70 mph</v>
      </c>
      <c r="E59" s="238">
        <v>0.5</v>
      </c>
      <c r="F59" s="208"/>
      <c r="G59" s="208"/>
      <c r="H59" s="208"/>
      <c r="I59" s="211"/>
    </row>
    <row r="60" spans="4:10" x14ac:dyDescent="0.2">
      <c r="D60" s="139" t="str">
        <f t="shared" ref="D60:D62" si="1">D48</f>
        <v>Expressway, posted 55-65 mph</v>
      </c>
      <c r="E60" s="238">
        <v>0.75</v>
      </c>
      <c r="F60" s="208"/>
      <c r="G60" s="208"/>
      <c r="H60" s="208"/>
      <c r="I60" s="211"/>
    </row>
    <row r="61" spans="4:10" x14ac:dyDescent="0.2">
      <c r="D61" s="139" t="str">
        <f t="shared" si="1"/>
        <v>Expressway, posted 50-60 mph</v>
      </c>
      <c r="E61" s="238">
        <v>1</v>
      </c>
      <c r="F61" s="208"/>
      <c r="G61" s="208"/>
      <c r="H61" s="208"/>
      <c r="I61" s="211"/>
    </row>
    <row r="62" spans="4:10" x14ac:dyDescent="0.2">
      <c r="D62" s="139" t="str">
        <f t="shared" si="1"/>
        <v>Expressway, posted 45-55 mph</v>
      </c>
      <c r="E62" s="238">
        <v>1.25</v>
      </c>
      <c r="F62" s="208"/>
      <c r="G62" s="208"/>
      <c r="H62" s="208"/>
      <c r="I62" s="211"/>
    </row>
    <row r="63" spans="4:10" x14ac:dyDescent="0.2">
      <c r="F63" s="131"/>
      <c r="G63" s="131"/>
      <c r="H63" s="131"/>
      <c r="I63" s="125"/>
    </row>
    <row r="64" spans="4:10" x14ac:dyDescent="0.2">
      <c r="D64" s="464" t="s">
        <v>170</v>
      </c>
      <c r="E64" s="464"/>
      <c r="F64" s="464"/>
      <c r="G64" s="464"/>
      <c r="H64" s="464"/>
      <c r="I64" s="464"/>
    </row>
    <row r="65" spans="4:9" x14ac:dyDescent="0.2">
      <c r="D65" s="125"/>
      <c r="E65" s="138" t="s">
        <v>261</v>
      </c>
      <c r="F65" s="138" t="s">
        <v>161</v>
      </c>
      <c r="G65" s="138" t="s">
        <v>4</v>
      </c>
      <c r="H65" s="138" t="s">
        <v>3</v>
      </c>
      <c r="I65" s="128" t="s">
        <v>405</v>
      </c>
    </row>
    <row r="66" spans="4:9" x14ac:dyDescent="0.2">
      <c r="D66" s="139" t="s">
        <v>171</v>
      </c>
      <c r="E66" s="235">
        <v>0</v>
      </c>
      <c r="F66" s="235">
        <v>10</v>
      </c>
      <c r="G66" s="235">
        <v>10</v>
      </c>
      <c r="H66" s="235">
        <v>13</v>
      </c>
      <c r="I66" s="235">
        <v>15</v>
      </c>
    </row>
    <row r="67" spans="4:9" x14ac:dyDescent="0.2">
      <c r="D67" s="139"/>
      <c r="E67" s="125"/>
      <c r="G67" s="125"/>
      <c r="H67" s="125"/>
      <c r="I67" s="125"/>
    </row>
    <row r="68" spans="4:9" x14ac:dyDescent="0.2">
      <c r="D68" s="139" t="str">
        <f>D59</f>
        <v>Expressway, posted 60-70 mph</v>
      </c>
      <c r="E68" s="244">
        <v>10</v>
      </c>
    </row>
    <row r="69" spans="4:9" x14ac:dyDescent="0.2">
      <c r="D69" s="139" t="str">
        <f t="shared" ref="D69:D71" si="2">D60</f>
        <v>Expressway, posted 55-65 mph</v>
      </c>
      <c r="E69" s="244">
        <v>10</v>
      </c>
    </row>
    <row r="70" spans="4:9" x14ac:dyDescent="0.2">
      <c r="D70" s="139" t="str">
        <f t="shared" si="2"/>
        <v>Expressway, posted 50-60 mph</v>
      </c>
      <c r="E70" s="244">
        <v>10</v>
      </c>
    </row>
    <row r="71" spans="4:9" x14ac:dyDescent="0.2">
      <c r="D71" s="139" t="str">
        <f t="shared" si="2"/>
        <v>Expressway, posted 45-55 mph</v>
      </c>
      <c r="E71" s="244">
        <v>10</v>
      </c>
    </row>
    <row r="72" spans="4:9" x14ac:dyDescent="0.2">
      <c r="F72" s="134"/>
      <c r="G72" s="127"/>
      <c r="H72" s="127"/>
    </row>
    <row r="73" spans="4:9" x14ac:dyDescent="0.2">
      <c r="E73" s="127"/>
      <c r="F73" s="134"/>
      <c r="G73" s="127"/>
      <c r="H73" s="127"/>
    </row>
    <row r="74" spans="4:9" x14ac:dyDescent="0.2">
      <c r="E74" s="127"/>
      <c r="F74" s="134"/>
      <c r="G74" s="127"/>
      <c r="H74" s="127"/>
    </row>
    <row r="76" spans="4:9" x14ac:dyDescent="0.2">
      <c r="D76" s="127"/>
      <c r="E76" s="127"/>
      <c r="F76" s="127"/>
      <c r="G76" s="127"/>
      <c r="H76" s="127"/>
      <c r="I76" s="127"/>
    </row>
    <row r="81" spans="4:9" ht="15.75" x14ac:dyDescent="0.25">
      <c r="D81" s="140"/>
      <c r="G81" s="134"/>
      <c r="H81" s="127"/>
      <c r="I81" s="127"/>
    </row>
    <row r="82" spans="4:9" ht="15.75" x14ac:dyDescent="0.25">
      <c r="D82" s="140"/>
      <c r="E82" s="127"/>
      <c r="F82" s="127"/>
      <c r="G82" s="127"/>
      <c r="H82" s="127"/>
      <c r="I82" s="127"/>
    </row>
    <row r="83" spans="4:9" ht="15.75" x14ac:dyDescent="0.25">
      <c r="D83" s="140"/>
      <c r="E83" s="127"/>
      <c r="F83" s="127"/>
      <c r="G83" s="127"/>
      <c r="H83" s="127"/>
      <c r="I83" s="127"/>
    </row>
  </sheetData>
  <mergeCells count="5">
    <mergeCell ref="C1:K1"/>
    <mergeCell ref="E2:I2"/>
    <mergeCell ref="D40:I40"/>
    <mergeCell ref="D52:I52"/>
    <mergeCell ref="D64:I64"/>
  </mergeCells>
  <printOptions horizontalCentered="1"/>
  <pageMargins left="0.75" right="0.75" top="0.5" bottom="0.25" header="0.25" footer="0.25"/>
  <pageSetup scale="77" orientation="portrait" r:id="rId1"/>
  <headerFooter alignWithMargins="0"/>
  <colBreaks count="1" manualBreakCount="1">
    <brk id="11" max="71"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I74"/>
  <sheetViews>
    <sheetView showGridLines="0" view="pageBreakPreview" zoomScale="85" zoomScaleNormal="85" workbookViewId="0">
      <selection activeCell="Q11" sqref="Q11"/>
    </sheetView>
  </sheetViews>
  <sheetFormatPr defaultColWidth="9.140625" defaultRowHeight="12.75" x14ac:dyDescent="0.2"/>
  <cols>
    <col min="1" max="1" width="8.5703125" style="125" customWidth="1"/>
    <col min="2" max="2" width="34.7109375" style="124" customWidth="1"/>
    <col min="3" max="3" width="8.7109375" style="133" customWidth="1"/>
    <col min="4" max="4" width="8.7109375" style="125" customWidth="1"/>
    <col min="5" max="5" width="8.7109375" style="124" customWidth="1"/>
    <col min="6" max="6" width="8.7109375" style="134" customWidth="1"/>
    <col min="7" max="7" width="8.7109375" style="124" customWidth="1"/>
    <col min="8" max="8" width="10.5703125" style="124" customWidth="1"/>
    <col min="9" max="9" width="6" style="124" customWidth="1"/>
    <col min="10" max="10" width="41.140625" style="124" bestFit="1" customWidth="1"/>
    <col min="11" max="16384" width="9.140625" style="124"/>
  </cols>
  <sheetData>
    <row r="1" spans="1:9" ht="23.25" x14ac:dyDescent="0.35">
      <c r="A1" s="465" t="s">
        <v>401</v>
      </c>
      <c r="B1" s="465"/>
      <c r="C1" s="465"/>
      <c r="D1" s="465"/>
      <c r="E1" s="465"/>
      <c r="F1" s="465"/>
      <c r="G1" s="465"/>
      <c r="H1" s="465"/>
      <c r="I1" s="465"/>
    </row>
    <row r="2" spans="1:9" ht="24.75" customHeight="1" x14ac:dyDescent="0.2">
      <c r="B2" s="126"/>
      <c r="C2" s="463" t="s">
        <v>402</v>
      </c>
      <c r="D2" s="463"/>
      <c r="E2" s="463"/>
      <c r="F2" s="463"/>
      <c r="G2" s="463"/>
    </row>
    <row r="3" spans="1:9" x14ac:dyDescent="0.2">
      <c r="B3" s="126"/>
      <c r="C3" s="127">
        <v>1</v>
      </c>
      <c r="D3" s="127">
        <v>2</v>
      </c>
      <c r="E3" s="127">
        <v>3</v>
      </c>
      <c r="F3" s="127">
        <v>4</v>
      </c>
      <c r="G3" s="127">
        <v>5</v>
      </c>
    </row>
    <row r="4" spans="1:9" x14ac:dyDescent="0.2">
      <c r="A4" s="127" t="s">
        <v>403</v>
      </c>
      <c r="B4" s="128" t="s">
        <v>404</v>
      </c>
      <c r="C4" s="128" t="s">
        <v>261</v>
      </c>
      <c r="D4" s="128" t="s">
        <v>161</v>
      </c>
      <c r="E4" s="128" t="s">
        <v>4</v>
      </c>
      <c r="F4" s="128" t="s">
        <v>3</v>
      </c>
      <c r="G4" s="128" t="s">
        <v>405</v>
      </c>
      <c r="H4" s="127"/>
      <c r="I4" s="127"/>
    </row>
    <row r="5" spans="1:9" s="127" customFormat="1" x14ac:dyDescent="0.2">
      <c r="A5" s="125">
        <v>1</v>
      </c>
      <c r="B5" s="124" t="s">
        <v>406</v>
      </c>
      <c r="C5" s="129">
        <f t="shared" ref="C5:G8" si="0">1 / ((1/C42) + (C51*C$60/3600))</f>
        <v>30</v>
      </c>
      <c r="D5" s="129">
        <f t="shared" si="0"/>
        <v>23.225806451612904</v>
      </c>
      <c r="E5" s="129">
        <f t="shared" si="0"/>
        <v>21.176470588235293</v>
      </c>
      <c r="F5" s="129">
        <f t="shared" si="0"/>
        <v>16.216216216216218</v>
      </c>
      <c r="G5" s="129">
        <f t="shared" si="0"/>
        <v>13.535791757049891</v>
      </c>
      <c r="H5" s="124"/>
      <c r="I5" s="124"/>
    </row>
    <row r="6" spans="1:9" x14ac:dyDescent="0.2">
      <c r="A6" s="125">
        <v>2</v>
      </c>
      <c r="B6" s="124" t="s">
        <v>407</v>
      </c>
      <c r="C6" s="129">
        <f t="shared" si="0"/>
        <v>55</v>
      </c>
      <c r="D6" s="129">
        <f t="shared" si="0"/>
        <v>44.745762711864408</v>
      </c>
      <c r="E6" s="129">
        <f t="shared" si="0"/>
        <v>39.560439560439562</v>
      </c>
      <c r="F6" s="129">
        <f t="shared" si="0"/>
        <v>32.757051865332116</v>
      </c>
      <c r="G6" s="129">
        <f t="shared" si="0"/>
        <v>23.398328690807801</v>
      </c>
    </row>
    <row r="7" spans="1:9" x14ac:dyDescent="0.2">
      <c r="A7" s="125">
        <v>3</v>
      </c>
      <c r="B7" s="124" t="s">
        <v>408</v>
      </c>
      <c r="C7" s="129">
        <f t="shared" si="0"/>
        <v>50</v>
      </c>
      <c r="D7" s="129">
        <f t="shared" si="0"/>
        <v>39.130434782608695</v>
      </c>
      <c r="E7" s="129">
        <f t="shared" si="0"/>
        <v>36.363636363636367</v>
      </c>
      <c r="F7" s="129">
        <f t="shared" si="0"/>
        <v>31.044955194780847</v>
      </c>
      <c r="G7" s="129">
        <f t="shared" si="0"/>
        <v>22.527075812274372</v>
      </c>
    </row>
    <row r="8" spans="1:9" x14ac:dyDescent="0.2">
      <c r="A8" s="130">
        <v>4</v>
      </c>
      <c r="B8" s="124" t="s">
        <v>420</v>
      </c>
      <c r="C8" s="129">
        <f t="shared" si="0"/>
        <v>40</v>
      </c>
      <c r="D8" s="129">
        <f>1 / ((1/D45) + (D54*D$60/3600))</f>
        <v>33.772455089820355</v>
      </c>
      <c r="E8" s="129">
        <f t="shared" si="0"/>
        <v>30.323212536728697</v>
      </c>
      <c r="F8" s="129">
        <f t="shared" si="0"/>
        <v>25.678098432710659</v>
      </c>
      <c r="G8" s="129">
        <f t="shared" si="0"/>
        <v>18.378378378378379</v>
      </c>
    </row>
    <row r="9" spans="1:9" x14ac:dyDescent="0.2">
      <c r="A9" s="125">
        <v>5</v>
      </c>
      <c r="B9" s="124" t="s">
        <v>421</v>
      </c>
      <c r="C9" s="141">
        <f>C8-3</f>
        <v>37</v>
      </c>
      <c r="D9" s="141">
        <f>D8-3</f>
        <v>30.772455089820355</v>
      </c>
      <c r="E9" s="141">
        <f>E8-3</f>
        <v>27.323212536728697</v>
      </c>
      <c r="F9" s="141">
        <f>F8-3</f>
        <v>22.678098432710659</v>
      </c>
      <c r="G9" s="141">
        <f>G8-3</f>
        <v>15.378378378378379</v>
      </c>
    </row>
    <row r="10" spans="1:9" x14ac:dyDescent="0.2">
      <c r="C10" s="129"/>
      <c r="D10" s="129"/>
      <c r="E10" s="129"/>
      <c r="F10" s="129"/>
      <c r="G10" s="129"/>
    </row>
    <row r="11" spans="1:9" x14ac:dyDescent="0.2">
      <c r="A11" s="127" t="s">
        <v>403</v>
      </c>
      <c r="B11" s="128" t="s">
        <v>404</v>
      </c>
      <c r="C11" s="128" t="s">
        <v>410</v>
      </c>
      <c r="D11" s="142" t="s">
        <v>441</v>
      </c>
    </row>
    <row r="12" spans="1:9" x14ac:dyDescent="0.2">
      <c r="A12" s="125">
        <v>9</v>
      </c>
      <c r="B12" s="124" t="s">
        <v>424</v>
      </c>
      <c r="C12" s="132">
        <v>38</v>
      </c>
      <c r="D12" s="135"/>
      <c r="E12" s="135"/>
    </row>
    <row r="13" spans="1:9" x14ac:dyDescent="0.2">
      <c r="A13" s="125">
        <v>10</v>
      </c>
      <c r="B13" s="124" t="s">
        <v>425</v>
      </c>
      <c r="C13" s="132">
        <v>42</v>
      </c>
      <c r="D13" s="135"/>
      <c r="E13" s="135"/>
      <c r="F13" s="135"/>
    </row>
    <row r="14" spans="1:9" x14ac:dyDescent="0.2">
      <c r="A14" s="130">
        <v>11</v>
      </c>
      <c r="B14" s="124" t="s">
        <v>411</v>
      </c>
      <c r="C14" s="129">
        <f>1 / ((1/C46) + (C55*C61/3600))</f>
        <v>41.379310344827587</v>
      </c>
      <c r="D14" s="135"/>
      <c r="E14" s="135"/>
      <c r="F14" s="135"/>
    </row>
    <row r="15" spans="1:9" x14ac:dyDescent="0.2">
      <c r="A15" s="125">
        <v>22</v>
      </c>
      <c r="B15" s="124" t="s">
        <v>438</v>
      </c>
      <c r="C15" s="129">
        <f>1 / ((1/C47) + (C56*C62/3600))</f>
        <v>44.978123480797279</v>
      </c>
      <c r="D15" s="143"/>
      <c r="E15" s="143"/>
      <c r="F15" s="143"/>
      <c r="G15" s="143"/>
    </row>
    <row r="16" spans="1:9" x14ac:dyDescent="0.2">
      <c r="A16" s="125">
        <v>23</v>
      </c>
      <c r="B16" s="124" t="s">
        <v>437</v>
      </c>
      <c r="C16" s="141">
        <f>C15-5</f>
        <v>39.978123480797279</v>
      </c>
      <c r="D16" s="143"/>
      <c r="E16" s="143"/>
      <c r="F16" s="143"/>
      <c r="G16" s="143"/>
    </row>
    <row r="17" spans="1:8" x14ac:dyDescent="0.2">
      <c r="A17" s="125">
        <v>24</v>
      </c>
      <c r="B17" s="124" t="s">
        <v>439</v>
      </c>
      <c r="C17" s="141">
        <f>C15-10</f>
        <v>34.978123480797279</v>
      </c>
      <c r="D17" s="143"/>
      <c r="E17" s="143"/>
      <c r="F17" s="143"/>
      <c r="G17" s="143"/>
    </row>
    <row r="18" spans="1:8" x14ac:dyDescent="0.2">
      <c r="A18" s="125">
        <v>29</v>
      </c>
      <c r="B18" s="124" t="s">
        <v>426</v>
      </c>
      <c r="C18" s="132">
        <v>40</v>
      </c>
      <c r="D18" s="143"/>
      <c r="E18" s="143"/>
      <c r="F18" s="143"/>
      <c r="G18" s="143"/>
      <c r="H18" s="145"/>
    </row>
    <row r="19" spans="1:8" x14ac:dyDescent="0.2">
      <c r="A19" s="125">
        <v>30</v>
      </c>
      <c r="B19" s="124" t="s">
        <v>427</v>
      </c>
      <c r="C19" s="132">
        <v>40</v>
      </c>
      <c r="D19" s="143"/>
      <c r="E19" s="143"/>
      <c r="F19" s="143"/>
      <c r="G19" s="143"/>
      <c r="H19" s="145"/>
    </row>
    <row r="20" spans="1:8" x14ac:dyDescent="0.2">
      <c r="A20" s="125">
        <v>31</v>
      </c>
      <c r="B20" s="124" t="s">
        <v>413</v>
      </c>
      <c r="C20" s="132">
        <v>67</v>
      </c>
      <c r="D20" s="143"/>
      <c r="E20" s="143"/>
      <c r="F20" s="143"/>
      <c r="G20" s="143"/>
      <c r="H20" s="145"/>
    </row>
    <row r="21" spans="1:8" x14ac:dyDescent="0.2">
      <c r="A21" s="125">
        <v>32</v>
      </c>
      <c r="B21" s="124" t="s">
        <v>414</v>
      </c>
      <c r="C21" s="132">
        <v>67</v>
      </c>
      <c r="D21" s="143"/>
      <c r="E21" s="143"/>
      <c r="F21" s="143"/>
      <c r="G21" s="143"/>
      <c r="H21" s="145"/>
    </row>
    <row r="22" spans="1:8" x14ac:dyDescent="0.2">
      <c r="A22" s="125">
        <v>33</v>
      </c>
      <c r="B22" s="124" t="s">
        <v>415</v>
      </c>
      <c r="C22" s="132">
        <v>55</v>
      </c>
      <c r="D22" s="143"/>
      <c r="E22" s="143"/>
      <c r="F22" s="143"/>
      <c r="G22" s="143"/>
      <c r="H22" s="146"/>
    </row>
    <row r="23" spans="1:8" x14ac:dyDescent="0.2">
      <c r="A23" s="125">
        <v>34</v>
      </c>
      <c r="B23" s="124" t="s">
        <v>416</v>
      </c>
      <c r="C23" s="132">
        <v>70</v>
      </c>
      <c r="D23" s="143"/>
      <c r="E23" s="143"/>
      <c r="F23" s="143"/>
      <c r="G23" s="143"/>
      <c r="H23" s="146"/>
    </row>
    <row r="24" spans="1:8" x14ac:dyDescent="0.2">
      <c r="A24" s="125">
        <v>35</v>
      </c>
      <c r="B24" s="124" t="s">
        <v>417</v>
      </c>
      <c r="C24" s="132">
        <v>75</v>
      </c>
      <c r="D24" s="143"/>
      <c r="E24" s="143"/>
      <c r="F24" s="143"/>
      <c r="G24" s="143"/>
      <c r="H24" s="148"/>
    </row>
    <row r="25" spans="1:8" x14ac:dyDescent="0.2">
      <c r="A25" s="125">
        <v>36</v>
      </c>
      <c r="B25" s="124" t="s">
        <v>428</v>
      </c>
      <c r="C25" s="132">
        <v>23</v>
      </c>
      <c r="D25" s="147"/>
      <c r="E25" s="147"/>
      <c r="F25" s="148"/>
      <c r="G25" s="148"/>
      <c r="H25" s="148"/>
    </row>
    <row r="26" spans="1:8" x14ac:dyDescent="0.2">
      <c r="A26" s="125">
        <v>37</v>
      </c>
      <c r="B26" s="124" t="s">
        <v>429</v>
      </c>
      <c r="C26" s="132">
        <v>26</v>
      </c>
      <c r="D26" s="135"/>
      <c r="E26" s="135"/>
      <c r="F26" s="124"/>
    </row>
    <row r="27" spans="1:8" x14ac:dyDescent="0.2">
      <c r="A27" s="125">
        <v>38</v>
      </c>
      <c r="B27" s="124" t="s">
        <v>430</v>
      </c>
      <c r="C27" s="132">
        <v>70</v>
      </c>
      <c r="D27" s="135"/>
      <c r="E27" s="135"/>
      <c r="F27" s="124"/>
    </row>
    <row r="28" spans="1:8" x14ac:dyDescent="0.2">
      <c r="A28" s="125">
        <v>39</v>
      </c>
      <c r="B28" s="124" t="s">
        <v>418</v>
      </c>
      <c r="C28" s="132">
        <v>70</v>
      </c>
      <c r="D28" s="135"/>
      <c r="E28" s="135"/>
      <c r="F28" s="124"/>
    </row>
    <row r="29" spans="1:8" x14ac:dyDescent="0.2">
      <c r="A29" s="125">
        <v>40</v>
      </c>
      <c r="B29" s="124" t="s">
        <v>431</v>
      </c>
      <c r="C29" s="131">
        <v>77.5</v>
      </c>
      <c r="D29" s="135"/>
    </row>
    <row r="30" spans="1:8" x14ac:dyDescent="0.2">
      <c r="A30" s="125" t="s">
        <v>422</v>
      </c>
      <c r="B30" s="124" t="s">
        <v>423</v>
      </c>
      <c r="C30" s="142" t="s">
        <v>257</v>
      </c>
    </row>
    <row r="32" spans="1:8" x14ac:dyDescent="0.2">
      <c r="A32" s="137" t="s">
        <v>432</v>
      </c>
      <c r="C32" s="142"/>
    </row>
    <row r="33" spans="1:8" x14ac:dyDescent="0.2">
      <c r="C33" s="131"/>
      <c r="D33" s="131"/>
      <c r="E33" s="131"/>
      <c r="F33" s="131"/>
      <c r="G33" s="131"/>
    </row>
    <row r="34" spans="1:8" ht="15" x14ac:dyDescent="0.25">
      <c r="A34" s="144" t="s">
        <v>435</v>
      </c>
    </row>
    <row r="35" spans="1:8" x14ac:dyDescent="0.2">
      <c r="A35" s="137" t="s">
        <v>434</v>
      </c>
    </row>
    <row r="36" spans="1:8" x14ac:dyDescent="0.2">
      <c r="A36" s="137" t="s">
        <v>433</v>
      </c>
    </row>
    <row r="37" spans="1:8" x14ac:dyDescent="0.2">
      <c r="A37" s="137"/>
    </row>
    <row r="38" spans="1:8" ht="15" x14ac:dyDescent="0.25">
      <c r="A38" s="144" t="s">
        <v>440</v>
      </c>
      <c r="B38" s="136"/>
    </row>
    <row r="39" spans="1:8" x14ac:dyDescent="0.2">
      <c r="A39" s="137" t="s">
        <v>419</v>
      </c>
    </row>
    <row r="40" spans="1:8" x14ac:dyDescent="0.2">
      <c r="B40" s="464" t="s">
        <v>168</v>
      </c>
      <c r="C40" s="464"/>
      <c r="D40" s="464"/>
      <c r="E40" s="464"/>
      <c r="F40" s="464"/>
      <c r="G40" s="464"/>
    </row>
    <row r="41" spans="1:8" x14ac:dyDescent="0.2">
      <c r="B41" s="125"/>
      <c r="C41" s="138" t="s">
        <v>261</v>
      </c>
      <c r="D41" s="138" t="s">
        <v>161</v>
      </c>
      <c r="E41" s="138" t="s">
        <v>4</v>
      </c>
      <c r="F41" s="138" t="s">
        <v>3</v>
      </c>
      <c r="G41" s="128" t="s">
        <v>405</v>
      </c>
    </row>
    <row r="42" spans="1:8" x14ac:dyDescent="0.2">
      <c r="B42" s="139" t="s">
        <v>406</v>
      </c>
      <c r="C42" s="207">
        <v>30</v>
      </c>
      <c r="D42" s="207">
        <v>30</v>
      </c>
      <c r="E42" s="209">
        <v>30</v>
      </c>
      <c r="F42" s="209">
        <v>25</v>
      </c>
      <c r="G42" s="207">
        <v>26</v>
      </c>
    </row>
    <row r="43" spans="1:8" x14ac:dyDescent="0.2">
      <c r="B43" s="139" t="s">
        <v>407</v>
      </c>
      <c r="C43" s="207">
        <v>55</v>
      </c>
      <c r="D43" s="207">
        <v>55</v>
      </c>
      <c r="E43" s="207">
        <v>50</v>
      </c>
      <c r="F43" s="207">
        <v>45</v>
      </c>
      <c r="G43" s="207">
        <v>35</v>
      </c>
    </row>
    <row r="44" spans="1:8" x14ac:dyDescent="0.2">
      <c r="B44" s="139" t="s">
        <v>408</v>
      </c>
      <c r="C44" s="207">
        <v>50</v>
      </c>
      <c r="D44" s="207">
        <v>50</v>
      </c>
      <c r="E44" s="209">
        <v>50</v>
      </c>
      <c r="F44" s="209">
        <v>46</v>
      </c>
      <c r="G44" s="209">
        <v>39</v>
      </c>
    </row>
    <row r="45" spans="1:8" x14ac:dyDescent="0.2">
      <c r="B45" s="139" t="s">
        <v>409</v>
      </c>
      <c r="C45" s="209">
        <v>40</v>
      </c>
      <c r="D45" s="209">
        <v>47</v>
      </c>
      <c r="E45" s="209">
        <v>43</v>
      </c>
      <c r="F45" s="207">
        <v>37</v>
      </c>
      <c r="G45" s="207">
        <v>34</v>
      </c>
    </row>
    <row r="46" spans="1:8" x14ac:dyDescent="0.2">
      <c r="B46" s="139" t="s">
        <v>411</v>
      </c>
      <c r="C46" s="207">
        <v>50</v>
      </c>
      <c r="D46" s="131"/>
      <c r="E46" s="131"/>
      <c r="F46" s="131"/>
      <c r="G46" s="125"/>
    </row>
    <row r="47" spans="1:8" x14ac:dyDescent="0.2">
      <c r="B47" s="139" t="s">
        <v>412</v>
      </c>
      <c r="C47" s="207">
        <v>51.4</v>
      </c>
      <c r="D47" s="131"/>
      <c r="E47" s="131"/>
      <c r="F47" s="131"/>
      <c r="G47" s="125"/>
      <c r="H47" s="127"/>
    </row>
    <row r="48" spans="1:8" x14ac:dyDescent="0.2">
      <c r="D48" s="131"/>
      <c r="E48" s="131"/>
      <c r="F48" s="131"/>
      <c r="G48" s="125"/>
      <c r="H48" s="131"/>
    </row>
    <row r="49" spans="2:8" x14ac:dyDescent="0.2">
      <c r="B49" s="464" t="s">
        <v>163</v>
      </c>
      <c r="C49" s="464"/>
      <c r="D49" s="464"/>
      <c r="E49" s="464"/>
      <c r="F49" s="464"/>
      <c r="G49" s="464"/>
      <c r="H49" s="131"/>
    </row>
    <row r="50" spans="2:8" x14ac:dyDescent="0.2">
      <c r="B50" s="125"/>
      <c r="C50" s="138" t="s">
        <v>261</v>
      </c>
      <c r="D50" s="138" t="s">
        <v>161</v>
      </c>
      <c r="E50" s="138" t="s">
        <v>4</v>
      </c>
      <c r="F50" s="138" t="s">
        <v>3</v>
      </c>
      <c r="G50" s="128" t="s">
        <v>405</v>
      </c>
      <c r="H50" s="131"/>
    </row>
    <row r="51" spans="2:8" x14ac:dyDescent="0.2">
      <c r="B51" s="139" t="s">
        <v>406</v>
      </c>
      <c r="C51" s="210">
        <v>0</v>
      </c>
      <c r="D51" s="210">
        <v>3.5</v>
      </c>
      <c r="E51" s="210">
        <v>5</v>
      </c>
      <c r="F51" s="210">
        <v>6</v>
      </c>
      <c r="G51" s="210">
        <v>8.5</v>
      </c>
    </row>
    <row r="52" spans="2:8" x14ac:dyDescent="0.2">
      <c r="B52" s="139" t="s">
        <v>407</v>
      </c>
      <c r="C52" s="210">
        <v>0</v>
      </c>
      <c r="D52" s="210">
        <v>1.5</v>
      </c>
      <c r="E52" s="210">
        <v>1.9</v>
      </c>
      <c r="F52" s="210">
        <v>2.2999999999999998</v>
      </c>
      <c r="G52" s="210">
        <v>3.4</v>
      </c>
    </row>
    <row r="53" spans="2:8" x14ac:dyDescent="0.2">
      <c r="B53" s="139" t="s">
        <v>408</v>
      </c>
      <c r="C53" s="210">
        <v>0</v>
      </c>
      <c r="D53" s="210">
        <v>2</v>
      </c>
      <c r="E53" s="210">
        <v>2.7</v>
      </c>
      <c r="F53" s="210">
        <v>2.9</v>
      </c>
      <c r="G53" s="210">
        <v>4.5</v>
      </c>
    </row>
    <row r="54" spans="2:8" x14ac:dyDescent="0.2">
      <c r="B54" s="139" t="s">
        <v>409</v>
      </c>
      <c r="C54" s="210">
        <v>0</v>
      </c>
      <c r="D54" s="210">
        <v>3</v>
      </c>
      <c r="E54" s="210">
        <v>3.5</v>
      </c>
      <c r="F54" s="210">
        <v>3.3</v>
      </c>
      <c r="G54" s="210">
        <v>6</v>
      </c>
    </row>
    <row r="55" spans="2:8" x14ac:dyDescent="0.2">
      <c r="B55" s="139" t="s">
        <v>411</v>
      </c>
      <c r="C55" s="210">
        <v>1.5</v>
      </c>
      <c r="D55" s="210"/>
      <c r="E55" s="210"/>
      <c r="F55" s="210"/>
      <c r="G55" s="146"/>
    </row>
    <row r="56" spans="2:8" x14ac:dyDescent="0.2">
      <c r="B56" s="139" t="s">
        <v>412</v>
      </c>
      <c r="C56" s="131">
        <v>1</v>
      </c>
      <c r="D56" s="131"/>
      <c r="E56" s="131"/>
      <c r="F56" s="131"/>
      <c r="G56" s="125"/>
    </row>
    <row r="57" spans="2:8" x14ac:dyDescent="0.2">
      <c r="D57" s="131"/>
      <c r="E57" s="131"/>
      <c r="F57" s="131"/>
      <c r="G57" s="125"/>
    </row>
    <row r="58" spans="2:8" x14ac:dyDescent="0.2">
      <c r="B58" s="464" t="s">
        <v>170</v>
      </c>
      <c r="C58" s="464"/>
      <c r="D58" s="464"/>
      <c r="E58" s="464"/>
      <c r="F58" s="464"/>
      <c r="G58" s="464"/>
    </row>
    <row r="59" spans="2:8" x14ac:dyDescent="0.2">
      <c r="B59" s="125"/>
      <c r="C59" s="138" t="s">
        <v>261</v>
      </c>
      <c r="D59" s="138" t="s">
        <v>161</v>
      </c>
      <c r="E59" s="138" t="s">
        <v>4</v>
      </c>
      <c r="F59" s="138" t="s">
        <v>3</v>
      </c>
      <c r="G59" s="128" t="s">
        <v>405</v>
      </c>
    </row>
    <row r="60" spans="2:8" x14ac:dyDescent="0.2">
      <c r="B60" s="139" t="s">
        <v>171</v>
      </c>
      <c r="C60" s="125">
        <v>0</v>
      </c>
      <c r="D60" s="125">
        <v>10</v>
      </c>
      <c r="E60" s="125">
        <v>10</v>
      </c>
      <c r="F60" s="125">
        <v>13</v>
      </c>
      <c r="G60" s="125">
        <v>15</v>
      </c>
    </row>
    <row r="61" spans="2:8" x14ac:dyDescent="0.2">
      <c r="B61" s="139" t="s">
        <v>411</v>
      </c>
      <c r="C61" s="145">
        <v>10</v>
      </c>
    </row>
    <row r="62" spans="2:8" x14ac:dyDescent="0.2">
      <c r="B62" s="139" t="s">
        <v>412</v>
      </c>
      <c r="C62" s="145">
        <v>10</v>
      </c>
      <c r="D62" s="127"/>
      <c r="E62" s="127"/>
      <c r="F62" s="127"/>
    </row>
    <row r="63" spans="2:8" x14ac:dyDescent="0.2">
      <c r="D63" s="134"/>
      <c r="E63" s="127"/>
      <c r="F63" s="127"/>
    </row>
    <row r="64" spans="2:8" x14ac:dyDescent="0.2">
      <c r="C64" s="127"/>
      <c r="D64" s="134"/>
      <c r="E64" s="127"/>
      <c r="F64" s="127"/>
    </row>
    <row r="65" spans="2:7" x14ac:dyDescent="0.2">
      <c r="C65" s="127"/>
      <c r="D65" s="134"/>
      <c r="E65" s="127"/>
      <c r="F65" s="127"/>
    </row>
    <row r="67" spans="2:7" x14ac:dyDescent="0.2">
      <c r="B67" s="127"/>
      <c r="C67" s="127"/>
      <c r="D67" s="127"/>
      <c r="E67" s="127"/>
      <c r="F67" s="127"/>
      <c r="G67" s="127"/>
    </row>
    <row r="72" spans="2:7" ht="15.75" x14ac:dyDescent="0.25">
      <c r="B72" s="140"/>
      <c r="E72" s="134"/>
      <c r="F72" s="127"/>
      <c r="G72" s="127"/>
    </row>
    <row r="73" spans="2:7" ht="15.75" x14ac:dyDescent="0.25">
      <c r="B73" s="140"/>
      <c r="C73" s="127"/>
      <c r="D73" s="127"/>
      <c r="E73" s="127"/>
      <c r="F73" s="127"/>
      <c r="G73" s="127"/>
    </row>
    <row r="74" spans="2:7" ht="15.75" x14ac:dyDescent="0.25">
      <c r="B74" s="140"/>
      <c r="C74" s="127"/>
      <c r="D74" s="127"/>
      <c r="E74" s="127"/>
      <c r="F74" s="127"/>
      <c r="G74" s="127"/>
    </row>
  </sheetData>
  <mergeCells count="5">
    <mergeCell ref="B49:G49"/>
    <mergeCell ref="B58:G58"/>
    <mergeCell ref="C2:G2"/>
    <mergeCell ref="A1:I1"/>
    <mergeCell ref="B40:G40"/>
  </mergeCells>
  <phoneticPr fontId="0" type="noConversion"/>
  <pageMargins left="0.5" right="0.5" top="0.5" bottom="0.25" header="0.25" footer="0.25"/>
  <pageSetup scale="87"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B1:AM130"/>
  <sheetViews>
    <sheetView topLeftCell="AA1" zoomScale="80" zoomScaleNormal="80" zoomScaleSheetLayoutView="80" workbookViewId="0">
      <selection activeCell="Q11" sqref="Q11"/>
    </sheetView>
  </sheetViews>
  <sheetFormatPr defaultRowHeight="12.75" x14ac:dyDescent="0.2"/>
  <cols>
    <col min="1" max="1" width="2.28515625" customWidth="1"/>
    <col min="2" max="2" width="33.28515625" customWidth="1"/>
    <col min="3" max="3" width="9.5703125" bestFit="1" customWidth="1"/>
    <col min="4" max="4" width="11" style="8" customWidth="1"/>
    <col min="5" max="5" width="11.7109375" bestFit="1" customWidth="1"/>
    <col min="6" max="6" width="3.7109375" customWidth="1"/>
    <col min="7" max="7" width="5.5703125" style="13" customWidth="1"/>
    <col min="8" max="8" width="7" customWidth="1"/>
    <col min="9" max="9" width="6.42578125" customWidth="1"/>
    <col min="10" max="10" width="7.85546875" customWidth="1"/>
    <col min="11" max="11" width="7.42578125" customWidth="1"/>
    <col min="14" max="15" width="10.5703125" bestFit="1" customWidth="1"/>
    <col min="18" max="18" width="9" bestFit="1" customWidth="1"/>
    <col min="19" max="19" width="10.5703125" bestFit="1" customWidth="1"/>
    <col min="20" max="20" width="9.5703125" bestFit="1" customWidth="1"/>
    <col min="26" max="26" width="4.7109375" style="160" customWidth="1"/>
    <col min="27" max="27" width="16.85546875" style="206" bestFit="1" customWidth="1"/>
    <col min="28" max="28" width="7.7109375" style="206" customWidth="1"/>
    <col min="29" max="29" width="9.140625" style="160"/>
    <col min="30" max="31" width="9.7109375" style="206" customWidth="1"/>
    <col min="32" max="32" width="8.7109375" style="206" customWidth="1"/>
    <col min="33" max="33" width="23.5703125" style="206" bestFit="1" customWidth="1"/>
  </cols>
  <sheetData>
    <row r="1" spans="2:33" ht="38.25" x14ac:dyDescent="0.2">
      <c r="B1" s="1" t="s">
        <v>130</v>
      </c>
      <c r="C1" s="94" t="s">
        <v>2</v>
      </c>
      <c r="D1" s="94" t="s">
        <v>9</v>
      </c>
      <c r="E1" s="94" t="str">
        <f>"Equiv. AWDT (" &amp; M4 &amp; " in pkhr)"</f>
        <v>Equiv. AWDT (0.09 in pkhr)</v>
      </c>
      <c r="F1" s="101" t="s">
        <v>330</v>
      </c>
      <c r="G1" s="94" t="s">
        <v>165</v>
      </c>
      <c r="H1" s="94" t="s">
        <v>146</v>
      </c>
      <c r="I1" s="94" t="s">
        <v>166</v>
      </c>
      <c r="J1" s="94" t="s">
        <v>259</v>
      </c>
      <c r="K1" s="94" t="s">
        <v>258</v>
      </c>
      <c r="Z1" s="154" t="s">
        <v>403</v>
      </c>
      <c r="AA1" s="155" t="s">
        <v>446</v>
      </c>
      <c r="AB1" s="156" t="s">
        <v>150</v>
      </c>
      <c r="AC1" s="157" t="s">
        <v>453</v>
      </c>
      <c r="AD1" s="157" t="s">
        <v>444</v>
      </c>
      <c r="AE1" s="157" t="s">
        <v>445</v>
      </c>
      <c r="AF1" s="158" t="s">
        <v>447</v>
      </c>
      <c r="AG1" s="159" t="s">
        <v>448</v>
      </c>
    </row>
    <row r="2" spans="2:33" x14ac:dyDescent="0.2">
      <c r="B2" s="64" t="s">
        <v>244</v>
      </c>
      <c r="C2" s="8">
        <v>7</v>
      </c>
      <c r="D2" s="90">
        <v>10000</v>
      </c>
      <c r="Z2" s="160">
        <v>2</v>
      </c>
      <c r="AA2" s="161" t="s">
        <v>407</v>
      </c>
      <c r="AB2" s="162">
        <v>1</v>
      </c>
      <c r="AC2" s="163">
        <v>1</v>
      </c>
      <c r="AD2" s="164">
        <f>$G$3*$H$3*$I$3*$J$3*$K$3*VLOOKUP(AC2,$Q$47:$R$51,2,FALSE)</f>
        <v>1022.46144</v>
      </c>
      <c r="AE2" s="164">
        <f>'Cap1hr1ln V6.0'!E7</f>
        <v>884.82240000000002</v>
      </c>
      <c r="AF2" s="165">
        <f>AD2/AE2-1</f>
        <v>0.15555555555555567</v>
      </c>
      <c r="AG2" s="166" t="str">
        <f>CONCATENATE(AB2," Lane ",AA2)</f>
        <v>1 Lane Principle Arterial</v>
      </c>
    </row>
    <row r="3" spans="2:33" x14ac:dyDescent="0.2">
      <c r="B3" s="5" t="s">
        <v>131</v>
      </c>
      <c r="C3" s="9">
        <v>1</v>
      </c>
      <c r="D3" s="67">
        <f>ROUND(VLOOKUP(F3, $Q$47:$R$51, 2, FALSE)*G3*H3*I3*J3*K3,5)</f>
        <v>929.5104</v>
      </c>
      <c r="E3" s="67">
        <f>ROUND(2*D3*C3/$M$4,-3)</f>
        <v>21000</v>
      </c>
      <c r="F3">
        <v>3</v>
      </c>
      <c r="G3" s="13">
        <v>1900</v>
      </c>
      <c r="H3">
        <v>0.96</v>
      </c>
      <c r="I3">
        <v>0.98</v>
      </c>
      <c r="J3">
        <v>1</v>
      </c>
      <c r="K3" s="42">
        <v>0.52</v>
      </c>
      <c r="M3" s="88" t="s">
        <v>291</v>
      </c>
      <c r="AA3" s="167"/>
      <c r="AB3" s="168"/>
      <c r="AC3" s="169">
        <v>2</v>
      </c>
      <c r="AD3" s="170">
        <f t="shared" ref="AD3:AD6" si="0">$G$3*$H$3*$I$3*$J$3*$K$3*VLOOKUP(AC3,$Q$47:$R$51,2,FALSE)</f>
        <v>975.98592000000008</v>
      </c>
      <c r="AE3" s="170">
        <f>AE2</f>
        <v>884.82240000000002</v>
      </c>
      <c r="AF3" s="171">
        <f t="shared" ref="AF3:AF6" si="1">AD3/AE3-1</f>
        <v>0.10303030303030303</v>
      </c>
      <c r="AG3" s="166"/>
    </row>
    <row r="4" spans="2:33" x14ac:dyDescent="0.2">
      <c r="B4" s="5" t="str">
        <f>B3</f>
        <v>2  Principle Arterial</v>
      </c>
      <c r="C4" s="10">
        <v>2</v>
      </c>
      <c r="D4" s="68">
        <f t="shared" ref="D4:D11" si="2">ROUND(VLOOKUP(F4, $Q$47:$R$51, 2, FALSE)*G4*H4*I4*J4*K4,5)</f>
        <v>892.04543999999999</v>
      </c>
      <c r="E4" s="68">
        <f t="shared" ref="E4:E11" si="3">ROUND(2*D4*C4/$M$4,-3)</f>
        <v>40000</v>
      </c>
      <c r="F4">
        <f>F3</f>
        <v>3</v>
      </c>
      <c r="G4" s="13">
        <v>1900</v>
      </c>
      <c r="H4">
        <v>0.96</v>
      </c>
      <c r="I4">
        <v>0.99</v>
      </c>
      <c r="J4">
        <v>0.95</v>
      </c>
      <c r="K4" s="42">
        <v>0.52</v>
      </c>
      <c r="M4" s="89">
        <v>0.09</v>
      </c>
      <c r="N4" t="s">
        <v>460</v>
      </c>
      <c r="AA4" s="167"/>
      <c r="AB4" s="168"/>
      <c r="AC4" s="169">
        <v>3</v>
      </c>
      <c r="AD4" s="170">
        <f t="shared" si="0"/>
        <v>929.5104</v>
      </c>
      <c r="AE4" s="170">
        <f t="shared" ref="AE4:AE5" si="4">AE3</f>
        <v>884.82240000000002</v>
      </c>
      <c r="AF4" s="171">
        <f t="shared" si="1"/>
        <v>5.0505050505050386E-2</v>
      </c>
      <c r="AG4" s="166"/>
    </row>
    <row r="5" spans="2:33" x14ac:dyDescent="0.2">
      <c r="B5" s="5" t="str">
        <f>B4</f>
        <v>2  Principle Arterial</v>
      </c>
      <c r="C5" s="11">
        <v>3</v>
      </c>
      <c r="D5" s="69">
        <f t="shared" si="2"/>
        <v>854.48563000000001</v>
      </c>
      <c r="E5" s="69">
        <f t="shared" si="3"/>
        <v>57000</v>
      </c>
      <c r="F5">
        <f t="shared" ref="F5:F11" si="5">F4</f>
        <v>3</v>
      </c>
      <c r="G5" s="13">
        <v>1900</v>
      </c>
      <c r="H5">
        <v>0.96</v>
      </c>
      <c r="I5">
        <v>0.99</v>
      </c>
      <c r="J5">
        <v>0.91</v>
      </c>
      <c r="K5" s="42">
        <v>0.52</v>
      </c>
      <c r="AA5" s="167"/>
      <c r="AB5" s="168"/>
      <c r="AC5" s="169">
        <v>4</v>
      </c>
      <c r="AD5" s="170">
        <f t="shared" si="0"/>
        <v>883.03487999999993</v>
      </c>
      <c r="AE5" s="170">
        <f t="shared" si="4"/>
        <v>884.82240000000002</v>
      </c>
      <c r="AF5" s="171">
        <f t="shared" si="1"/>
        <v>-2.0202020202021442E-3</v>
      </c>
      <c r="AG5" s="166"/>
    </row>
    <row r="6" spans="2:33" x14ac:dyDescent="0.2">
      <c r="B6" s="6" t="s">
        <v>132</v>
      </c>
      <c r="C6" s="9">
        <v>1</v>
      </c>
      <c r="D6" s="67">
        <f t="shared" si="2"/>
        <v>857.28</v>
      </c>
      <c r="E6" s="67">
        <f t="shared" si="3"/>
        <v>19000</v>
      </c>
      <c r="F6">
        <f t="shared" si="5"/>
        <v>3</v>
      </c>
      <c r="G6" s="13">
        <v>1900</v>
      </c>
      <c r="H6">
        <v>0.96</v>
      </c>
      <c r="I6">
        <v>1</v>
      </c>
      <c r="J6">
        <v>1</v>
      </c>
      <c r="K6" s="42">
        <v>0.47</v>
      </c>
      <c r="AA6" s="172"/>
      <c r="AB6" s="173"/>
      <c r="AC6" s="174">
        <v>5</v>
      </c>
      <c r="AD6" s="175">
        <f t="shared" si="0"/>
        <v>836.55935999999997</v>
      </c>
      <c r="AE6" s="175">
        <f>AE5*0.9</f>
        <v>796.34016000000008</v>
      </c>
      <c r="AF6" s="176">
        <f t="shared" si="1"/>
        <v>5.0505050505050386E-2</v>
      </c>
      <c r="AG6" s="177"/>
    </row>
    <row r="7" spans="2:33" x14ac:dyDescent="0.2">
      <c r="B7" s="6" t="str">
        <f>B6</f>
        <v>3  Minor Arterial</v>
      </c>
      <c r="C7" s="10">
        <v>2</v>
      </c>
      <c r="D7" s="68">
        <f t="shared" si="2"/>
        <v>814.41600000000005</v>
      </c>
      <c r="E7" s="68">
        <f t="shared" si="3"/>
        <v>36000</v>
      </c>
      <c r="F7">
        <f t="shared" si="5"/>
        <v>3</v>
      </c>
      <c r="G7" s="13">
        <v>1900</v>
      </c>
      <c r="H7">
        <v>0.96</v>
      </c>
      <c r="I7">
        <v>1</v>
      </c>
      <c r="J7">
        <v>0.95</v>
      </c>
      <c r="K7" s="42">
        <v>0.47</v>
      </c>
      <c r="Z7" s="160">
        <v>2</v>
      </c>
      <c r="AA7" s="167" t="s">
        <v>407</v>
      </c>
      <c r="AB7" s="178">
        <v>2</v>
      </c>
      <c r="AC7" s="179">
        <v>1</v>
      </c>
      <c r="AD7" s="180">
        <f>$G$4*$H$4*$I$4*$J$4*$K$4*VLOOKUP(AC7,$Q$47:$R$51,2,FALSE)</f>
        <v>981.24998400000004</v>
      </c>
      <c r="AE7" s="180">
        <f>'Cap1hr1ln V6.0'!E8</f>
        <v>814.8492</v>
      </c>
      <c r="AF7" s="181">
        <f t="shared" ref="AF7:AF46" si="6">AD7/AE7-1</f>
        <v>0.20421052631578962</v>
      </c>
      <c r="AG7" s="166" t="str">
        <f>CONCATENATE(AB7," Lane ",AA7)</f>
        <v>2 Lane Principle Arterial</v>
      </c>
    </row>
    <row r="8" spans="2:33" x14ac:dyDescent="0.2">
      <c r="B8" s="6" t="str">
        <f>B7</f>
        <v>3  Minor Arterial</v>
      </c>
      <c r="C8" s="11">
        <v>3</v>
      </c>
      <c r="D8" s="69">
        <f t="shared" si="2"/>
        <v>780.12480000000005</v>
      </c>
      <c r="E8" s="69">
        <f t="shared" si="3"/>
        <v>52000</v>
      </c>
      <c r="F8">
        <f t="shared" si="5"/>
        <v>3</v>
      </c>
      <c r="G8" s="13">
        <v>1900</v>
      </c>
      <c r="H8">
        <v>0.96</v>
      </c>
      <c r="I8">
        <v>1</v>
      </c>
      <c r="J8">
        <v>0.91</v>
      </c>
      <c r="K8" s="42">
        <v>0.47</v>
      </c>
      <c r="AA8" s="167"/>
      <c r="AB8" s="178"/>
      <c r="AC8" s="179">
        <v>2</v>
      </c>
      <c r="AD8" s="180">
        <f t="shared" ref="AD8:AD11" si="7">$G$4*$H$4*$I$4*$J$4*$K$4*VLOOKUP(AC8,$Q$47:$R$51,2,FALSE)</f>
        <v>936.64771200000007</v>
      </c>
      <c r="AE8" s="180">
        <f>AE7</f>
        <v>814.8492</v>
      </c>
      <c r="AF8" s="181">
        <f t="shared" si="6"/>
        <v>0.14947368421052643</v>
      </c>
      <c r="AG8" s="166"/>
    </row>
    <row r="9" spans="2:33" x14ac:dyDescent="0.2">
      <c r="B9" s="77" t="s">
        <v>242</v>
      </c>
      <c r="C9" s="9">
        <v>1</v>
      </c>
      <c r="D9" s="67">
        <f t="shared" si="2"/>
        <v>666.4</v>
      </c>
      <c r="E9" s="67">
        <f t="shared" si="3"/>
        <v>15000</v>
      </c>
      <c r="F9">
        <f t="shared" si="5"/>
        <v>3</v>
      </c>
      <c r="G9" s="13">
        <v>1700</v>
      </c>
      <c r="H9">
        <v>0.98</v>
      </c>
      <c r="I9">
        <v>1</v>
      </c>
      <c r="J9">
        <v>1</v>
      </c>
      <c r="K9" s="42">
        <v>0.4</v>
      </c>
      <c r="AA9" s="167"/>
      <c r="AB9" s="178"/>
      <c r="AC9" s="179">
        <v>3</v>
      </c>
      <c r="AD9" s="180">
        <f t="shared" si="7"/>
        <v>892.04543999999999</v>
      </c>
      <c r="AE9" s="180">
        <f t="shared" ref="AE9:AE10" si="8">AE8</f>
        <v>814.8492</v>
      </c>
      <c r="AF9" s="181">
        <f t="shared" si="6"/>
        <v>9.473684210526323E-2</v>
      </c>
      <c r="AG9" s="166"/>
    </row>
    <row r="10" spans="2:33" x14ac:dyDescent="0.2">
      <c r="B10" s="78" t="str">
        <f>B9</f>
        <v>4 Major Collectors</v>
      </c>
      <c r="C10" s="10">
        <v>2</v>
      </c>
      <c r="D10" s="68">
        <f t="shared" si="2"/>
        <v>633.08000000000004</v>
      </c>
      <c r="E10" s="68">
        <f t="shared" si="3"/>
        <v>28000</v>
      </c>
      <c r="F10">
        <f t="shared" si="5"/>
        <v>3</v>
      </c>
      <c r="G10" s="13">
        <v>1700</v>
      </c>
      <c r="H10">
        <v>0.98</v>
      </c>
      <c r="I10">
        <v>1</v>
      </c>
      <c r="J10">
        <v>0.95</v>
      </c>
      <c r="K10" s="42">
        <v>0.4</v>
      </c>
      <c r="AA10" s="167"/>
      <c r="AB10" s="178"/>
      <c r="AC10" s="179">
        <v>4</v>
      </c>
      <c r="AD10" s="180">
        <f t="shared" si="7"/>
        <v>847.4431679999999</v>
      </c>
      <c r="AE10" s="180">
        <f t="shared" si="8"/>
        <v>814.8492</v>
      </c>
      <c r="AF10" s="181">
        <f t="shared" si="6"/>
        <v>3.9999999999999813E-2</v>
      </c>
      <c r="AG10" s="166"/>
    </row>
    <row r="11" spans="2:33" x14ac:dyDescent="0.2">
      <c r="B11" s="79" t="s">
        <v>243</v>
      </c>
      <c r="C11" s="9">
        <v>1</v>
      </c>
      <c r="D11" s="68">
        <f t="shared" si="2"/>
        <v>514.5</v>
      </c>
      <c r="E11" s="68">
        <f t="shared" si="3"/>
        <v>11000</v>
      </c>
      <c r="F11">
        <f t="shared" si="5"/>
        <v>3</v>
      </c>
      <c r="G11" s="13">
        <v>1500</v>
      </c>
      <c r="H11">
        <v>0.98</v>
      </c>
      <c r="I11">
        <v>1</v>
      </c>
      <c r="J11">
        <v>1</v>
      </c>
      <c r="K11" s="42">
        <v>0.35</v>
      </c>
      <c r="AA11" s="172"/>
      <c r="AB11" s="182"/>
      <c r="AC11" s="183">
        <v>5</v>
      </c>
      <c r="AD11" s="184">
        <f t="shared" si="7"/>
        <v>802.84089600000004</v>
      </c>
      <c r="AE11" s="184">
        <f>AE10*0.9</f>
        <v>733.36428000000001</v>
      </c>
      <c r="AF11" s="185">
        <f t="shared" si="6"/>
        <v>9.473684210526323E-2</v>
      </c>
      <c r="AG11" s="166"/>
    </row>
    <row r="12" spans="2:33" x14ac:dyDescent="0.2">
      <c r="B12" s="64" t="s">
        <v>255</v>
      </c>
      <c r="D12" s="98"/>
      <c r="K12" s="42"/>
      <c r="Z12" s="160">
        <v>2</v>
      </c>
      <c r="AA12" s="167" t="s">
        <v>407</v>
      </c>
      <c r="AB12" s="186">
        <v>3</v>
      </c>
      <c r="AC12" s="187">
        <v>1</v>
      </c>
      <c r="AD12" s="188">
        <f>$G$5*$H$5*$I$5*$J$5*$K$5*VLOOKUP(AC12,$Q$47:$R$51,2,FALSE)</f>
        <v>939.93419520000009</v>
      </c>
      <c r="AE12" s="188">
        <f>'Cap1hr1ln V6.0'!E9</f>
        <v>796.97217999999998</v>
      </c>
      <c r="AF12" s="189">
        <f t="shared" si="6"/>
        <v>0.17938143737965873</v>
      </c>
      <c r="AG12" s="166" t="str">
        <f>CONCATENATE(AB12," Lane ",AA12)</f>
        <v>3 Lane Principle Arterial</v>
      </c>
    </row>
    <row r="13" spans="2:33" x14ac:dyDescent="0.2">
      <c r="B13" s="64" t="s">
        <v>266</v>
      </c>
      <c r="C13" s="8">
        <v>2</v>
      </c>
      <c r="D13" s="98">
        <f>ROUND(G13*H13*I13*J13*K13,5)</f>
        <v>820.8</v>
      </c>
      <c r="E13" s="90">
        <f>MROUND(2*D13*C13/$M$4, 1000)</f>
        <v>36000</v>
      </c>
      <c r="G13" s="13">
        <v>1900</v>
      </c>
      <c r="H13">
        <v>0.96</v>
      </c>
      <c r="I13">
        <v>1</v>
      </c>
      <c r="J13">
        <v>1</v>
      </c>
      <c r="K13" s="42">
        <v>0.45</v>
      </c>
      <c r="AA13" s="167"/>
      <c r="AB13" s="186"/>
      <c r="AC13" s="187">
        <v>2</v>
      </c>
      <c r="AD13" s="188">
        <f t="shared" ref="AD13:AD16" si="9">$G$5*$H$5*$I$5*$J$5*$K$5*VLOOKUP(AC13,$Q$47:$R$51,2,FALSE)</f>
        <v>897.20991360000005</v>
      </c>
      <c r="AE13" s="188">
        <f>AE12</f>
        <v>796.97217999999998</v>
      </c>
      <c r="AF13" s="189">
        <f t="shared" si="6"/>
        <v>0.12577319022603795</v>
      </c>
      <c r="AG13" s="166"/>
    </row>
    <row r="14" spans="2:33" x14ac:dyDescent="0.2">
      <c r="B14" s="64" t="s">
        <v>320</v>
      </c>
      <c r="C14" s="8">
        <v>3</v>
      </c>
      <c r="D14" s="98">
        <f>ROUND(G14*H14*I14*J14*K14,5)</f>
        <v>1003.2</v>
      </c>
      <c r="E14" s="90">
        <f>MROUND(2*D14*C14/$M$4, 1000)</f>
        <v>67000</v>
      </c>
      <c r="G14" s="13">
        <v>1900</v>
      </c>
      <c r="H14">
        <v>0.96</v>
      </c>
      <c r="I14">
        <v>1</v>
      </c>
      <c r="J14">
        <v>1</v>
      </c>
      <c r="K14" s="42">
        <v>0.55000000000000004</v>
      </c>
      <c r="AA14" s="167"/>
      <c r="AB14" s="186"/>
      <c r="AC14" s="187">
        <v>3</v>
      </c>
      <c r="AD14" s="188">
        <f t="shared" si="9"/>
        <v>854.48563200000001</v>
      </c>
      <c r="AE14" s="188">
        <f t="shared" ref="AE14:AE15" si="10">AE13</f>
        <v>796.97217999999998</v>
      </c>
      <c r="AF14" s="189">
        <f t="shared" si="6"/>
        <v>7.2164943072416943E-2</v>
      </c>
      <c r="AG14" s="166"/>
    </row>
    <row r="15" spans="2:33" x14ac:dyDescent="0.2">
      <c r="B15" s="64" t="s">
        <v>253</v>
      </c>
      <c r="C15" s="8">
        <v>3</v>
      </c>
      <c r="D15" s="98">
        <f>ROUND(G15*H15*I15*J15*K15,5)</f>
        <v>912</v>
      </c>
      <c r="E15" s="90">
        <f>MROUND(2*D15*C15/$M$4, 1000)</f>
        <v>61000</v>
      </c>
      <c r="G15" s="13">
        <v>1900</v>
      </c>
      <c r="H15">
        <v>0.96</v>
      </c>
      <c r="I15">
        <v>1</v>
      </c>
      <c r="J15">
        <v>1</v>
      </c>
      <c r="K15" s="42">
        <v>0.5</v>
      </c>
      <c r="Q15" s="23" t="s">
        <v>293</v>
      </c>
      <c r="AA15" s="167"/>
      <c r="AB15" s="186"/>
      <c r="AC15" s="187">
        <v>4</v>
      </c>
      <c r="AD15" s="188">
        <f t="shared" si="9"/>
        <v>811.76135039999997</v>
      </c>
      <c r="AE15" s="188">
        <f t="shared" si="10"/>
        <v>796.97217999999998</v>
      </c>
      <c r="AF15" s="189">
        <f t="shared" si="6"/>
        <v>1.855669591879594E-2</v>
      </c>
      <c r="AG15" s="166"/>
    </row>
    <row r="16" spans="2:33" x14ac:dyDescent="0.2">
      <c r="B16" s="64" t="s">
        <v>254</v>
      </c>
      <c r="D16" s="98"/>
      <c r="K16" s="42"/>
      <c r="Q16" s="23"/>
      <c r="Z16" s="190"/>
      <c r="AA16" s="172"/>
      <c r="AB16" s="191"/>
      <c r="AC16" s="192">
        <v>5</v>
      </c>
      <c r="AD16" s="193">
        <f t="shared" si="9"/>
        <v>769.03706880000004</v>
      </c>
      <c r="AE16" s="193">
        <f>AE15*0.9</f>
        <v>717.27496199999996</v>
      </c>
      <c r="AF16" s="194">
        <f t="shared" si="6"/>
        <v>7.2164943072416943E-2</v>
      </c>
      <c r="AG16" s="195"/>
    </row>
    <row r="17" spans="2:33" x14ac:dyDescent="0.2">
      <c r="B17" s="64" t="s">
        <v>240</v>
      </c>
      <c r="C17" t="s">
        <v>6</v>
      </c>
      <c r="D17" s="98">
        <f>ROUND(G17*H17*I17*J17*K17,5)</f>
        <v>772.8</v>
      </c>
      <c r="G17" s="13">
        <v>1400</v>
      </c>
      <c r="H17">
        <v>0.92</v>
      </c>
      <c r="I17">
        <v>1</v>
      </c>
      <c r="J17">
        <v>1</v>
      </c>
      <c r="K17" s="42">
        <v>0.6</v>
      </c>
      <c r="Q17" s="64" t="s">
        <v>292</v>
      </c>
      <c r="T17" s="64" t="s">
        <v>289</v>
      </c>
      <c r="Z17" s="160">
        <v>3</v>
      </c>
      <c r="AA17" s="196" t="s">
        <v>408</v>
      </c>
      <c r="AB17" s="162">
        <v>1</v>
      </c>
      <c r="AC17" s="163">
        <v>1</v>
      </c>
      <c r="AD17" s="164">
        <f>$G$6*$H$6*$I$6*$J$6*$K$6*VLOOKUP(AC17,$Q$47:$R$51,2,FALSE)</f>
        <v>943.00800000000004</v>
      </c>
      <c r="AE17" s="164">
        <f>'Cap1hr1ln V6.0'!E12</f>
        <v>821.62080000000003</v>
      </c>
      <c r="AF17" s="165">
        <f t="shared" si="6"/>
        <v>0.14774114774114766</v>
      </c>
      <c r="AG17" s="197" t="str">
        <f>CONCATENATE(AB17," Lane ",AA17)</f>
        <v>1 Lane Minor Arterial</v>
      </c>
    </row>
    <row r="18" spans="2:33" x14ac:dyDescent="0.2">
      <c r="B18" s="64"/>
      <c r="D18"/>
      <c r="P18" s="64" t="s">
        <v>294</v>
      </c>
      <c r="Q18" s="90">
        <f>(G22*H22*I22*J22*F22)+K22</f>
        <v>5760.2062500000002</v>
      </c>
      <c r="R18" s="57"/>
      <c r="S18" s="57"/>
      <c r="T18" s="90">
        <f>Q18/F22</f>
        <v>1920.0687500000001</v>
      </c>
      <c r="AA18" s="198"/>
      <c r="AB18" s="168"/>
      <c r="AC18" s="169">
        <v>2</v>
      </c>
      <c r="AD18" s="170">
        <f t="shared" ref="AD18:AD21" si="11">$G$6*$H$6*$I$6*$J$6*$K$6*VLOOKUP(AC18,$Q$47:$R$51,2,FALSE)</f>
        <v>900.14400000000001</v>
      </c>
      <c r="AE18" s="170">
        <f>AE17</f>
        <v>821.62080000000003</v>
      </c>
      <c r="AF18" s="171">
        <f t="shared" si="6"/>
        <v>9.5571095571095555E-2</v>
      </c>
      <c r="AG18" s="195"/>
    </row>
    <row r="19" spans="2:33" x14ac:dyDescent="0.2">
      <c r="B19" s="64"/>
      <c r="C19" s="95" t="s">
        <v>290</v>
      </c>
      <c r="D19" s="96" t="s">
        <v>289</v>
      </c>
      <c r="E19" s="95" t="s">
        <v>299</v>
      </c>
      <c r="F19" s="95" t="s">
        <v>287</v>
      </c>
      <c r="G19" s="97" t="s">
        <v>272</v>
      </c>
      <c r="H19" s="96" t="s">
        <v>227</v>
      </c>
      <c r="I19" s="84" t="s">
        <v>273</v>
      </c>
      <c r="J19" s="96" t="s">
        <v>228</v>
      </c>
      <c r="K19" s="96" t="s">
        <v>274</v>
      </c>
      <c r="P19" s="64" t="s">
        <v>295</v>
      </c>
      <c r="Q19" s="90">
        <f>(G23*H23*I23*J23*F23)+K23</f>
        <v>6710.6500000000005</v>
      </c>
      <c r="R19" s="57"/>
      <c r="S19" s="57"/>
      <c r="T19" s="90">
        <f>Q19/F23</f>
        <v>2236.8833333333337</v>
      </c>
      <c r="AA19" s="198"/>
      <c r="AB19" s="168"/>
      <c r="AC19" s="169">
        <v>3</v>
      </c>
      <c r="AD19" s="170">
        <f t="shared" si="11"/>
        <v>857.28</v>
      </c>
      <c r="AE19" s="170">
        <f t="shared" ref="AE19:AE20" si="12">AE18</f>
        <v>821.62080000000003</v>
      </c>
      <c r="AF19" s="171">
        <f t="shared" si="6"/>
        <v>4.3401043401043227E-2</v>
      </c>
      <c r="AG19" s="195"/>
    </row>
    <row r="20" spans="2:33" x14ac:dyDescent="0.2">
      <c r="B20" s="3" t="s">
        <v>256</v>
      </c>
      <c r="C20" s="90">
        <f t="shared" ref="C20:C26" si="13">D20*F20</f>
        <v>1757.5</v>
      </c>
      <c r="D20" s="98">
        <f>G20*H20*I20*J20</f>
        <v>1757.5</v>
      </c>
      <c r="E20" s="90">
        <f>MROUND(C20/$M$4*1,1000)</f>
        <v>20000</v>
      </c>
      <c r="F20">
        <v>1</v>
      </c>
      <c r="G20" s="13">
        <v>2000</v>
      </c>
      <c r="H20">
        <v>0.95</v>
      </c>
      <c r="I20">
        <f>VLOOKUP(F20, $M$23:$P$30, 4, FALSE)</f>
        <v>1</v>
      </c>
      <c r="J20">
        <v>0.92500000000000004</v>
      </c>
      <c r="K20">
        <v>0</v>
      </c>
      <c r="AA20" s="198"/>
      <c r="AB20" s="168"/>
      <c r="AC20" s="169">
        <v>4</v>
      </c>
      <c r="AD20" s="170">
        <f t="shared" si="11"/>
        <v>814.41599999999994</v>
      </c>
      <c r="AE20" s="170">
        <f t="shared" si="12"/>
        <v>821.62080000000003</v>
      </c>
      <c r="AF20" s="171">
        <f t="shared" si="6"/>
        <v>-8.7690087690088792E-3</v>
      </c>
      <c r="AG20" s="195"/>
    </row>
    <row r="21" spans="2:33" x14ac:dyDescent="0.2">
      <c r="B21" s="76" t="s">
        <v>326</v>
      </c>
      <c r="C21" s="90">
        <f t="shared" si="13"/>
        <v>2140.909056</v>
      </c>
      <c r="D21" s="98">
        <f>VLOOKUP(F21, $C$4:$D$5, 2, FALSE) * 1.2</f>
        <v>1070.454528</v>
      </c>
      <c r="E21" s="90">
        <f>MROUND(C21/$M$4*1,1000)</f>
        <v>24000</v>
      </c>
      <c r="F21">
        <v>2</v>
      </c>
      <c r="G21" s="100" t="s">
        <v>328</v>
      </c>
      <c r="AA21" s="198"/>
      <c r="AB21" s="173"/>
      <c r="AC21" s="174">
        <v>5</v>
      </c>
      <c r="AD21" s="175">
        <f t="shared" si="11"/>
        <v>771.55200000000002</v>
      </c>
      <c r="AE21" s="175">
        <f>AE20*0.9</f>
        <v>739.45872000000008</v>
      </c>
      <c r="AF21" s="176">
        <f t="shared" si="6"/>
        <v>4.3401043401043227E-2</v>
      </c>
      <c r="AG21" s="195"/>
    </row>
    <row r="22" spans="2:33" x14ac:dyDescent="0.2">
      <c r="B22" s="3" t="s">
        <v>134</v>
      </c>
      <c r="C22" s="90">
        <f t="shared" si="13"/>
        <v>5760.2062500000002</v>
      </c>
      <c r="D22" s="98">
        <f>Q18/F22</f>
        <v>1920.0687500000001</v>
      </c>
      <c r="E22" s="91">
        <f>MROUND(C22/$M$4*2,1000)</f>
        <v>128000</v>
      </c>
      <c r="F22">
        <v>3</v>
      </c>
      <c r="G22" s="13">
        <v>2300</v>
      </c>
      <c r="H22">
        <v>0.95</v>
      </c>
      <c r="I22">
        <f>VLOOKUP(F22, $M$23:$P$30, 4, FALSE)</f>
        <v>0.95</v>
      </c>
      <c r="J22">
        <v>0.92500000000000004</v>
      </c>
      <c r="K22">
        <v>0</v>
      </c>
      <c r="M22" s="64" t="s">
        <v>288</v>
      </c>
      <c r="Z22" s="160">
        <v>3</v>
      </c>
      <c r="AA22" s="196" t="s">
        <v>408</v>
      </c>
      <c r="AB22" s="178">
        <v>2</v>
      </c>
      <c r="AC22" s="179">
        <v>1</v>
      </c>
      <c r="AD22" s="180">
        <f>$G$7*$H$7*$I$7*$J$7*$K$7*VLOOKUP(AC22,$Q$47:$R$51,2,FALSE)</f>
        <v>895.85760000000005</v>
      </c>
      <c r="AE22" s="180">
        <f>'Cap1hr1ln V6.0'!E17</f>
        <v>733.36428000000001</v>
      </c>
      <c r="AF22" s="181">
        <f t="shared" si="6"/>
        <v>0.22157244964262524</v>
      </c>
      <c r="AG22" s="195" t="str">
        <f>CONCATENATE(AB22," Lane ",AA22)</f>
        <v>2 Lane Minor Arterial</v>
      </c>
    </row>
    <row r="23" spans="2:33" x14ac:dyDescent="0.2">
      <c r="B23" s="3" t="s">
        <v>135</v>
      </c>
      <c r="C23" s="90">
        <f t="shared" si="13"/>
        <v>6705</v>
      </c>
      <c r="D23" s="98">
        <f>MROUND(Q19/F23,5)</f>
        <v>2235</v>
      </c>
      <c r="E23" s="91">
        <f>MROUND(C23/$M$4*2,1000)</f>
        <v>149000</v>
      </c>
      <c r="F23">
        <v>3</v>
      </c>
      <c r="G23" s="13">
        <v>2400</v>
      </c>
      <c r="H23">
        <v>0.95</v>
      </c>
      <c r="I23">
        <f>VLOOKUP(F23, $M$23:$P$30, 4, FALSE)</f>
        <v>0.95</v>
      </c>
      <c r="J23">
        <v>0.92500000000000004</v>
      </c>
      <c r="K23">
        <v>700</v>
      </c>
      <c r="M23" s="71" t="s">
        <v>150</v>
      </c>
      <c r="N23" s="71" t="s">
        <v>297</v>
      </c>
      <c r="O23" s="71" t="s">
        <v>227</v>
      </c>
      <c r="P23" s="71" t="s">
        <v>273</v>
      </c>
      <c r="Q23" s="71" t="s">
        <v>228</v>
      </c>
      <c r="R23" s="71" t="s">
        <v>274</v>
      </c>
      <c r="S23" s="71" t="s">
        <v>296</v>
      </c>
      <c r="T23" s="71" t="s">
        <v>289</v>
      </c>
      <c r="AA23" s="198"/>
      <c r="AB23" s="178"/>
      <c r="AC23" s="179">
        <v>2</v>
      </c>
      <c r="AD23" s="180">
        <f t="shared" ref="AD23:AD26" si="14">$G$7*$H$7*$I$7*$J$7*$K$7*VLOOKUP(AC23,$Q$47:$R$51,2,FALSE)</f>
        <v>855.13679999999999</v>
      </c>
      <c r="AE23" s="180">
        <f>AE22</f>
        <v>733.36428000000001</v>
      </c>
      <c r="AF23" s="181">
        <f t="shared" si="6"/>
        <v>0.166046429204324</v>
      </c>
      <c r="AG23" s="195"/>
    </row>
    <row r="24" spans="2:33" x14ac:dyDescent="0.2">
      <c r="B24" s="76" t="s">
        <v>327</v>
      </c>
      <c r="C24" s="90">
        <f t="shared" si="13"/>
        <v>1757.5</v>
      </c>
      <c r="D24" s="98">
        <f>G24*H24*I24*J24</f>
        <v>1757.5</v>
      </c>
      <c r="E24" s="90">
        <f>MROUND(C24/$M$4*1,1000)</f>
        <v>20000</v>
      </c>
      <c r="F24">
        <v>1</v>
      </c>
      <c r="G24" s="13">
        <v>2000</v>
      </c>
      <c r="H24">
        <v>0.95</v>
      </c>
      <c r="I24">
        <f>VLOOKUP(F24, $M$23:$P$30, 4, FALSE)</f>
        <v>1</v>
      </c>
      <c r="J24">
        <v>0.92500000000000004</v>
      </c>
      <c r="K24">
        <v>0</v>
      </c>
      <c r="M24">
        <v>1</v>
      </c>
      <c r="N24">
        <v>2400</v>
      </c>
      <c r="O24">
        <v>0.95</v>
      </c>
      <c r="P24" s="42">
        <v>1</v>
      </c>
      <c r="Q24">
        <v>0.92500000000000004</v>
      </c>
      <c r="R24">
        <v>0</v>
      </c>
      <c r="S24" s="90">
        <f t="shared" ref="S24:S30" si="15">M24*N24*P24*O24*Q24+R24</f>
        <v>2109</v>
      </c>
      <c r="T24" s="90">
        <f t="shared" ref="T24:T30" si="16">S24/M24</f>
        <v>2109</v>
      </c>
      <c r="Z24" s="160" t="s">
        <v>443</v>
      </c>
      <c r="AA24" s="198"/>
      <c r="AB24" s="178"/>
      <c r="AC24" s="179">
        <v>3</v>
      </c>
      <c r="AD24" s="180">
        <f t="shared" si="14"/>
        <v>814.41599999999994</v>
      </c>
      <c r="AE24" s="180">
        <f t="shared" ref="AE24:AE25" si="17">AE23</f>
        <v>733.36428000000001</v>
      </c>
      <c r="AF24" s="181">
        <f t="shared" si="6"/>
        <v>0.11052040876602276</v>
      </c>
      <c r="AG24" s="195"/>
    </row>
    <row r="25" spans="2:33" x14ac:dyDescent="0.2">
      <c r="B25" s="3" t="s">
        <v>137</v>
      </c>
      <c r="C25" s="90">
        <f t="shared" si="13"/>
        <v>2280</v>
      </c>
      <c r="D25" s="98">
        <f>MROUND(G25*H25*I25*J25,5)</f>
        <v>2280</v>
      </c>
      <c r="E25" s="90">
        <f>MROUND(C25/$M$4*1,1000)</f>
        <v>25000</v>
      </c>
      <c r="F25">
        <v>1</v>
      </c>
      <c r="G25" s="13">
        <v>2400</v>
      </c>
      <c r="H25">
        <v>0.95</v>
      </c>
      <c r="I25">
        <f>VLOOKUP(F25, $M$23:$P$30, 4, FALSE)</f>
        <v>1</v>
      </c>
      <c r="J25">
        <v>1</v>
      </c>
      <c r="K25">
        <v>0</v>
      </c>
      <c r="M25">
        <v>2</v>
      </c>
      <c r="N25">
        <v>2400</v>
      </c>
      <c r="O25">
        <v>0.95</v>
      </c>
      <c r="P25" s="42">
        <v>1</v>
      </c>
      <c r="Q25">
        <v>0.92500000000000004</v>
      </c>
      <c r="R25">
        <v>700</v>
      </c>
      <c r="S25" s="90">
        <f t="shared" si="15"/>
        <v>4918</v>
      </c>
      <c r="T25" s="90">
        <f t="shared" si="16"/>
        <v>2459</v>
      </c>
      <c r="AA25" s="198"/>
      <c r="AB25" s="178"/>
      <c r="AC25" s="179">
        <v>4</v>
      </c>
      <c r="AD25" s="180">
        <f t="shared" si="14"/>
        <v>773.69519999999989</v>
      </c>
      <c r="AE25" s="180">
        <f t="shared" si="17"/>
        <v>733.36428000000001</v>
      </c>
      <c r="AF25" s="181">
        <f t="shared" si="6"/>
        <v>5.4994388327721522E-2</v>
      </c>
      <c r="AG25" s="195"/>
    </row>
    <row r="26" spans="2:33" x14ac:dyDescent="0.2">
      <c r="B26" s="76" t="s">
        <v>301</v>
      </c>
      <c r="C26" s="90">
        <f t="shared" si="13"/>
        <v>5760.2062500000002</v>
      </c>
      <c r="D26" s="98">
        <f>Q18/F26</f>
        <v>1920.0687500000001</v>
      </c>
      <c r="E26" s="91">
        <f>MROUND(C26/$M$4*2,1000)</f>
        <v>128000</v>
      </c>
      <c r="F26">
        <v>3</v>
      </c>
      <c r="G26" s="13">
        <v>2300</v>
      </c>
      <c r="H26">
        <v>0.95</v>
      </c>
      <c r="I26">
        <f>VLOOKUP(F26, $M$23:$P$30, 4, FALSE)</f>
        <v>0.95</v>
      </c>
      <c r="J26">
        <v>0.92500000000000004</v>
      </c>
      <c r="K26">
        <v>0</v>
      </c>
      <c r="M26">
        <v>3</v>
      </c>
      <c r="N26">
        <v>2400</v>
      </c>
      <c r="O26">
        <v>0.95</v>
      </c>
      <c r="P26">
        <v>0.95</v>
      </c>
      <c r="Q26">
        <v>0.92500000000000004</v>
      </c>
      <c r="R26">
        <v>700</v>
      </c>
      <c r="S26" s="90">
        <f t="shared" si="15"/>
        <v>6710.6500000000005</v>
      </c>
      <c r="T26" s="90">
        <f t="shared" si="16"/>
        <v>2236.8833333333337</v>
      </c>
      <c r="AA26" s="199"/>
      <c r="AB26" s="182"/>
      <c r="AC26" s="183">
        <v>5</v>
      </c>
      <c r="AD26" s="184">
        <f t="shared" si="14"/>
        <v>732.97439999999995</v>
      </c>
      <c r="AE26" s="184">
        <f>AE25*0.9</f>
        <v>660.02785200000005</v>
      </c>
      <c r="AF26" s="185">
        <f t="shared" si="6"/>
        <v>0.11052040876602254</v>
      </c>
      <c r="AG26" s="195"/>
    </row>
    <row r="27" spans="2:33" x14ac:dyDescent="0.2">
      <c r="B27" s="76" t="s">
        <v>245</v>
      </c>
      <c r="C27" s="90">
        <f>VLOOKUP(F27, $M$47:$N$51, 2, FALSE)</f>
        <v>1300</v>
      </c>
      <c r="D27" s="98">
        <f>C27/F27</f>
        <v>650</v>
      </c>
      <c r="E27" s="90">
        <f>MROUND(C27/$M$4*1,1000)</f>
        <v>14000</v>
      </c>
      <c r="F27">
        <v>2</v>
      </c>
      <c r="M27">
        <v>4</v>
      </c>
      <c r="N27">
        <v>2400</v>
      </c>
      <c r="O27">
        <v>0.95</v>
      </c>
      <c r="P27">
        <v>0.91</v>
      </c>
      <c r="Q27">
        <v>0.92500000000000004</v>
      </c>
      <c r="R27">
        <v>700</v>
      </c>
      <c r="S27" s="90">
        <f t="shared" si="15"/>
        <v>8376.7599999999984</v>
      </c>
      <c r="T27" s="90">
        <f t="shared" si="16"/>
        <v>2094.1899999999996</v>
      </c>
      <c r="Z27" s="160">
        <v>3</v>
      </c>
      <c r="AA27" s="198" t="s">
        <v>408</v>
      </c>
      <c r="AB27" s="186">
        <v>3</v>
      </c>
      <c r="AC27" s="187">
        <v>1</v>
      </c>
      <c r="AD27" s="188">
        <f>$G$8*$H$8*$I$8*$J$8*$K$8*VLOOKUP(AC27,$Q$47:$R$51,2,FALSE)</f>
        <v>858.13728000000015</v>
      </c>
      <c r="AE27" s="188">
        <f>'Cap1hr1ln V6.0'!E18</f>
        <v>637.57773999999995</v>
      </c>
      <c r="AF27" s="189">
        <f t="shared" si="6"/>
        <v>0.34593356411721676</v>
      </c>
      <c r="AG27" s="195" t="str">
        <f>CONCATENATE(AB27," Lane ",AA27)</f>
        <v>3 Lane Minor Arterial</v>
      </c>
    </row>
    <row r="28" spans="2:33" x14ac:dyDescent="0.2">
      <c r="B28" s="76" t="s">
        <v>303</v>
      </c>
      <c r="C28" s="90">
        <f>D28*F28</f>
        <v>1962.4999680000001</v>
      </c>
      <c r="D28" s="98">
        <f>VLOOKUP(F28, $C$3:$D$5, 2, FALSE)*1.1</f>
        <v>981.24998400000004</v>
      </c>
      <c r="E28" s="90">
        <f>MROUND(C28/$M$4*1,1000)</f>
        <v>22000</v>
      </c>
      <c r="F28">
        <v>2</v>
      </c>
      <c r="G28" s="100" t="s">
        <v>329</v>
      </c>
      <c r="M28">
        <v>5</v>
      </c>
      <c r="N28">
        <v>2400</v>
      </c>
      <c r="O28">
        <v>0.95</v>
      </c>
      <c r="P28">
        <v>0.88</v>
      </c>
      <c r="Q28">
        <v>0.92500000000000004</v>
      </c>
      <c r="R28">
        <v>700</v>
      </c>
      <c r="S28" s="90">
        <f t="shared" si="15"/>
        <v>9979.6</v>
      </c>
      <c r="T28" s="90">
        <f t="shared" si="16"/>
        <v>1995.92</v>
      </c>
      <c r="AA28" s="198"/>
      <c r="AB28" s="186"/>
      <c r="AC28" s="187">
        <v>2</v>
      </c>
      <c r="AD28" s="188">
        <f t="shared" ref="AD28:AD31" si="18">$G$8*$H$8*$I$8*$J$8*$K$8*VLOOKUP(AC28,$Q$47:$R$51,2,FALSE)</f>
        <v>819.1310400000001</v>
      </c>
      <c r="AE28" s="188">
        <f>AE27</f>
        <v>637.57773999999995</v>
      </c>
      <c r="AF28" s="189">
        <f t="shared" si="6"/>
        <v>0.28475476574825231</v>
      </c>
      <c r="AG28" s="195"/>
    </row>
    <row r="29" spans="2:33" x14ac:dyDescent="0.2">
      <c r="B29" s="3" t="s">
        <v>217</v>
      </c>
      <c r="C29" s="64"/>
      <c r="D29" s="49" t="s">
        <v>304</v>
      </c>
      <c r="M29">
        <v>6</v>
      </c>
      <c r="N29">
        <v>2400</v>
      </c>
      <c r="O29">
        <v>0.95</v>
      </c>
      <c r="P29">
        <v>0.86</v>
      </c>
      <c r="Q29">
        <v>0.92500000000000004</v>
      </c>
      <c r="R29">
        <v>700</v>
      </c>
      <c r="S29" s="90">
        <f t="shared" si="15"/>
        <v>11582.44</v>
      </c>
      <c r="T29" s="90">
        <f t="shared" si="16"/>
        <v>1930.4066666666668</v>
      </c>
      <c r="AA29" s="198"/>
      <c r="AB29" s="186"/>
      <c r="AC29" s="187">
        <v>3</v>
      </c>
      <c r="AD29" s="188">
        <f t="shared" si="18"/>
        <v>780.12480000000005</v>
      </c>
      <c r="AE29" s="188">
        <f t="shared" ref="AE29:AE30" si="19">AE28</f>
        <v>637.57773999999995</v>
      </c>
      <c r="AF29" s="189">
        <f t="shared" si="6"/>
        <v>0.22357596737928787</v>
      </c>
      <c r="AG29" s="195"/>
    </row>
    <row r="30" spans="2:33" x14ac:dyDescent="0.2">
      <c r="B30" s="76" t="s">
        <v>216</v>
      </c>
      <c r="C30" s="64"/>
      <c r="D30" s="49" t="s">
        <v>304</v>
      </c>
      <c r="M30">
        <v>7</v>
      </c>
      <c r="N30">
        <v>2400</v>
      </c>
      <c r="O30">
        <v>0.95</v>
      </c>
      <c r="P30">
        <v>0.84</v>
      </c>
      <c r="Q30">
        <v>0.92500000000000004</v>
      </c>
      <c r="R30">
        <v>700</v>
      </c>
      <c r="S30" s="90">
        <f t="shared" si="15"/>
        <v>13100.92</v>
      </c>
      <c r="T30" s="90">
        <f t="shared" si="16"/>
        <v>1871.56</v>
      </c>
      <c r="AA30" s="198"/>
      <c r="AB30" s="186"/>
      <c r="AC30" s="187">
        <v>4</v>
      </c>
      <c r="AD30" s="188">
        <f t="shared" si="18"/>
        <v>741.11856</v>
      </c>
      <c r="AE30" s="188">
        <f t="shared" si="19"/>
        <v>637.57773999999995</v>
      </c>
      <c r="AF30" s="189">
        <f t="shared" si="6"/>
        <v>0.16239716901032342</v>
      </c>
      <c r="AG30" s="195"/>
    </row>
    <row r="31" spans="2:33" x14ac:dyDescent="0.2">
      <c r="B31" s="93" t="s">
        <v>239</v>
      </c>
      <c r="D31" s="49" t="s">
        <v>304</v>
      </c>
      <c r="S31" s="90"/>
      <c r="T31" s="90"/>
      <c r="Z31" s="190"/>
      <c r="AA31" s="199"/>
      <c r="AB31" s="191"/>
      <c r="AC31" s="192">
        <v>5</v>
      </c>
      <c r="AD31" s="193">
        <f t="shared" si="18"/>
        <v>702.11232000000007</v>
      </c>
      <c r="AE31" s="193">
        <f>AE30*0.9</f>
        <v>573.81996600000002</v>
      </c>
      <c r="AF31" s="194">
        <f t="shared" si="6"/>
        <v>0.22357596737928787</v>
      </c>
      <c r="AG31" s="177"/>
    </row>
    <row r="32" spans="2:33" x14ac:dyDescent="0.2">
      <c r="B32" s="81" t="s">
        <v>241</v>
      </c>
      <c r="C32" s="81" t="s">
        <v>267</v>
      </c>
      <c r="D32" s="81"/>
      <c r="E32" s="81"/>
      <c r="F32" s="81"/>
      <c r="G32" s="81"/>
      <c r="H32" s="81"/>
      <c r="I32" s="81"/>
      <c r="J32" s="81"/>
      <c r="K32" s="81"/>
      <c r="Z32" s="160">
        <v>4</v>
      </c>
      <c r="AA32" s="200" t="s">
        <v>420</v>
      </c>
      <c r="AB32" s="162">
        <v>1</v>
      </c>
      <c r="AC32" s="163">
        <v>1</v>
      </c>
      <c r="AD32" s="164">
        <f>$G$9*$H$9*$I$9*$J$9*$K$9*VLOOKUP(AC32,$Q$47:$R$51,2,FALSE)</f>
        <v>733.04000000000019</v>
      </c>
      <c r="AE32" s="164">
        <f>'Cap1hr1ln V6.0'!E24</f>
        <v>586.53</v>
      </c>
      <c r="AF32" s="165">
        <f t="shared" si="6"/>
        <v>0.24979114452798701</v>
      </c>
      <c r="AG32" s="166" t="str">
        <f>CONCATENATE(AB32," Lane ",AA32," ",AD47)</f>
        <v>1 Lane Major Collector v7</v>
      </c>
    </row>
    <row r="33" spans="2:39" x14ac:dyDescent="0.2">
      <c r="H33" s="92" t="s">
        <v>300</v>
      </c>
      <c r="I33" s="92"/>
      <c r="AA33" s="201"/>
      <c r="AB33" s="168"/>
      <c r="AC33" s="169">
        <v>2</v>
      </c>
      <c r="AD33" s="170">
        <f t="shared" ref="AD33:AD36" si="20">$G$9*$H$9*$I$9*$J$9*$K$9*VLOOKUP(AC33,$Q$47:$R$51,2,FALSE)</f>
        <v>699.72000000000014</v>
      </c>
      <c r="AE33" s="170">
        <f>AE32</f>
        <v>586.53</v>
      </c>
      <c r="AF33" s="171">
        <f t="shared" si="6"/>
        <v>0.19298245614035126</v>
      </c>
      <c r="AG33" s="166" t="s">
        <v>451</v>
      </c>
    </row>
    <row r="34" spans="2:39" x14ac:dyDescent="0.2">
      <c r="B34" s="23" t="s">
        <v>283</v>
      </c>
      <c r="G34" s="102">
        <v>1</v>
      </c>
      <c r="H34" s="103">
        <v>2</v>
      </c>
      <c r="I34" s="103">
        <v>3</v>
      </c>
      <c r="J34" s="103">
        <v>4</v>
      </c>
      <c r="K34" s="103">
        <v>5</v>
      </c>
      <c r="AA34" s="201"/>
      <c r="AB34" s="168"/>
      <c r="AC34" s="169">
        <v>3</v>
      </c>
      <c r="AD34" s="170">
        <f t="shared" si="20"/>
        <v>666.40000000000009</v>
      </c>
      <c r="AE34" s="170">
        <f t="shared" ref="AE34:AE35" si="21">AE33</f>
        <v>586.53</v>
      </c>
      <c r="AF34" s="171">
        <f t="shared" si="6"/>
        <v>0.13617376775271528</v>
      </c>
      <c r="AG34" s="166"/>
    </row>
    <row r="35" spans="2:39" x14ac:dyDescent="0.2">
      <c r="B35" s="64" t="s">
        <v>260</v>
      </c>
      <c r="G35" s="104" t="s">
        <v>261</v>
      </c>
      <c r="H35" s="105" t="s">
        <v>262</v>
      </c>
      <c r="I35" s="105" t="s">
        <v>263</v>
      </c>
      <c r="J35" s="105" t="s">
        <v>264</v>
      </c>
      <c r="K35" s="105" t="s">
        <v>160</v>
      </c>
      <c r="AA35" s="201"/>
      <c r="AB35" s="168"/>
      <c r="AC35" s="169">
        <v>4</v>
      </c>
      <c r="AD35" s="170">
        <f t="shared" si="20"/>
        <v>633.08000000000004</v>
      </c>
      <c r="AE35" s="170">
        <f t="shared" si="21"/>
        <v>586.53</v>
      </c>
      <c r="AF35" s="171">
        <f t="shared" si="6"/>
        <v>7.9365079365079527E-2</v>
      </c>
      <c r="AG35" s="166"/>
    </row>
    <row r="36" spans="2:39" x14ac:dyDescent="0.2">
      <c r="B36" s="107" t="s">
        <v>265</v>
      </c>
      <c r="C36" s="103"/>
      <c r="D36" s="108"/>
      <c r="E36" s="103"/>
      <c r="F36" s="103"/>
      <c r="G36" s="106">
        <v>1.1000000000000001</v>
      </c>
      <c r="H36" s="106">
        <v>1.05</v>
      </c>
      <c r="I36" s="106">
        <v>1</v>
      </c>
      <c r="J36" s="106">
        <v>0.95</v>
      </c>
      <c r="K36" s="106">
        <v>0.9</v>
      </c>
      <c r="M36" t="s">
        <v>321</v>
      </c>
      <c r="Q36" s="64" t="s">
        <v>322</v>
      </c>
      <c r="U36" s="64" t="s">
        <v>323</v>
      </c>
      <c r="AA36" s="202"/>
      <c r="AB36" s="173"/>
      <c r="AC36" s="174">
        <v>5</v>
      </c>
      <c r="AD36" s="175">
        <f t="shared" si="20"/>
        <v>599.7600000000001</v>
      </c>
      <c r="AE36" s="175">
        <f>AE35*0.9</f>
        <v>527.87699999999995</v>
      </c>
      <c r="AF36" s="176">
        <f t="shared" si="6"/>
        <v>0.1361737677527155</v>
      </c>
      <c r="AG36" s="166"/>
      <c r="AL36" s="149" t="s">
        <v>443</v>
      </c>
    </row>
    <row r="37" spans="2:39" x14ac:dyDescent="0.2">
      <c r="B37" s="64" t="s">
        <v>271</v>
      </c>
      <c r="M37" t="str">
        <f>M23</f>
        <v>Lanes</v>
      </c>
      <c r="N37" t="s">
        <v>298</v>
      </c>
      <c r="O37" t="str">
        <f>T23</f>
        <v>Cap1hr1ln</v>
      </c>
      <c r="Q37" t="str">
        <f>M23</f>
        <v>Lanes</v>
      </c>
      <c r="R37" s="64" t="s">
        <v>324</v>
      </c>
      <c r="S37" s="64" t="s">
        <v>325</v>
      </c>
      <c r="U37" t="str">
        <f>Q37</f>
        <v>Lanes</v>
      </c>
      <c r="V37" s="64" t="s">
        <v>324</v>
      </c>
      <c r="W37" s="64" t="s">
        <v>325</v>
      </c>
      <c r="Z37" s="160">
        <v>4</v>
      </c>
      <c r="AA37" s="201" t="s">
        <v>420</v>
      </c>
      <c r="AB37" s="178">
        <v>2</v>
      </c>
      <c r="AC37" s="179">
        <v>1</v>
      </c>
      <c r="AD37" s="180">
        <f>$G$10*$H$10*$I$10*$J$10*$K$10*VLOOKUP(AC37,$Q$47:$R$51,2,FALSE)</f>
        <v>696.38799999999992</v>
      </c>
      <c r="AE37" s="180">
        <f>'Cap1hr1ln V6.0'!E25</f>
        <v>588.15925000000004</v>
      </c>
      <c r="AF37" s="181">
        <f t="shared" si="6"/>
        <v>0.1840126632370398</v>
      </c>
      <c r="AG37" s="166" t="str">
        <f>CONCATENATE(AB37," Lane ",AA37," ",AD47)</f>
        <v>2 Lane Major Collector v7</v>
      </c>
      <c r="AM37" s="149" t="s">
        <v>443</v>
      </c>
    </row>
    <row r="38" spans="2:39" x14ac:dyDescent="0.2">
      <c r="B38" s="64"/>
      <c r="M38">
        <f>M25</f>
        <v>2</v>
      </c>
      <c r="N38">
        <f>N25</f>
        <v>2400</v>
      </c>
      <c r="O38" s="99">
        <f t="shared" ref="O38:O43" si="22">T25</f>
        <v>2459</v>
      </c>
      <c r="Q38">
        <f t="shared" ref="Q38:Q43" si="23">M25</f>
        <v>2</v>
      </c>
      <c r="R38" s="90">
        <f t="shared" ref="R38:R43" si="24">Q38*N25</f>
        <v>4800</v>
      </c>
      <c r="S38" s="90">
        <f t="shared" ref="S38:S43" si="25">S25</f>
        <v>4918</v>
      </c>
      <c r="U38">
        <f t="shared" ref="U38:U43" si="26">Q38</f>
        <v>2</v>
      </c>
      <c r="V38" s="90">
        <f t="shared" ref="V38:W43" si="27">MROUND(R38/$M$4*2, 1000)</f>
        <v>107000</v>
      </c>
      <c r="W38" s="90">
        <f t="shared" si="27"/>
        <v>109000</v>
      </c>
      <c r="AA38" s="201"/>
      <c r="AB38" s="178"/>
      <c r="AC38" s="179">
        <v>2</v>
      </c>
      <c r="AD38" s="180">
        <f t="shared" ref="AD38:AD41" si="28">$G$10*$H$10*$I$10*$J$10*$K$10*VLOOKUP(AC38,$Q$47:$R$51,2,FALSE)</f>
        <v>664.73399999999992</v>
      </c>
      <c r="AE38" s="180">
        <f>AE37</f>
        <v>588.15925000000004</v>
      </c>
      <c r="AF38" s="181">
        <f t="shared" si="6"/>
        <v>0.13019390581717438</v>
      </c>
      <c r="AG38" s="166" t="s">
        <v>452</v>
      </c>
    </row>
    <row r="39" spans="2:39" x14ac:dyDescent="0.2">
      <c r="B39" s="23" t="s">
        <v>284</v>
      </c>
      <c r="M39">
        <f t="shared" ref="M39:N43" si="29">M26</f>
        <v>3</v>
      </c>
      <c r="N39">
        <f t="shared" si="29"/>
        <v>2400</v>
      </c>
      <c r="O39" s="99">
        <f t="shared" si="22"/>
        <v>2236.8833333333337</v>
      </c>
      <c r="Q39">
        <f t="shared" si="23"/>
        <v>3</v>
      </c>
      <c r="R39" s="90">
        <f t="shared" si="24"/>
        <v>7200</v>
      </c>
      <c r="S39" s="90">
        <f t="shared" si="25"/>
        <v>6710.6500000000005</v>
      </c>
      <c r="U39">
        <f t="shared" si="26"/>
        <v>3</v>
      </c>
      <c r="V39" s="90">
        <f t="shared" si="27"/>
        <v>160000</v>
      </c>
      <c r="W39" s="90">
        <f t="shared" si="27"/>
        <v>149000</v>
      </c>
      <c r="AA39" s="201"/>
      <c r="AB39" s="178"/>
      <c r="AC39" s="179">
        <v>3</v>
      </c>
      <c r="AD39" s="180">
        <f t="shared" si="28"/>
        <v>633.07999999999993</v>
      </c>
      <c r="AE39" s="180">
        <f t="shared" ref="AE39:AE40" si="30">AE38</f>
        <v>588.15925000000004</v>
      </c>
      <c r="AF39" s="181">
        <f t="shared" si="6"/>
        <v>7.6375148397308967E-2</v>
      </c>
      <c r="AG39" s="166"/>
    </row>
    <row r="40" spans="2:39" x14ac:dyDescent="0.2">
      <c r="B40" s="64" t="s">
        <v>285</v>
      </c>
      <c r="F40" s="82"/>
      <c r="M40">
        <f t="shared" si="29"/>
        <v>4</v>
      </c>
      <c r="N40">
        <f t="shared" si="29"/>
        <v>2400</v>
      </c>
      <c r="O40" s="99">
        <f t="shared" si="22"/>
        <v>2094.1899999999996</v>
      </c>
      <c r="Q40">
        <f t="shared" si="23"/>
        <v>4</v>
      </c>
      <c r="R40" s="90">
        <f t="shared" si="24"/>
        <v>9600</v>
      </c>
      <c r="S40" s="90">
        <f t="shared" si="25"/>
        <v>8376.7599999999984</v>
      </c>
      <c r="U40">
        <f t="shared" si="26"/>
        <v>4</v>
      </c>
      <c r="V40" s="90">
        <f t="shared" si="27"/>
        <v>213000</v>
      </c>
      <c r="W40" s="90">
        <f t="shared" si="27"/>
        <v>186000</v>
      </c>
      <c r="AA40" s="201"/>
      <c r="AB40" s="178"/>
      <c r="AC40" s="179">
        <v>4</v>
      </c>
      <c r="AD40" s="180">
        <f t="shared" si="28"/>
        <v>601.42599999999993</v>
      </c>
      <c r="AE40" s="180">
        <f t="shared" si="30"/>
        <v>588.15925000000004</v>
      </c>
      <c r="AF40" s="181">
        <f t="shared" si="6"/>
        <v>2.255639097744333E-2</v>
      </c>
      <c r="AG40" s="166"/>
    </row>
    <row r="41" spans="2:39" x14ac:dyDescent="0.2">
      <c r="B41" s="64" t="s">
        <v>286</v>
      </c>
      <c r="M41">
        <f t="shared" si="29"/>
        <v>5</v>
      </c>
      <c r="N41">
        <f t="shared" si="29"/>
        <v>2400</v>
      </c>
      <c r="O41" s="99">
        <f t="shared" si="22"/>
        <v>1995.92</v>
      </c>
      <c r="Q41">
        <f t="shared" si="23"/>
        <v>5</v>
      </c>
      <c r="R41" s="90">
        <f t="shared" si="24"/>
        <v>12000</v>
      </c>
      <c r="S41" s="90">
        <f t="shared" si="25"/>
        <v>9979.6</v>
      </c>
      <c r="U41">
        <f t="shared" si="26"/>
        <v>5</v>
      </c>
      <c r="V41" s="90">
        <f t="shared" si="27"/>
        <v>267000</v>
      </c>
      <c r="W41" s="90">
        <f t="shared" si="27"/>
        <v>222000</v>
      </c>
      <c r="Z41" s="190"/>
      <c r="AA41" s="202"/>
      <c r="AB41" s="182"/>
      <c r="AC41" s="183">
        <v>5</v>
      </c>
      <c r="AD41" s="184">
        <f t="shared" si="28"/>
        <v>569.77199999999993</v>
      </c>
      <c r="AE41" s="184">
        <f>AE40*0.9</f>
        <v>529.34332500000005</v>
      </c>
      <c r="AF41" s="185">
        <f t="shared" si="6"/>
        <v>7.6375148397308745E-2</v>
      </c>
      <c r="AG41" s="195"/>
    </row>
    <row r="42" spans="2:39" x14ac:dyDescent="0.2">
      <c r="B42" s="83" t="s">
        <v>275</v>
      </c>
      <c r="C42" s="83"/>
      <c r="D42" s="83"/>
      <c r="E42" s="83"/>
      <c r="F42" s="84"/>
      <c r="G42" s="85" t="s">
        <v>276</v>
      </c>
      <c r="H42" s="86" t="s">
        <v>277</v>
      </c>
      <c r="I42" s="86" t="s">
        <v>278</v>
      </c>
      <c r="J42" s="86" t="s">
        <v>279</v>
      </c>
      <c r="K42" s="86" t="s">
        <v>280</v>
      </c>
      <c r="M42">
        <f t="shared" si="29"/>
        <v>6</v>
      </c>
      <c r="N42">
        <f t="shared" si="29"/>
        <v>2400</v>
      </c>
      <c r="O42" s="99">
        <f t="shared" si="22"/>
        <v>1930.4066666666668</v>
      </c>
      <c r="Q42">
        <f t="shared" si="23"/>
        <v>6</v>
      </c>
      <c r="R42" s="90">
        <f t="shared" si="24"/>
        <v>14400</v>
      </c>
      <c r="S42" s="90">
        <f t="shared" si="25"/>
        <v>11582.44</v>
      </c>
      <c r="U42">
        <f t="shared" si="26"/>
        <v>6</v>
      </c>
      <c r="V42" s="90">
        <f t="shared" si="27"/>
        <v>320000</v>
      </c>
      <c r="W42" s="90">
        <f t="shared" si="27"/>
        <v>257000</v>
      </c>
      <c r="Z42" s="160">
        <v>5</v>
      </c>
      <c r="AA42" s="203" t="s">
        <v>421</v>
      </c>
      <c r="AB42" s="162">
        <v>1</v>
      </c>
      <c r="AC42" s="163">
        <v>1</v>
      </c>
      <c r="AD42" s="164">
        <f>$G$11*$H$11*$I$11*$J$11*$K$11*VLOOKUP(AC42,$Q$47:$R$51,2,FALSE)</f>
        <v>565.95000000000005</v>
      </c>
      <c r="AE42" s="164">
        <f>'Cap1hr1ln V6.0'!E24</f>
        <v>586.53</v>
      </c>
      <c r="AF42" s="165">
        <f t="shared" si="6"/>
        <v>-3.5087719298245501E-2</v>
      </c>
      <c r="AG42" s="197" t="str">
        <f>CONCATENATE(AB42," Lane ",AA42," ",AD47)</f>
        <v>1 Lane Minor Collector v7</v>
      </c>
    </row>
    <row r="43" spans="2:39" x14ac:dyDescent="0.2">
      <c r="B43" s="83"/>
      <c r="C43" s="83"/>
      <c r="D43" s="83"/>
      <c r="E43" s="83" t="s">
        <v>273</v>
      </c>
      <c r="F43" s="84"/>
      <c r="G43" s="87">
        <v>0.95</v>
      </c>
      <c r="H43" s="87">
        <v>0.91</v>
      </c>
      <c r="I43" s="87">
        <v>0.88</v>
      </c>
      <c r="J43" s="87">
        <v>0.86</v>
      </c>
      <c r="K43" s="87">
        <v>0.84</v>
      </c>
      <c r="M43">
        <f t="shared" si="29"/>
        <v>7</v>
      </c>
      <c r="N43">
        <f t="shared" si="29"/>
        <v>2400</v>
      </c>
      <c r="O43" s="99">
        <f t="shared" si="22"/>
        <v>1871.56</v>
      </c>
      <c r="Q43">
        <f t="shared" si="23"/>
        <v>7</v>
      </c>
      <c r="R43" s="90">
        <f t="shared" si="24"/>
        <v>16800</v>
      </c>
      <c r="S43" s="90">
        <f t="shared" si="25"/>
        <v>13100.92</v>
      </c>
      <c r="U43">
        <f t="shared" si="26"/>
        <v>7</v>
      </c>
      <c r="V43" s="90">
        <f t="shared" si="27"/>
        <v>373000</v>
      </c>
      <c r="W43" s="90">
        <f t="shared" si="27"/>
        <v>291000</v>
      </c>
      <c r="AA43" s="204"/>
      <c r="AB43" s="168"/>
      <c r="AC43" s="169">
        <v>2</v>
      </c>
      <c r="AD43" s="170">
        <f t="shared" ref="AD43:AD46" si="31">$G$11*$H$11*$I$11*$J$11*$K$11*VLOOKUP(AC43,$Q$47:$R$51,2,FALSE)</f>
        <v>540.22500000000002</v>
      </c>
      <c r="AE43" s="170">
        <f>AE42</f>
        <v>586.53</v>
      </c>
      <c r="AF43" s="171">
        <f t="shared" si="6"/>
        <v>-7.8947368421052544E-2</v>
      </c>
      <c r="AG43" s="195"/>
    </row>
    <row r="44" spans="2:39" x14ac:dyDescent="0.2">
      <c r="B44" t="s">
        <v>281</v>
      </c>
      <c r="C44" t="s">
        <v>282</v>
      </c>
      <c r="G44" s="42"/>
      <c r="H44" s="42"/>
      <c r="I44" s="42"/>
      <c r="J44" s="42"/>
      <c r="K44" s="42"/>
      <c r="AA44" s="204"/>
      <c r="AB44" s="168"/>
      <c r="AC44" s="169">
        <v>3</v>
      </c>
      <c r="AD44" s="170">
        <f t="shared" si="31"/>
        <v>514.5</v>
      </c>
      <c r="AE44" s="170">
        <f t="shared" ref="AE44:AE45" si="32">AE43</f>
        <v>586.53</v>
      </c>
      <c r="AF44" s="171">
        <f t="shared" si="6"/>
        <v>-0.12280701754385959</v>
      </c>
      <c r="AG44" s="195"/>
    </row>
    <row r="45" spans="2:39" x14ac:dyDescent="0.2">
      <c r="B45" s="64" t="s">
        <v>305</v>
      </c>
      <c r="G45" s="42"/>
      <c r="H45" s="42"/>
      <c r="I45" s="42"/>
      <c r="J45" s="42"/>
      <c r="K45" s="42"/>
      <c r="AA45" s="204"/>
      <c r="AB45" s="168"/>
      <c r="AC45" s="169">
        <v>4</v>
      </c>
      <c r="AD45" s="170">
        <f t="shared" si="31"/>
        <v>488.77499999999998</v>
      </c>
      <c r="AE45" s="170">
        <f t="shared" si="32"/>
        <v>586.53</v>
      </c>
      <c r="AF45" s="171">
        <f t="shared" si="6"/>
        <v>-0.16666666666666663</v>
      </c>
      <c r="AG45" s="195"/>
    </row>
    <row r="46" spans="2:39" x14ac:dyDescent="0.2">
      <c r="B46" s="64" t="s">
        <v>306</v>
      </c>
      <c r="M46" s="64" t="s">
        <v>302</v>
      </c>
      <c r="Q46" t="s">
        <v>331</v>
      </c>
      <c r="Z46" s="190"/>
      <c r="AA46" s="205"/>
      <c r="AB46" s="173"/>
      <c r="AC46" s="174">
        <v>5</v>
      </c>
      <c r="AD46" s="175">
        <f t="shared" si="31"/>
        <v>463.05</v>
      </c>
      <c r="AE46" s="175">
        <f>AE45*0.9</f>
        <v>527.87699999999995</v>
      </c>
      <c r="AF46" s="176">
        <f t="shared" si="6"/>
        <v>-0.12280701754385959</v>
      </c>
      <c r="AG46" s="177"/>
    </row>
    <row r="47" spans="2:39" x14ac:dyDescent="0.2">
      <c r="B47" s="468" t="s">
        <v>268</v>
      </c>
      <c r="C47" s="468"/>
      <c r="D47" s="468"/>
      <c r="E47" s="468"/>
      <c r="F47" s="468"/>
      <c r="G47" s="468"/>
      <c r="H47" s="468"/>
      <c r="I47" s="468"/>
      <c r="J47" s="468"/>
      <c r="K47" s="468"/>
      <c r="M47">
        <v>1</v>
      </c>
      <c r="N47">
        <v>900</v>
      </c>
      <c r="Q47">
        <v>1</v>
      </c>
      <c r="R47" s="42">
        <v>1.1000000000000001</v>
      </c>
      <c r="AD47" s="160" t="s">
        <v>449</v>
      </c>
      <c r="AE47" s="160" t="s">
        <v>450</v>
      </c>
    </row>
    <row r="48" spans="2:39" ht="26.45" customHeight="1" x14ac:dyDescent="0.2">
      <c r="B48" s="468" t="s">
        <v>269</v>
      </c>
      <c r="C48" s="468"/>
      <c r="D48" s="468"/>
      <c r="E48" s="468"/>
      <c r="F48" s="468"/>
      <c r="G48" s="468"/>
      <c r="H48" s="468"/>
      <c r="I48" s="468"/>
      <c r="J48" s="468"/>
      <c r="K48" s="468"/>
      <c r="M48">
        <v>2</v>
      </c>
      <c r="N48">
        <v>1300</v>
      </c>
      <c r="Q48">
        <v>2</v>
      </c>
      <c r="R48" s="42">
        <v>1.05</v>
      </c>
    </row>
    <row r="49" spans="2:18" ht="31.15" customHeight="1" x14ac:dyDescent="0.2">
      <c r="B49" s="468" t="s">
        <v>270</v>
      </c>
      <c r="C49" s="468"/>
      <c r="D49" s="468"/>
      <c r="E49" s="468"/>
      <c r="F49" s="468"/>
      <c r="G49" s="468"/>
      <c r="H49" s="468"/>
      <c r="I49" s="468"/>
      <c r="J49" s="468"/>
      <c r="K49" s="468"/>
      <c r="M49">
        <v>3</v>
      </c>
      <c r="N49">
        <v>1500</v>
      </c>
      <c r="Q49">
        <v>3</v>
      </c>
      <c r="R49" s="42">
        <v>1</v>
      </c>
    </row>
    <row r="50" spans="2:18" x14ac:dyDescent="0.2">
      <c r="B50" s="468"/>
      <c r="C50" s="468"/>
      <c r="D50" s="468"/>
      <c r="E50" s="468"/>
      <c r="F50" s="468"/>
      <c r="G50" s="468"/>
      <c r="H50" s="468"/>
      <c r="I50" s="468"/>
      <c r="J50" s="468"/>
      <c r="K50" s="468"/>
      <c r="M50">
        <v>4</v>
      </c>
      <c r="N50">
        <v>1700</v>
      </c>
      <c r="Q50">
        <v>4</v>
      </c>
      <c r="R50" s="42">
        <v>0.95</v>
      </c>
    </row>
    <row r="51" spans="2:18" x14ac:dyDescent="0.2">
      <c r="B51" s="64"/>
      <c r="M51">
        <v>5</v>
      </c>
      <c r="N51">
        <v>1800</v>
      </c>
      <c r="Q51">
        <v>5</v>
      </c>
      <c r="R51" s="42">
        <v>0.9</v>
      </c>
    </row>
    <row r="52" spans="2:18" x14ac:dyDescent="0.2">
      <c r="B52" s="64"/>
    </row>
    <row r="110" spans="4:5" x14ac:dyDescent="0.2">
      <c r="D110" s="8">
        <v>2200</v>
      </c>
      <c r="E110" t="e">
        <f>D110*#REF!</f>
        <v>#REF!</v>
      </c>
    </row>
    <row r="111" spans="4:5" x14ac:dyDescent="0.2">
      <c r="D111" s="8">
        <v>2200</v>
      </c>
      <c r="E111" t="e">
        <f>D111*#REF!</f>
        <v>#REF!</v>
      </c>
    </row>
    <row r="112" spans="4:5" x14ac:dyDescent="0.2">
      <c r="D112" s="8">
        <v>2200</v>
      </c>
      <c r="E112" t="e">
        <f>D112*#REF!</f>
        <v>#REF!</v>
      </c>
    </row>
    <row r="113" spans="4:18" x14ac:dyDescent="0.2">
      <c r="D113" s="8">
        <v>2200</v>
      </c>
      <c r="E113" t="e">
        <f>D113*#REF!</f>
        <v>#REF!</v>
      </c>
      <c r="G113" s="13" t="e">
        <f>E113/5</f>
        <v>#REF!</v>
      </c>
      <c r="O113">
        <v>0.97</v>
      </c>
    </row>
    <row r="115" spans="4:18" x14ac:dyDescent="0.2">
      <c r="K115" s="71" t="s">
        <v>226</v>
      </c>
      <c r="L115" s="64" t="s">
        <v>227</v>
      </c>
      <c r="M115" s="72" t="s">
        <v>228</v>
      </c>
      <c r="N115" s="64">
        <v>3</v>
      </c>
      <c r="O115">
        <v>4</v>
      </c>
      <c r="P115">
        <v>5</v>
      </c>
      <c r="Q115">
        <v>6</v>
      </c>
    </row>
    <row r="116" spans="4:18" x14ac:dyDescent="0.2">
      <c r="K116" s="14">
        <v>2300</v>
      </c>
      <c r="L116">
        <v>0.95</v>
      </c>
      <c r="M116" s="8">
        <v>0.96</v>
      </c>
      <c r="N116">
        <f>K116*L116*M116</f>
        <v>2097.6</v>
      </c>
      <c r="O116">
        <f>N116*$O$113</f>
        <v>2034.6719999999998</v>
      </c>
      <c r="P116">
        <f>O116*$O$113</f>
        <v>1973.6318399999998</v>
      </c>
      <c r="Q116">
        <f>P116*$O$113</f>
        <v>1914.4228847999998</v>
      </c>
    </row>
    <row r="117" spans="4:18" x14ac:dyDescent="0.2">
      <c r="K117" s="71" t="s">
        <v>235</v>
      </c>
      <c r="M117" s="8"/>
      <c r="N117">
        <f>N116*N115</f>
        <v>6292.7999999999993</v>
      </c>
      <c r="O117">
        <f>O116*O115</f>
        <v>8138.6879999999992</v>
      </c>
      <c r="P117">
        <f>P116*P115</f>
        <v>9868.1591999999982</v>
      </c>
      <c r="Q117">
        <f>Q116*Q115</f>
        <v>11486.537308799998</v>
      </c>
      <c r="R117" s="13"/>
    </row>
    <row r="118" spans="4:18" x14ac:dyDescent="0.2">
      <c r="K118" s="71" t="s">
        <v>229</v>
      </c>
      <c r="M118" s="8"/>
      <c r="N118" s="13">
        <f>2200*0.3</f>
        <v>660</v>
      </c>
      <c r="O118" s="13">
        <f>2200*0.3</f>
        <v>660</v>
      </c>
      <c r="P118" s="13">
        <f>2200*0.3</f>
        <v>660</v>
      </c>
      <c r="Q118" s="13">
        <f>2200*0.3</f>
        <v>660</v>
      </c>
      <c r="R118" s="13"/>
    </row>
    <row r="119" spans="4:18" x14ac:dyDescent="0.2">
      <c r="K119" s="71" t="s">
        <v>236</v>
      </c>
      <c r="M119" s="8"/>
      <c r="N119" s="13">
        <f>N117+N118</f>
        <v>6952.7999999999993</v>
      </c>
      <c r="O119" s="13">
        <f>O117+O118</f>
        <v>8798.6879999999983</v>
      </c>
      <c r="P119" s="13">
        <f>P117+P118</f>
        <v>10528.159199999998</v>
      </c>
      <c r="Q119" s="13">
        <f>Q117+Q118</f>
        <v>12146.537308799998</v>
      </c>
      <c r="R119" s="13"/>
    </row>
    <row r="120" spans="4:18" x14ac:dyDescent="0.2">
      <c r="K120" s="71" t="s">
        <v>237</v>
      </c>
      <c r="M120" s="8"/>
      <c r="N120" s="13">
        <f>N119/(N115+1)</f>
        <v>1738.1999999999998</v>
      </c>
      <c r="O120" s="13">
        <f>O119/(O115+1)</f>
        <v>1759.7375999999997</v>
      </c>
      <c r="P120" s="13">
        <f>P119/(P115+1)</f>
        <v>1754.6931999999997</v>
      </c>
      <c r="Q120" s="13">
        <f>Q119/(Q115+1)</f>
        <v>1735.2196155428569</v>
      </c>
      <c r="R120" s="13"/>
    </row>
    <row r="121" spans="4:18" x14ac:dyDescent="0.2">
      <c r="K121" s="71" t="s">
        <v>238</v>
      </c>
      <c r="M121" s="8"/>
      <c r="N121" s="13">
        <f>N119/N115</f>
        <v>2317.6</v>
      </c>
      <c r="O121" s="13">
        <f>O119/O115</f>
        <v>2199.6719999999996</v>
      </c>
      <c r="P121" s="13">
        <f>P119/P115</f>
        <v>2105.6318399999996</v>
      </c>
      <c r="Q121" s="13">
        <f>Q119/Q115</f>
        <v>2024.4228847999996</v>
      </c>
      <c r="R121" s="13"/>
    </row>
    <row r="122" spans="4:18" x14ac:dyDescent="0.2">
      <c r="K122" s="71" t="s">
        <v>230</v>
      </c>
      <c r="M122" s="8"/>
      <c r="N122" s="13">
        <f>N118/N115</f>
        <v>220</v>
      </c>
      <c r="O122" s="13">
        <f>O118/O115</f>
        <v>165</v>
      </c>
      <c r="P122" s="13">
        <f>P118/P115</f>
        <v>132</v>
      </c>
      <c r="Q122" s="13">
        <f>Q118/Q115</f>
        <v>110</v>
      </c>
      <c r="R122" s="13"/>
    </row>
    <row r="123" spans="4:18" x14ac:dyDescent="0.2">
      <c r="K123" s="14"/>
      <c r="M123" s="8"/>
      <c r="N123" s="13">
        <f>N116+N122</f>
        <v>2317.6</v>
      </c>
      <c r="O123" s="13">
        <f>O116+O122</f>
        <v>2199.6719999999996</v>
      </c>
      <c r="P123" s="13">
        <f>P116+P122</f>
        <v>2105.63184</v>
      </c>
      <c r="Q123" s="13">
        <f>Q116+Q122</f>
        <v>2024.4228847999998</v>
      </c>
      <c r="R123" s="13"/>
    </row>
    <row r="124" spans="4:18" x14ac:dyDescent="0.2">
      <c r="K124" s="14"/>
      <c r="M124" s="8"/>
      <c r="N124" s="13">
        <f>N120+N122</f>
        <v>1958.1999999999998</v>
      </c>
      <c r="O124" s="13">
        <f>O120+O122</f>
        <v>1924.7375999999997</v>
      </c>
      <c r="P124" s="13">
        <f>P120+P122</f>
        <v>1886.6931999999997</v>
      </c>
      <c r="Q124" s="13">
        <f>Q120+Q122</f>
        <v>1845.2196155428569</v>
      </c>
    </row>
    <row r="125" spans="4:18" x14ac:dyDescent="0.2">
      <c r="N125" s="13">
        <f>N121-N120</f>
        <v>579.40000000000009</v>
      </c>
    </row>
    <row r="126" spans="4:18" x14ac:dyDescent="0.2">
      <c r="N126" s="13">
        <f>N120*(N115+1)</f>
        <v>6952.7999999999993</v>
      </c>
    </row>
    <row r="127" spans="4:18" x14ac:dyDescent="0.2">
      <c r="N127" s="13">
        <f>N121*N115</f>
        <v>6952.7999999999993</v>
      </c>
    </row>
    <row r="128" spans="4:18" x14ac:dyDescent="0.2">
      <c r="N128" s="13"/>
    </row>
    <row r="129" spans="14:14" x14ac:dyDescent="0.2">
      <c r="N129" s="13"/>
    </row>
    <row r="130" spans="14:14" x14ac:dyDescent="0.2">
      <c r="N130">
        <f>N125*3</f>
        <v>1738.2000000000003</v>
      </c>
    </row>
  </sheetData>
  <mergeCells count="4">
    <mergeCell ref="B47:K47"/>
    <mergeCell ref="B48:K48"/>
    <mergeCell ref="B49:K49"/>
    <mergeCell ref="B50:K50"/>
  </mergeCells>
  <phoneticPr fontId="0" type="noConversion"/>
  <printOptions horizontalCentered="1"/>
  <pageMargins left="0.75" right="0.75" top="1" bottom="1" header="0.5" footer="0.5"/>
  <pageSetup scale="86" fitToHeight="2" orientation="portrait" r:id="rId1"/>
  <headerFooter alignWithMargins="0">
    <oddFooter>&amp;L&amp;F</oddFooter>
  </headerFooter>
  <rowBreaks count="1" manualBreakCount="1">
    <brk id="51" min="1" max="10" man="1"/>
  </row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AK115"/>
  <sheetViews>
    <sheetView topLeftCell="A49" zoomScale="85" workbookViewId="0">
      <selection activeCell="G22" sqref="G22"/>
    </sheetView>
  </sheetViews>
  <sheetFormatPr defaultRowHeight="12.75" outlineLevelRow="1" outlineLevelCol="1" x14ac:dyDescent="0.2"/>
  <cols>
    <col min="1" max="1" width="20.7109375" customWidth="1"/>
    <col min="2" max="3" width="10.5703125" customWidth="1"/>
    <col min="4" max="5" width="9.140625" customWidth="1" outlineLevel="1"/>
    <col min="7" max="7" width="9.5703125" bestFit="1" customWidth="1"/>
    <col min="23" max="24" width="8.85546875" customWidth="1" outlineLevel="1"/>
    <col min="25" max="25" width="4.28515625" bestFit="1" customWidth="1"/>
    <col min="26" max="27" width="8.85546875" customWidth="1" outlineLevel="1"/>
    <col min="28" max="28" width="4.28515625" bestFit="1" customWidth="1"/>
    <col min="29" max="30" width="8.85546875" customWidth="1" outlineLevel="1"/>
    <col min="31" max="31" width="3.28515625" bestFit="1" customWidth="1"/>
    <col min="32" max="33" width="8.85546875" customWidth="1" outlineLevel="1"/>
    <col min="34" max="34" width="4" bestFit="1" customWidth="1"/>
    <col min="35" max="36" width="8.85546875" customWidth="1" outlineLevel="1"/>
    <col min="37" max="37" width="5.7109375" bestFit="1" customWidth="1"/>
  </cols>
  <sheetData>
    <row r="1" spans="1:37" x14ac:dyDescent="0.2">
      <c r="B1" t="s">
        <v>126</v>
      </c>
      <c r="C1" t="s">
        <v>126</v>
      </c>
      <c r="F1" t="s">
        <v>127</v>
      </c>
    </row>
    <row r="2" spans="1:37" x14ac:dyDescent="0.2">
      <c r="B2" t="s">
        <v>125</v>
      </c>
      <c r="C2" t="s">
        <v>125</v>
      </c>
      <c r="F2" t="s">
        <v>128</v>
      </c>
    </row>
    <row r="5" spans="1:37" x14ac:dyDescent="0.2">
      <c r="A5" t="s">
        <v>210</v>
      </c>
    </row>
    <row r="6" spans="1:37" x14ac:dyDescent="0.2">
      <c r="A6" s="61" t="s">
        <v>319</v>
      </c>
      <c r="B6" s="58" t="s">
        <v>307</v>
      </c>
      <c r="C6" s="58" t="s">
        <v>308</v>
      </c>
      <c r="D6" s="58" t="s">
        <v>309</v>
      </c>
      <c r="E6" s="58" t="s">
        <v>310</v>
      </c>
      <c r="F6" s="58" t="s">
        <v>311</v>
      </c>
    </row>
    <row r="7" spans="1:37" x14ac:dyDescent="0.2">
      <c r="A7" t="s">
        <v>173</v>
      </c>
      <c r="B7" s="23">
        <v>67</v>
      </c>
      <c r="C7" s="23">
        <v>50</v>
      </c>
      <c r="D7" s="23">
        <v>35</v>
      </c>
      <c r="E7" s="23">
        <v>25</v>
      </c>
      <c r="F7" s="23">
        <v>23</v>
      </c>
    </row>
    <row r="8" spans="1:37" x14ac:dyDescent="0.2">
      <c r="A8" t="s">
        <v>174</v>
      </c>
      <c r="B8" s="23">
        <v>1.2</v>
      </c>
      <c r="C8" s="23">
        <v>2</v>
      </c>
      <c r="D8" s="23">
        <v>0.3</v>
      </c>
      <c r="E8" s="23">
        <v>0.3</v>
      </c>
      <c r="F8" s="62">
        <v>2</v>
      </c>
    </row>
    <row r="9" spans="1:37" x14ac:dyDescent="0.2">
      <c r="A9" t="s">
        <v>175</v>
      </c>
      <c r="B9" s="40">
        <v>7</v>
      </c>
      <c r="C9" s="40">
        <v>5.5</v>
      </c>
      <c r="D9" s="40">
        <v>6</v>
      </c>
      <c r="E9" s="40">
        <v>4</v>
      </c>
      <c r="F9" s="40">
        <v>2</v>
      </c>
      <c r="V9" s="61" t="s">
        <v>211</v>
      </c>
      <c r="Y9" t="s">
        <v>206</v>
      </c>
      <c r="AB9" t="s">
        <v>213</v>
      </c>
      <c r="AE9" t="s">
        <v>214</v>
      </c>
      <c r="AH9" t="s">
        <v>1</v>
      </c>
      <c r="AK9" t="s">
        <v>207</v>
      </c>
    </row>
    <row r="10" spans="1:37" s="1" customFormat="1" ht="38.25" x14ac:dyDescent="0.2">
      <c r="A10" s="55" t="s">
        <v>176</v>
      </c>
      <c r="B10" s="38" t="str">
        <f>CONCATENATE(B6, " (X=", B8, ", Y=", B9, ")")</f>
        <v>Fwy6 (X=1.2, Y=7)</v>
      </c>
      <c r="C10" s="38" t="str">
        <f>CONCATENATE(C6, " (X=", C8, ", Y=", C9, ")")</f>
        <v>Bng6 (X=2, Y=5.5)</v>
      </c>
      <c r="D10" s="38" t="str">
        <f>CONCATENATE(D6, " (X=", D8, ", Y=", D9, ")")</f>
        <v>Art6 (X=0.3, Y=6)</v>
      </c>
      <c r="E10" s="38" t="str">
        <f>CONCATENATE(E6, " (X=", E8, ", Y=", E9, ")")</f>
        <v>Coll6 (X=0.3, Y=4)</v>
      </c>
      <c r="F10" s="38" t="str">
        <f>CONCATENATE(F6, " (X=", F8, ", Y=", F9, ")")</f>
        <v>Ramp6 (X=2, Y=2)</v>
      </c>
      <c r="V10" s="1" t="str">
        <f>A10</f>
        <v>V/C</v>
      </c>
      <c r="W10" s="1" t="str">
        <f>B10</f>
        <v>Fwy6 (X=1.2, Y=7)</v>
      </c>
      <c r="X10" s="1" t="str">
        <f>B41</f>
        <v>Fwy7 (X=0.5, Y=9)</v>
      </c>
      <c r="Z10" s="1" t="str">
        <f>C10</f>
        <v>Bng6 (X=2, Y=5.5)</v>
      </c>
      <c r="AA10" s="1" t="str">
        <f>C41</f>
        <v>Bng7 (X=0.7, Y=6)</v>
      </c>
      <c r="AC10" s="1" t="str">
        <f t="shared" ref="AC10:AC24" si="0">D10</f>
        <v>Art6 (X=0.3, Y=6)</v>
      </c>
      <c r="AD10" s="1" t="str">
        <f t="shared" ref="AD10:AD24" si="1">D41</f>
        <v>Art7 (X=0.6, Y=4)</v>
      </c>
      <c r="AF10" s="1" t="str">
        <f t="shared" ref="AF10:AF24" si="2">E10</f>
        <v>Coll6 (X=0.3, Y=4)</v>
      </c>
      <c r="AG10" s="1" t="str">
        <f t="shared" ref="AG10:AG24" si="3">E41</f>
        <v>Coll7 (X=0.2, Y=5)</v>
      </c>
      <c r="AI10" s="1" t="str">
        <f>F10</f>
        <v>Ramp6 (X=2, Y=2)</v>
      </c>
      <c r="AJ10" s="1" t="str">
        <f>F41</f>
        <v>Ramp7 (X=2, Y=2)</v>
      </c>
    </row>
    <row r="11" spans="1:37" x14ac:dyDescent="0.2">
      <c r="A11" s="23">
        <v>0.1</v>
      </c>
      <c r="B11" s="41">
        <f t="shared" ref="B11:F26" si="4">B$7/(1+B$8*($A11^B$9))</f>
        <v>66.999991960000969</v>
      </c>
      <c r="C11" s="41">
        <f t="shared" si="4"/>
        <v>49.999683774233972</v>
      </c>
      <c r="D11" s="41">
        <f t="shared" si="4"/>
        <v>34.999989500003153</v>
      </c>
      <c r="E11" s="41">
        <f t="shared" si="4"/>
        <v>24.999250022499325</v>
      </c>
      <c r="F11" s="41">
        <f t="shared" si="4"/>
        <v>22.549019607843135</v>
      </c>
      <c r="V11">
        <f t="shared" ref="V11:W24" si="5">A11</f>
        <v>0.1</v>
      </c>
      <c r="W11" s="60">
        <f t="shared" si="5"/>
        <v>66.999991960000969</v>
      </c>
      <c r="X11" s="60">
        <f t="shared" ref="X11:X24" si="6">B42</f>
        <v>66.999999966499999</v>
      </c>
      <c r="Y11" s="60"/>
      <c r="Z11" s="60">
        <f>C11</f>
        <v>49.999683774233972</v>
      </c>
      <c r="AA11" s="60">
        <f>C42</f>
        <v>49.999965000024503</v>
      </c>
      <c r="AB11" s="60"/>
      <c r="AC11" s="60">
        <f t="shared" si="0"/>
        <v>34.999989500003153</v>
      </c>
      <c r="AD11" s="60">
        <f t="shared" si="1"/>
        <v>34.997900125992444</v>
      </c>
      <c r="AE11" s="60"/>
      <c r="AF11" s="60">
        <f t="shared" si="2"/>
        <v>24.999250022499325</v>
      </c>
      <c r="AG11" s="60">
        <f t="shared" si="3"/>
        <v>24.9999500001</v>
      </c>
      <c r="AH11" s="60"/>
      <c r="AI11" s="60">
        <f t="shared" ref="AI11:AI24" si="7">F11</f>
        <v>22.549019607843135</v>
      </c>
      <c r="AJ11" s="60">
        <f t="shared" ref="AJ11:AJ24" si="8">F42</f>
        <v>22.549019607843135</v>
      </c>
    </row>
    <row r="12" spans="1:37" x14ac:dyDescent="0.2">
      <c r="A12" s="23">
        <v>0.5</v>
      </c>
      <c r="B12" s="41">
        <f t="shared" si="4"/>
        <v>66.377708978328172</v>
      </c>
      <c r="C12" s="41">
        <f t="shared" si="4"/>
        <v>47.883814383760324</v>
      </c>
      <c r="D12" s="41">
        <f t="shared" si="4"/>
        <v>34.836702954898911</v>
      </c>
      <c r="E12" s="41">
        <f t="shared" si="4"/>
        <v>24.539877300613497</v>
      </c>
      <c r="F12" s="41">
        <f t="shared" si="4"/>
        <v>15.333333333333334</v>
      </c>
      <c r="V12">
        <f t="shared" si="5"/>
        <v>0.5</v>
      </c>
      <c r="W12" s="60">
        <f t="shared" si="5"/>
        <v>66.377708978328172</v>
      </c>
      <c r="X12" s="60">
        <f t="shared" si="6"/>
        <v>66.934634146341466</v>
      </c>
      <c r="Y12" s="60"/>
      <c r="Z12" s="60">
        <f t="shared" ref="Z12:Z24" si="9">C12</f>
        <v>47.883814383760324</v>
      </c>
      <c r="AA12" s="60">
        <f t="shared" ref="AA12:AA24" si="10">C43</f>
        <v>49.459041731066456</v>
      </c>
      <c r="AB12" s="60"/>
      <c r="AC12" s="60">
        <f t="shared" si="0"/>
        <v>34.836702954898911</v>
      </c>
      <c r="AD12" s="60">
        <f t="shared" si="1"/>
        <v>33.734939759036145</v>
      </c>
      <c r="AE12" s="60"/>
      <c r="AF12" s="60">
        <f t="shared" si="2"/>
        <v>24.539877300613497</v>
      </c>
      <c r="AG12" s="60">
        <f t="shared" si="3"/>
        <v>24.844720496894407</v>
      </c>
      <c r="AH12" s="60"/>
      <c r="AI12" s="60">
        <f t="shared" si="7"/>
        <v>15.333333333333334</v>
      </c>
      <c r="AJ12" s="60">
        <f t="shared" si="8"/>
        <v>15.333333333333334</v>
      </c>
    </row>
    <row r="13" spans="1:37" x14ac:dyDescent="0.2">
      <c r="A13" s="23">
        <f t="shared" ref="A13:A34" si="11">+A12+0.1</f>
        <v>0.6</v>
      </c>
      <c r="B13" s="41">
        <f t="shared" si="4"/>
        <v>64.822463077125036</v>
      </c>
      <c r="C13" s="41">
        <f t="shared" si="4"/>
        <v>44.624319164737067</v>
      </c>
      <c r="D13" s="41">
        <f t="shared" si="4"/>
        <v>34.516874214987666</v>
      </c>
      <c r="E13" s="41">
        <f t="shared" si="4"/>
        <v>24.064377021407669</v>
      </c>
      <c r="F13" s="41">
        <f t="shared" si="4"/>
        <v>13.372093023255815</v>
      </c>
      <c r="V13">
        <f t="shared" si="5"/>
        <v>0.6</v>
      </c>
      <c r="W13" s="60">
        <f t="shared" si="5"/>
        <v>64.822463077125036</v>
      </c>
      <c r="X13" s="60">
        <f t="shared" si="6"/>
        <v>66.664089784517458</v>
      </c>
      <c r="Y13" s="60"/>
      <c r="Z13" s="60">
        <f t="shared" si="9"/>
        <v>44.624319164737067</v>
      </c>
      <c r="AA13" s="60">
        <f t="shared" si="10"/>
        <v>48.418684499203614</v>
      </c>
      <c r="AB13" s="60"/>
      <c r="AC13" s="60">
        <f t="shared" si="0"/>
        <v>34.516874214987666</v>
      </c>
      <c r="AD13" s="60">
        <f t="shared" si="1"/>
        <v>32.474762470308789</v>
      </c>
      <c r="AE13" s="60"/>
      <c r="AF13" s="60">
        <f t="shared" si="2"/>
        <v>24.064377021407669</v>
      </c>
      <c r="AG13" s="60">
        <f t="shared" si="3"/>
        <v>24.617154020670533</v>
      </c>
      <c r="AH13" s="60"/>
      <c r="AI13" s="60">
        <f t="shared" si="7"/>
        <v>13.372093023255815</v>
      </c>
      <c r="AJ13" s="60">
        <f t="shared" si="8"/>
        <v>13.372093023255815</v>
      </c>
    </row>
    <row r="14" spans="1:37" x14ac:dyDescent="0.2">
      <c r="A14" s="23">
        <f t="shared" si="11"/>
        <v>0.7</v>
      </c>
      <c r="B14" s="41">
        <f t="shared" si="4"/>
        <v>60.974213586445373</v>
      </c>
      <c r="C14" s="41">
        <f t="shared" si="4"/>
        <v>39.024850125858897</v>
      </c>
      <c r="D14" s="41">
        <f t="shared" si="4"/>
        <v>33.806799165493658</v>
      </c>
      <c r="E14" s="41">
        <f t="shared" si="4"/>
        <v>23.320242903650083</v>
      </c>
      <c r="F14" s="41">
        <f t="shared" si="4"/>
        <v>11.616161616161616</v>
      </c>
      <c r="V14">
        <f t="shared" si="5"/>
        <v>0.7</v>
      </c>
      <c r="W14" s="60">
        <f t="shared" si="5"/>
        <v>60.974213586445373</v>
      </c>
      <c r="X14" s="60">
        <f t="shared" si="6"/>
        <v>65.674890636738539</v>
      </c>
      <c r="Y14" s="60"/>
      <c r="Z14" s="60">
        <f t="shared" si="9"/>
        <v>39.024850125858897</v>
      </c>
      <c r="AA14" s="60">
        <f t="shared" si="10"/>
        <v>46.195594178357311</v>
      </c>
      <c r="AB14" s="60"/>
      <c r="AC14" s="60">
        <f t="shared" si="0"/>
        <v>33.806799165493658</v>
      </c>
      <c r="AD14" s="60">
        <f t="shared" si="1"/>
        <v>30.592801076866603</v>
      </c>
      <c r="AE14" s="60"/>
      <c r="AF14" s="60">
        <f t="shared" si="2"/>
        <v>23.320242903650083</v>
      </c>
      <c r="AG14" s="60">
        <f t="shared" si="3"/>
        <v>24.186978891539781</v>
      </c>
      <c r="AH14" s="60"/>
      <c r="AI14" s="60">
        <f t="shared" si="7"/>
        <v>11.616161616161616</v>
      </c>
      <c r="AJ14" s="60">
        <f t="shared" si="8"/>
        <v>11.616161616161616</v>
      </c>
    </row>
    <row r="15" spans="1:37" x14ac:dyDescent="0.2">
      <c r="A15" s="23">
        <f t="shared" si="11"/>
        <v>0.79999999999999993</v>
      </c>
      <c r="B15" s="41">
        <f t="shared" si="4"/>
        <v>53.528988871594862</v>
      </c>
      <c r="C15" s="41">
        <f t="shared" si="4"/>
        <v>31.522436521227359</v>
      </c>
      <c r="D15" s="41">
        <f t="shared" si="4"/>
        <v>32.44817192561915</v>
      </c>
      <c r="E15" s="41">
        <f t="shared" si="4"/>
        <v>22.264177828441152</v>
      </c>
      <c r="F15" s="41">
        <f t="shared" si="4"/>
        <v>10.087719298245615</v>
      </c>
      <c r="V15">
        <f t="shared" si="5"/>
        <v>0.79999999999999993</v>
      </c>
      <c r="W15" s="60">
        <f t="shared" si="5"/>
        <v>53.528988871594862</v>
      </c>
      <c r="X15" s="60">
        <f t="shared" si="6"/>
        <v>62.786471240482548</v>
      </c>
      <c r="Y15" s="60"/>
      <c r="Z15" s="60">
        <f t="shared" si="9"/>
        <v>31.522436521227359</v>
      </c>
      <c r="AA15" s="60">
        <f t="shared" si="10"/>
        <v>42.247542206984569</v>
      </c>
      <c r="AB15" s="60"/>
      <c r="AC15" s="60">
        <f t="shared" si="0"/>
        <v>32.44817192561915</v>
      </c>
      <c r="AD15" s="60">
        <f t="shared" si="1"/>
        <v>28.095299255073208</v>
      </c>
      <c r="AE15" s="60"/>
      <c r="AF15" s="60">
        <f t="shared" si="2"/>
        <v>22.264177828441152</v>
      </c>
      <c r="AG15" s="60">
        <f t="shared" si="3"/>
        <v>23.462370112319057</v>
      </c>
      <c r="AH15" s="60"/>
      <c r="AI15" s="60">
        <f t="shared" si="7"/>
        <v>10.087719298245615</v>
      </c>
      <c r="AJ15" s="60">
        <f t="shared" si="8"/>
        <v>10.087719298245615</v>
      </c>
    </row>
    <row r="16" spans="1:37" x14ac:dyDescent="0.2">
      <c r="A16" s="23">
        <f t="shared" si="11"/>
        <v>0.89999999999999991</v>
      </c>
      <c r="B16" s="41">
        <f t="shared" si="4"/>
        <v>42.567891402930215</v>
      </c>
      <c r="C16" s="41">
        <f t="shared" si="4"/>
        <v>23.58072340405554</v>
      </c>
      <c r="D16" s="41">
        <f t="shared" si="4"/>
        <v>30.187187298473571</v>
      </c>
      <c r="E16" s="41">
        <f t="shared" si="4"/>
        <v>20.888513824018453</v>
      </c>
      <c r="F16" s="41">
        <f t="shared" si="4"/>
        <v>8.7786259541984748</v>
      </c>
      <c r="V16">
        <f t="shared" si="5"/>
        <v>0.89999999999999991</v>
      </c>
      <c r="W16" s="60">
        <f t="shared" si="5"/>
        <v>42.567891402930215</v>
      </c>
      <c r="X16" s="60">
        <f t="shared" si="6"/>
        <v>56.127523667239508</v>
      </c>
      <c r="Y16" s="60"/>
      <c r="Z16" s="60">
        <f t="shared" si="9"/>
        <v>23.58072340405554</v>
      </c>
      <c r="AA16" s="60">
        <f t="shared" si="10"/>
        <v>36.442917599574997</v>
      </c>
      <c r="AB16" s="60"/>
      <c r="AC16" s="60">
        <f t="shared" si="0"/>
        <v>30.187187298473571</v>
      </c>
      <c r="AD16" s="60">
        <f t="shared" si="1"/>
        <v>25.113729317050076</v>
      </c>
      <c r="AE16" s="60"/>
      <c r="AF16" s="60">
        <f t="shared" si="2"/>
        <v>20.888513824018453</v>
      </c>
      <c r="AG16" s="60">
        <f t="shared" si="3"/>
        <v>22.359399623288837</v>
      </c>
      <c r="AH16" s="60"/>
      <c r="AI16" s="60">
        <f t="shared" si="7"/>
        <v>8.7786259541984748</v>
      </c>
      <c r="AJ16" s="60">
        <f t="shared" si="8"/>
        <v>8.7786259541984748</v>
      </c>
    </row>
    <row r="17" spans="1:36" x14ac:dyDescent="0.2">
      <c r="A17" s="23">
        <f t="shared" si="11"/>
        <v>0.99999999999999989</v>
      </c>
      <c r="B17" s="41">
        <f t="shared" si="4"/>
        <v>30.454545454545464</v>
      </c>
      <c r="C17" s="41">
        <f t="shared" si="4"/>
        <v>16.666666666666675</v>
      </c>
      <c r="D17" s="41">
        <f t="shared" si="4"/>
        <v>26.923076923076927</v>
      </c>
      <c r="E17" s="41">
        <f t="shared" si="4"/>
        <v>19.230769230769234</v>
      </c>
      <c r="F17" s="41">
        <f t="shared" si="4"/>
        <v>7.6666666666666679</v>
      </c>
      <c r="V17">
        <f t="shared" si="5"/>
        <v>0.99999999999999989</v>
      </c>
      <c r="W17" s="60">
        <f t="shared" si="5"/>
        <v>30.454545454545464</v>
      </c>
      <c r="X17" s="60">
        <f t="shared" si="6"/>
        <v>44.666666666666679</v>
      </c>
      <c r="Y17" s="60"/>
      <c r="Z17" s="60">
        <f t="shared" si="9"/>
        <v>16.666666666666675</v>
      </c>
      <c r="AA17" s="60">
        <f t="shared" si="10"/>
        <v>29.411764705882362</v>
      </c>
      <c r="AB17" s="60"/>
      <c r="AC17" s="60">
        <f t="shared" si="0"/>
        <v>26.923076923076927</v>
      </c>
      <c r="AD17" s="60">
        <f t="shared" si="1"/>
        <v>21.875000000000004</v>
      </c>
      <c r="AE17" s="60"/>
      <c r="AF17" s="60">
        <f t="shared" si="2"/>
        <v>19.230769230769234</v>
      </c>
      <c r="AG17" s="60">
        <f t="shared" si="3"/>
        <v>20.833333333333336</v>
      </c>
      <c r="AH17" s="60"/>
      <c r="AI17" s="60">
        <f t="shared" si="7"/>
        <v>7.6666666666666679</v>
      </c>
      <c r="AJ17" s="60">
        <f t="shared" si="8"/>
        <v>7.6666666666666679</v>
      </c>
    </row>
    <row r="18" spans="1:36" x14ac:dyDescent="0.2">
      <c r="A18" s="23">
        <f t="shared" si="11"/>
        <v>1.0999999999999999</v>
      </c>
      <c r="B18" s="41">
        <f t="shared" si="4"/>
        <v>20.069130546435233</v>
      </c>
      <c r="C18" s="41">
        <f t="shared" si="4"/>
        <v>11.420128948458514</v>
      </c>
      <c r="D18" s="41">
        <f t="shared" si="4"/>
        <v>22.853884732710437</v>
      </c>
      <c r="E18" s="41">
        <f t="shared" si="4"/>
        <v>17.370399449705747</v>
      </c>
      <c r="F18" s="41">
        <f t="shared" si="4"/>
        <v>6.7251461988304104</v>
      </c>
      <c r="V18">
        <f t="shared" si="5"/>
        <v>1.0999999999999999</v>
      </c>
      <c r="W18" s="60">
        <f t="shared" si="5"/>
        <v>20.069130546435233</v>
      </c>
      <c r="X18" s="60">
        <f t="shared" si="6"/>
        <v>30.748418636766988</v>
      </c>
      <c r="Y18" s="60"/>
      <c r="Z18" s="60">
        <f t="shared" si="9"/>
        <v>11.420128948458514</v>
      </c>
      <c r="AA18" s="60">
        <f t="shared" si="10"/>
        <v>22.320504861249724</v>
      </c>
      <c r="AB18" s="60"/>
      <c r="AC18" s="60">
        <f t="shared" si="0"/>
        <v>22.853884732710437</v>
      </c>
      <c r="AD18" s="60">
        <f t="shared" si="1"/>
        <v>18.632283892124406</v>
      </c>
      <c r="AE18" s="60"/>
      <c r="AF18" s="60">
        <f t="shared" si="2"/>
        <v>17.370399449705747</v>
      </c>
      <c r="AG18" s="60">
        <f t="shared" si="3"/>
        <v>18.909282339789215</v>
      </c>
      <c r="AH18" s="60"/>
      <c r="AI18" s="60">
        <f t="shared" si="7"/>
        <v>6.7251461988304104</v>
      </c>
      <c r="AJ18" s="60">
        <f t="shared" si="8"/>
        <v>6.7251461988304104</v>
      </c>
    </row>
    <row r="19" spans="1:36" x14ac:dyDescent="0.2">
      <c r="A19" s="23">
        <f t="shared" si="11"/>
        <v>1.2</v>
      </c>
      <c r="B19" s="41">
        <f t="shared" si="4"/>
        <v>12.641946034302288</v>
      </c>
      <c r="C19" s="41">
        <f t="shared" si="4"/>
        <v>7.7499722825296526</v>
      </c>
      <c r="D19" s="41">
        <f t="shared" si="4"/>
        <v>18.461909809667208</v>
      </c>
      <c r="E19" s="41">
        <f t="shared" si="4"/>
        <v>15.412310120339317</v>
      </c>
      <c r="F19" s="41">
        <f t="shared" si="4"/>
        <v>5.927835051546392</v>
      </c>
      <c r="V19">
        <f t="shared" si="5"/>
        <v>1.2</v>
      </c>
      <c r="W19" s="60">
        <f t="shared" si="5"/>
        <v>12.641946034302288</v>
      </c>
      <c r="X19" s="60">
        <f t="shared" si="6"/>
        <v>18.715657940898801</v>
      </c>
      <c r="Y19" s="60"/>
      <c r="Z19" s="60">
        <f t="shared" si="9"/>
        <v>7.7499722825296526</v>
      </c>
      <c r="AA19" s="60">
        <f t="shared" si="10"/>
        <v>16.18024115549186</v>
      </c>
      <c r="AB19" s="60"/>
      <c r="AC19" s="60">
        <f t="shared" si="0"/>
        <v>18.461909809667208</v>
      </c>
      <c r="AD19" s="60">
        <f t="shared" si="1"/>
        <v>15.596035933266791</v>
      </c>
      <c r="AE19" s="60"/>
      <c r="AF19" s="60">
        <f t="shared" si="2"/>
        <v>15.412310120339317</v>
      </c>
      <c r="AG19" s="60">
        <f t="shared" si="3"/>
        <v>16.692662706721936</v>
      </c>
      <c r="AH19" s="60"/>
      <c r="AI19" s="60">
        <f t="shared" si="7"/>
        <v>5.927835051546392</v>
      </c>
      <c r="AJ19" s="60">
        <f t="shared" si="8"/>
        <v>5.927835051546392</v>
      </c>
    </row>
    <row r="20" spans="1:36" x14ac:dyDescent="0.2">
      <c r="A20" s="23">
        <f t="shared" si="11"/>
        <v>1.3</v>
      </c>
      <c r="B20" s="41">
        <f t="shared" si="4"/>
        <v>7.8547945884226182</v>
      </c>
      <c r="C20" s="41">
        <f t="shared" si="4"/>
        <v>5.2816251904907379</v>
      </c>
      <c r="D20" s="41">
        <f t="shared" si="4"/>
        <v>14.297136238677535</v>
      </c>
      <c r="E20" s="41">
        <f t="shared" si="4"/>
        <v>13.463806595111024</v>
      </c>
      <c r="F20" s="80">
        <f t="shared" si="4"/>
        <v>5.2511415525114149</v>
      </c>
      <c r="V20">
        <f t="shared" si="5"/>
        <v>1.3</v>
      </c>
      <c r="W20" s="60">
        <f t="shared" si="5"/>
        <v>7.8547945884226182</v>
      </c>
      <c r="X20" s="60">
        <f t="shared" si="6"/>
        <v>10.631124333826405</v>
      </c>
      <c r="Y20" s="60"/>
      <c r="Z20" s="60">
        <f t="shared" si="9"/>
        <v>5.2816251904907379</v>
      </c>
      <c r="AA20" s="60">
        <f t="shared" si="10"/>
        <v>11.418741392980939</v>
      </c>
      <c r="AB20" s="60"/>
      <c r="AC20" s="60">
        <f t="shared" si="0"/>
        <v>14.297136238677535</v>
      </c>
      <c r="AD20" s="60">
        <f t="shared" si="1"/>
        <v>12.897710103697589</v>
      </c>
      <c r="AE20" s="60"/>
      <c r="AF20" s="60">
        <f t="shared" si="2"/>
        <v>13.463806595111024</v>
      </c>
      <c r="AG20" s="60">
        <f t="shared" si="3"/>
        <v>14.346494233283176</v>
      </c>
      <c r="AH20" s="60"/>
      <c r="AI20" s="60">
        <f t="shared" si="7"/>
        <v>5.2511415525114149</v>
      </c>
      <c r="AJ20" s="60">
        <f t="shared" si="8"/>
        <v>5.2511415525114149</v>
      </c>
    </row>
    <row r="21" spans="1:36" x14ac:dyDescent="0.2">
      <c r="A21" s="23">
        <f t="shared" si="11"/>
        <v>1.4000000000000001</v>
      </c>
      <c r="B21" s="41">
        <f t="shared" si="4"/>
        <v>4.9085613844114713</v>
      </c>
      <c r="C21" s="41">
        <f t="shared" si="4"/>
        <v>3.6423931153667164</v>
      </c>
      <c r="D21" s="41">
        <f t="shared" si="4"/>
        <v>10.739949371264949</v>
      </c>
      <c r="E21" s="41">
        <f t="shared" si="4"/>
        <v>11.614509774771424</v>
      </c>
      <c r="F21" s="41">
        <f t="shared" si="4"/>
        <v>4.6747967479674788</v>
      </c>
      <c r="V21">
        <f t="shared" si="5"/>
        <v>1.4000000000000001</v>
      </c>
      <c r="W21" s="60">
        <f t="shared" si="5"/>
        <v>4.9085613844114713</v>
      </c>
      <c r="X21" s="60">
        <f t="shared" si="6"/>
        <v>5.9132308086761283</v>
      </c>
      <c r="Y21" s="60"/>
      <c r="Z21" s="60">
        <f t="shared" si="9"/>
        <v>3.6423931153667164</v>
      </c>
      <c r="AA21" s="60">
        <f t="shared" si="10"/>
        <v>7.9736229999601917</v>
      </c>
      <c r="AB21" s="60"/>
      <c r="AC21" s="60">
        <f t="shared" si="0"/>
        <v>10.739949371264949</v>
      </c>
      <c r="AD21" s="60">
        <f t="shared" si="1"/>
        <v>10.59014329976762</v>
      </c>
      <c r="AE21" s="60"/>
      <c r="AF21" s="60">
        <f t="shared" si="2"/>
        <v>11.614509774771424</v>
      </c>
      <c r="AG21" s="60">
        <f t="shared" si="3"/>
        <v>12.044431425752339</v>
      </c>
      <c r="AH21" s="60"/>
      <c r="AI21" s="60">
        <f t="shared" si="7"/>
        <v>4.6747967479674788</v>
      </c>
      <c r="AJ21" s="60">
        <f t="shared" si="8"/>
        <v>4.6747967479674788</v>
      </c>
    </row>
    <row r="22" spans="1:36" x14ac:dyDescent="0.2">
      <c r="A22" s="23">
        <f t="shared" si="11"/>
        <v>1.5000000000000002</v>
      </c>
      <c r="B22" s="80">
        <f t="shared" si="4"/>
        <v>3.1158261880540583</v>
      </c>
      <c r="C22" s="41">
        <f t="shared" si="4"/>
        <v>2.5509146318512723</v>
      </c>
      <c r="D22" s="41">
        <f t="shared" si="4"/>
        <v>7.9235939158118072</v>
      </c>
      <c r="E22" s="41">
        <f t="shared" si="4"/>
        <v>9.9255583126550846</v>
      </c>
      <c r="F22" s="41">
        <f t="shared" si="4"/>
        <v>4.1818181818181808</v>
      </c>
      <c r="V22">
        <f t="shared" si="5"/>
        <v>1.5000000000000002</v>
      </c>
      <c r="W22" s="60">
        <f t="shared" si="5"/>
        <v>3.1158261880540583</v>
      </c>
      <c r="X22" s="60">
        <f t="shared" si="6"/>
        <v>3.3132757038682525</v>
      </c>
      <c r="Y22" s="60"/>
      <c r="Z22" s="60">
        <f t="shared" si="9"/>
        <v>2.5509146318512723</v>
      </c>
      <c r="AA22" s="60">
        <f t="shared" si="10"/>
        <v>5.5720006965000817</v>
      </c>
      <c r="AB22" s="60"/>
      <c r="AC22" s="60">
        <f t="shared" si="0"/>
        <v>7.9235939158118072</v>
      </c>
      <c r="AD22" s="60">
        <f t="shared" si="1"/>
        <v>8.6687306501547958</v>
      </c>
      <c r="AE22" s="60"/>
      <c r="AF22" s="60">
        <f t="shared" si="2"/>
        <v>9.9255583126550846</v>
      </c>
      <c r="AG22" s="60">
        <f t="shared" si="3"/>
        <v>9.925558312655081</v>
      </c>
      <c r="AH22" s="60"/>
      <c r="AI22" s="60">
        <f t="shared" si="7"/>
        <v>4.1818181818181808</v>
      </c>
      <c r="AJ22" s="60">
        <f t="shared" si="8"/>
        <v>4.1818181818181808</v>
      </c>
    </row>
    <row r="23" spans="1:36" x14ac:dyDescent="0.2">
      <c r="A23" s="23">
        <f t="shared" si="11"/>
        <v>1.6000000000000003</v>
      </c>
      <c r="B23" s="41">
        <f t="shared" si="4"/>
        <v>2.0173276570606746</v>
      </c>
      <c r="C23" s="41">
        <f t="shared" si="4"/>
        <v>1.8163913399226439</v>
      </c>
      <c r="D23" s="41">
        <f t="shared" si="4"/>
        <v>5.8012670232379477</v>
      </c>
      <c r="E23" s="41">
        <f t="shared" si="4"/>
        <v>8.428633078001937</v>
      </c>
      <c r="F23" s="41">
        <f t="shared" si="4"/>
        <v>3.7581699346405215</v>
      </c>
      <c r="V23">
        <f t="shared" si="5"/>
        <v>1.6000000000000003</v>
      </c>
      <c r="W23" s="60">
        <f t="shared" si="5"/>
        <v>2.0173276570606746</v>
      </c>
      <c r="X23" s="60">
        <f t="shared" si="6"/>
        <v>1.8948103999726937</v>
      </c>
      <c r="Y23" s="60"/>
      <c r="Z23" s="60">
        <f t="shared" si="9"/>
        <v>1.8163913399226439</v>
      </c>
      <c r="AA23" s="60">
        <f t="shared" si="10"/>
        <v>3.9233991778061874</v>
      </c>
      <c r="AB23" s="60"/>
      <c r="AC23" s="60">
        <f t="shared" si="0"/>
        <v>5.8012670232379477</v>
      </c>
      <c r="AD23" s="60">
        <f t="shared" si="1"/>
        <v>7.096282359047553</v>
      </c>
      <c r="AE23" s="60"/>
      <c r="AF23" s="60">
        <f t="shared" si="2"/>
        <v>8.428633078001937</v>
      </c>
      <c r="AG23" s="60">
        <f t="shared" si="3"/>
        <v>8.0719318909759625</v>
      </c>
      <c r="AH23" s="60"/>
      <c r="AI23" s="60">
        <f t="shared" si="7"/>
        <v>3.7581699346405215</v>
      </c>
      <c r="AJ23" s="60">
        <f t="shared" si="8"/>
        <v>3.7581699346405215</v>
      </c>
    </row>
    <row r="24" spans="1:36" x14ac:dyDescent="0.2">
      <c r="A24" s="23">
        <f t="shared" si="11"/>
        <v>1.7000000000000004</v>
      </c>
      <c r="B24" s="41">
        <f t="shared" si="4"/>
        <v>1.3335817176389029</v>
      </c>
      <c r="C24" s="41">
        <f t="shared" si="4"/>
        <v>1.3149126111373286</v>
      </c>
      <c r="D24" s="41">
        <f t="shared" si="4"/>
        <v>4.2469178933777716</v>
      </c>
      <c r="E24" s="41">
        <f t="shared" si="4"/>
        <v>7.1313857994140797</v>
      </c>
      <c r="F24" s="41">
        <f t="shared" si="4"/>
        <v>3.3923303834808247</v>
      </c>
      <c r="V24">
        <f t="shared" si="5"/>
        <v>1.7000000000000004</v>
      </c>
      <c r="W24" s="60">
        <f t="shared" si="5"/>
        <v>1.3335817176389029</v>
      </c>
      <c r="X24" s="60">
        <f t="shared" si="6"/>
        <v>1.1112228185171944</v>
      </c>
      <c r="Y24" s="60"/>
      <c r="Z24" s="60">
        <f t="shared" si="9"/>
        <v>1.3149126111373286</v>
      </c>
      <c r="AA24" s="60">
        <f t="shared" si="10"/>
        <v>2.7938738593779435</v>
      </c>
      <c r="AB24" s="60"/>
      <c r="AC24" s="60">
        <f t="shared" si="0"/>
        <v>4.2469178933777716</v>
      </c>
      <c r="AD24" s="60">
        <f t="shared" si="1"/>
        <v>5.8224066169155835</v>
      </c>
      <c r="AE24" s="60"/>
      <c r="AF24" s="60">
        <f t="shared" si="2"/>
        <v>7.1313857994140797</v>
      </c>
      <c r="AG24" s="60">
        <f t="shared" si="3"/>
        <v>6.5109015931915701</v>
      </c>
      <c r="AH24" s="60"/>
      <c r="AI24" s="60">
        <f t="shared" si="7"/>
        <v>3.3923303834808247</v>
      </c>
      <c r="AJ24" s="60">
        <f t="shared" si="8"/>
        <v>3.3923303834808247</v>
      </c>
    </row>
    <row r="25" spans="1:36" hidden="1" outlineLevel="1" x14ac:dyDescent="0.2">
      <c r="A25" s="23">
        <f t="shared" si="11"/>
        <v>1.8000000000000005</v>
      </c>
      <c r="B25" s="41">
        <f t="shared" si="4"/>
        <v>0.899734599027468</v>
      </c>
      <c r="C25" s="41">
        <f t="shared" si="4"/>
        <v>0.96707253498843948</v>
      </c>
      <c r="D25" s="41">
        <f t="shared" si="4"/>
        <v>3.1239771206342111</v>
      </c>
      <c r="E25" s="41">
        <f t="shared" si="4"/>
        <v>6.0251417113330463</v>
      </c>
      <c r="F25" s="41">
        <f t="shared" si="4"/>
        <v>3.0748663101604263</v>
      </c>
    </row>
    <row r="26" spans="1:36" hidden="1" outlineLevel="1" x14ac:dyDescent="0.2">
      <c r="A26" s="23">
        <f t="shared" si="11"/>
        <v>1.9000000000000006</v>
      </c>
      <c r="B26" s="41">
        <f t="shared" si="4"/>
        <v>0.6188541280191866</v>
      </c>
      <c r="C26" s="41">
        <f t="shared" si="4"/>
        <v>0.72190345964868863</v>
      </c>
      <c r="D26" s="41">
        <f t="shared" si="4"/>
        <v>2.3157698707793095</v>
      </c>
      <c r="E26" s="41">
        <f t="shared" si="4"/>
        <v>5.0920334118864305</v>
      </c>
      <c r="F26" s="41">
        <f t="shared" si="4"/>
        <v>2.7980535279805339</v>
      </c>
    </row>
    <row r="27" spans="1:36" hidden="1" outlineLevel="1" x14ac:dyDescent="0.2">
      <c r="A27" s="23">
        <f t="shared" si="11"/>
        <v>2.0000000000000004</v>
      </c>
      <c r="B27" s="41">
        <f t="shared" ref="B27:F34" si="12">B$7/(1+B$8*($A27^B$9))</f>
        <v>0.43337645536869279</v>
      </c>
      <c r="C27" s="41">
        <f t="shared" si="12"/>
        <v>0.54639035521839829</v>
      </c>
      <c r="D27" s="41">
        <f t="shared" si="12"/>
        <v>1.7326732673267307</v>
      </c>
      <c r="E27" s="41">
        <f t="shared" si="12"/>
        <v>4.3103448275862037</v>
      </c>
      <c r="F27" s="41">
        <f t="shared" si="12"/>
        <v>2.5555555555555545</v>
      </c>
    </row>
    <row r="28" spans="1:36" hidden="1" outlineLevel="1" x14ac:dyDescent="0.2">
      <c r="A28" s="23">
        <f t="shared" si="11"/>
        <v>2.1000000000000005</v>
      </c>
      <c r="B28" s="41">
        <f t="shared" si="12"/>
        <v>0.308570014131749</v>
      </c>
      <c r="C28" s="41">
        <f t="shared" si="12"/>
        <v>0.41887100141783923</v>
      </c>
      <c r="D28" s="41">
        <f t="shared" si="12"/>
        <v>1.3093982173022121</v>
      </c>
      <c r="E28" s="41">
        <f t="shared" si="12"/>
        <v>3.6579495290755748</v>
      </c>
      <c r="F28" s="41">
        <f t="shared" si="12"/>
        <v>2.3421588594704676</v>
      </c>
    </row>
    <row r="29" spans="1:36" hidden="1" outlineLevel="1" x14ac:dyDescent="0.2">
      <c r="A29" s="23">
        <f t="shared" si="11"/>
        <v>2.2000000000000006</v>
      </c>
      <c r="B29" s="41">
        <f t="shared" si="12"/>
        <v>0.22309317608740992</v>
      </c>
      <c r="C29" s="41">
        <f t="shared" si="12"/>
        <v>0.32492549332443504</v>
      </c>
      <c r="D29" s="41">
        <f t="shared" si="12"/>
        <v>0.99960098213595239</v>
      </c>
      <c r="E29" s="41">
        <f t="shared" si="12"/>
        <v>3.1142247822534004</v>
      </c>
      <c r="F29" s="41">
        <f t="shared" si="12"/>
        <v>2.1535580524344557</v>
      </c>
    </row>
    <row r="30" spans="1:36" hidden="1" outlineLevel="1" x14ac:dyDescent="0.2">
      <c r="A30" s="23">
        <f t="shared" si="11"/>
        <v>2.3000000000000007</v>
      </c>
      <c r="B30" s="41">
        <f t="shared" si="12"/>
        <v>0.16358258413011906</v>
      </c>
      <c r="C30" s="41">
        <f t="shared" si="12"/>
        <v>0.25481089449050287</v>
      </c>
      <c r="D30" s="41">
        <f t="shared" si="12"/>
        <v>0.77074232706139123</v>
      </c>
      <c r="E30" s="41">
        <f t="shared" si="12"/>
        <v>2.6609247458550747</v>
      </c>
      <c r="F30" s="41">
        <f t="shared" si="12"/>
        <v>1.9861830742659745</v>
      </c>
    </row>
    <row r="31" spans="1:36" hidden="1" outlineLevel="1" x14ac:dyDescent="0.2">
      <c r="A31" s="23">
        <f t="shared" si="11"/>
        <v>2.4000000000000008</v>
      </c>
      <c r="B31" s="41">
        <f t="shared" si="12"/>
        <v>0.12151404963230024</v>
      </c>
      <c r="C31" s="41">
        <f t="shared" si="12"/>
        <v>0.20184658854756607</v>
      </c>
      <c r="D31" s="41">
        <f t="shared" si="12"/>
        <v>0.60002510367885076</v>
      </c>
      <c r="E31" s="41">
        <f t="shared" si="12"/>
        <v>2.2824213386309826</v>
      </c>
      <c r="F31" s="41">
        <f t="shared" si="12"/>
        <v>1.837060702875398</v>
      </c>
    </row>
    <row r="32" spans="1:36" hidden="1" outlineLevel="1" x14ac:dyDescent="0.2">
      <c r="A32" s="23">
        <f t="shared" si="11"/>
        <v>2.5000000000000009</v>
      </c>
      <c r="B32" s="41">
        <f t="shared" si="12"/>
        <v>9.1352606574490083E-2</v>
      </c>
      <c r="C32" s="41">
        <f t="shared" si="12"/>
        <v>0.16138602045569847</v>
      </c>
      <c r="D32" s="41">
        <f t="shared" si="12"/>
        <v>0.47143007471324744</v>
      </c>
      <c r="E32" s="41">
        <f t="shared" si="12"/>
        <v>1.9656019656019632</v>
      </c>
      <c r="F32" s="41">
        <f t="shared" si="12"/>
        <v>1.7037037037037026</v>
      </c>
    </row>
    <row r="33" spans="1:7" hidden="1" outlineLevel="1" x14ac:dyDescent="0.2">
      <c r="A33" s="23">
        <f t="shared" si="11"/>
        <v>2.600000000000001</v>
      </c>
      <c r="B33" s="41">
        <f t="shared" si="12"/>
        <v>6.9443204923543389E-2</v>
      </c>
      <c r="C33" s="41">
        <f t="shared" si="12"/>
        <v>0.13015313252043115</v>
      </c>
      <c r="D33" s="41">
        <f t="shared" si="12"/>
        <v>0.37363330488197477</v>
      </c>
      <c r="E33" s="41">
        <f t="shared" si="12"/>
        <v>1.6996073227241555</v>
      </c>
      <c r="F33" s="41">
        <f t="shared" si="12"/>
        <v>1.5840220385674919</v>
      </c>
    </row>
    <row r="34" spans="1:7" collapsed="1" x14ac:dyDescent="0.2">
      <c r="A34" s="23">
        <f t="shared" si="11"/>
        <v>2.7000000000000011</v>
      </c>
      <c r="B34" s="41">
        <f t="shared" si="12"/>
        <v>5.3333656652679626E-2</v>
      </c>
      <c r="C34" s="41">
        <f t="shared" si="12"/>
        <v>0.10580819207147762</v>
      </c>
      <c r="D34" s="80">
        <f t="shared" si="12"/>
        <v>0.2985682032999889</v>
      </c>
      <c r="E34" s="80">
        <f t="shared" si="12"/>
        <v>1.4755155894124066</v>
      </c>
      <c r="F34" s="41">
        <f t="shared" si="12"/>
        <v>1.4762516046213083</v>
      </c>
    </row>
    <row r="35" spans="1:7" x14ac:dyDescent="0.2">
      <c r="A35" s="64" t="s">
        <v>250</v>
      </c>
    </row>
    <row r="37" spans="1:7" x14ac:dyDescent="0.2">
      <c r="A37" s="61" t="s">
        <v>318</v>
      </c>
      <c r="B37" s="58" t="s">
        <v>312</v>
      </c>
      <c r="C37" s="58" t="s">
        <v>313</v>
      </c>
      <c r="D37" s="58" t="s">
        <v>314</v>
      </c>
      <c r="E37" s="58" t="s">
        <v>315</v>
      </c>
      <c r="F37" s="58" t="s">
        <v>316</v>
      </c>
    </row>
    <row r="38" spans="1:7" x14ac:dyDescent="0.2">
      <c r="A38" t="s">
        <v>173</v>
      </c>
      <c r="B38" s="23">
        <v>67</v>
      </c>
      <c r="C38" s="23">
        <v>50</v>
      </c>
      <c r="D38" s="23">
        <v>35</v>
      </c>
      <c r="E38" s="23">
        <v>25</v>
      </c>
      <c r="F38" s="23">
        <v>23</v>
      </c>
    </row>
    <row r="39" spans="1:7" x14ac:dyDescent="0.2">
      <c r="A39" t="s">
        <v>174</v>
      </c>
      <c r="B39" s="23">
        <v>0.5</v>
      </c>
      <c r="C39" s="23">
        <v>0.7</v>
      </c>
      <c r="D39" s="23">
        <v>0.6</v>
      </c>
      <c r="E39" s="23">
        <v>0.2</v>
      </c>
      <c r="F39" s="62">
        <v>2</v>
      </c>
      <c r="G39" s="23"/>
    </row>
    <row r="40" spans="1:7" x14ac:dyDescent="0.2">
      <c r="A40" t="s">
        <v>175</v>
      </c>
      <c r="B40" s="40">
        <v>9</v>
      </c>
      <c r="C40" s="40">
        <v>6</v>
      </c>
      <c r="D40" s="40">
        <v>4</v>
      </c>
      <c r="E40" s="40">
        <v>5</v>
      </c>
      <c r="F40" s="40">
        <v>2</v>
      </c>
      <c r="G40" s="23"/>
    </row>
    <row r="41" spans="1:7" ht="38.25" x14ac:dyDescent="0.2">
      <c r="A41" s="55" t="s">
        <v>176</v>
      </c>
      <c r="B41" s="38" t="str">
        <f>CONCATENATE(B37, " (X=", B39, ", Y=", B40, ")")</f>
        <v>Fwy7 (X=0.5, Y=9)</v>
      </c>
      <c r="C41" s="38" t="str">
        <f>CONCATENATE(C37, " (X=", C39, ", Y=", C40, ")")</f>
        <v>Bng7 (X=0.7, Y=6)</v>
      </c>
      <c r="D41" s="38" t="str">
        <f>CONCATENATE(D37, " (X=", D39, ", Y=", D40, ")")</f>
        <v>Art7 (X=0.6, Y=4)</v>
      </c>
      <c r="E41" s="38" t="str">
        <f>CONCATENATE(E37, " (X=", E39, ", Y=", E40, ")")</f>
        <v>Coll7 (X=0.2, Y=5)</v>
      </c>
      <c r="F41" s="38" t="str">
        <f>CONCATENATE(F37, " (X=", F39, ", Y=", F40, ")")</f>
        <v>Ramp7 (X=2, Y=2)</v>
      </c>
      <c r="G41" s="1"/>
    </row>
    <row r="42" spans="1:7" x14ac:dyDescent="0.2">
      <c r="A42" s="23">
        <v>0.1</v>
      </c>
      <c r="B42" s="41">
        <f>B$38/(1+B$39*($A42^B$40))</f>
        <v>66.999999966499999</v>
      </c>
      <c r="C42" s="41">
        <f>C$38/(1+C$39*($A42^C$40))</f>
        <v>49.999965000024503</v>
      </c>
      <c r="D42" s="41">
        <f t="shared" ref="D42:F55" si="13">D$38/(1+D$39*($A42^D$40))</f>
        <v>34.997900125992444</v>
      </c>
      <c r="E42" s="41">
        <f t="shared" si="13"/>
        <v>24.9999500001</v>
      </c>
      <c r="F42" s="41">
        <f t="shared" si="13"/>
        <v>22.549019607843135</v>
      </c>
    </row>
    <row r="43" spans="1:7" x14ac:dyDescent="0.2">
      <c r="A43" s="23">
        <v>0.5</v>
      </c>
      <c r="B43" s="41">
        <f t="shared" ref="B43:C55" si="14">B$38/(1+B$39*($A43^B$40))</f>
        <v>66.934634146341466</v>
      </c>
      <c r="C43" s="41">
        <f t="shared" si="14"/>
        <v>49.459041731066456</v>
      </c>
      <c r="D43" s="41">
        <f t="shared" si="13"/>
        <v>33.734939759036145</v>
      </c>
      <c r="E43" s="41">
        <f t="shared" si="13"/>
        <v>24.844720496894407</v>
      </c>
      <c r="F43" s="41">
        <f t="shared" si="13"/>
        <v>15.333333333333334</v>
      </c>
    </row>
    <row r="44" spans="1:7" x14ac:dyDescent="0.2">
      <c r="A44" s="23">
        <f t="shared" ref="A44:A55" si="15">+A43+0.1</f>
        <v>0.6</v>
      </c>
      <c r="B44" s="41">
        <f t="shared" si="14"/>
        <v>66.664089784517458</v>
      </c>
      <c r="C44" s="41">
        <f t="shared" si="14"/>
        <v>48.418684499203614</v>
      </c>
      <c r="D44" s="41">
        <f t="shared" si="13"/>
        <v>32.474762470308789</v>
      </c>
      <c r="E44" s="41">
        <f t="shared" si="13"/>
        <v>24.617154020670533</v>
      </c>
      <c r="F44" s="41">
        <f t="shared" si="13"/>
        <v>13.372093023255815</v>
      </c>
    </row>
    <row r="45" spans="1:7" x14ac:dyDescent="0.2">
      <c r="A45" s="23">
        <f t="shared" si="15"/>
        <v>0.7</v>
      </c>
      <c r="B45" s="41">
        <f t="shared" si="14"/>
        <v>65.674890636738539</v>
      </c>
      <c r="C45" s="41">
        <f t="shared" si="14"/>
        <v>46.195594178357311</v>
      </c>
      <c r="D45" s="41">
        <f t="shared" si="13"/>
        <v>30.592801076866603</v>
      </c>
      <c r="E45" s="41">
        <f t="shared" si="13"/>
        <v>24.186978891539781</v>
      </c>
      <c r="F45" s="41">
        <f t="shared" si="13"/>
        <v>11.616161616161616</v>
      </c>
    </row>
    <row r="46" spans="1:7" x14ac:dyDescent="0.2">
      <c r="A46" s="23">
        <f t="shared" si="15"/>
        <v>0.79999999999999993</v>
      </c>
      <c r="B46" s="41">
        <f t="shared" si="14"/>
        <v>62.786471240482548</v>
      </c>
      <c r="C46" s="41">
        <f t="shared" si="14"/>
        <v>42.247542206984569</v>
      </c>
      <c r="D46" s="41">
        <f t="shared" si="13"/>
        <v>28.095299255073208</v>
      </c>
      <c r="E46" s="41">
        <f t="shared" si="13"/>
        <v>23.462370112319057</v>
      </c>
      <c r="F46" s="41">
        <f t="shared" si="13"/>
        <v>10.087719298245615</v>
      </c>
    </row>
    <row r="47" spans="1:7" x14ac:dyDescent="0.2">
      <c r="A47" s="23">
        <f t="shared" si="15"/>
        <v>0.89999999999999991</v>
      </c>
      <c r="B47" s="41">
        <f t="shared" si="14"/>
        <v>56.127523667239508</v>
      </c>
      <c r="C47" s="41">
        <f t="shared" si="14"/>
        <v>36.442917599574997</v>
      </c>
      <c r="D47" s="41">
        <f t="shared" si="13"/>
        <v>25.113729317050076</v>
      </c>
      <c r="E47" s="41">
        <f t="shared" si="13"/>
        <v>22.359399623288837</v>
      </c>
      <c r="F47" s="41">
        <f t="shared" si="13"/>
        <v>8.7786259541984748</v>
      </c>
    </row>
    <row r="48" spans="1:7" x14ac:dyDescent="0.2">
      <c r="A48" s="23">
        <f t="shared" si="15"/>
        <v>0.99999999999999989</v>
      </c>
      <c r="B48" s="41">
        <f t="shared" si="14"/>
        <v>44.666666666666679</v>
      </c>
      <c r="C48" s="41">
        <f>C$38/(1+C$39*($A48^C$40))</f>
        <v>29.411764705882362</v>
      </c>
      <c r="D48" s="41">
        <f t="shared" si="13"/>
        <v>21.875000000000004</v>
      </c>
      <c r="E48" s="41">
        <f t="shared" si="13"/>
        <v>20.833333333333336</v>
      </c>
      <c r="F48" s="41">
        <f t="shared" si="13"/>
        <v>7.6666666666666679</v>
      </c>
    </row>
    <row r="49" spans="1:6" x14ac:dyDescent="0.2">
      <c r="A49" s="23">
        <f t="shared" si="15"/>
        <v>1.0999999999999999</v>
      </c>
      <c r="B49" s="41">
        <f t="shared" si="14"/>
        <v>30.748418636766988</v>
      </c>
      <c r="C49" s="41">
        <f t="shared" si="14"/>
        <v>22.320504861249724</v>
      </c>
      <c r="D49" s="41">
        <f t="shared" si="13"/>
        <v>18.632283892124406</v>
      </c>
      <c r="E49" s="41">
        <f t="shared" si="13"/>
        <v>18.909282339789215</v>
      </c>
      <c r="F49" s="41">
        <f t="shared" si="13"/>
        <v>6.7251461988304104</v>
      </c>
    </row>
    <row r="50" spans="1:6" x14ac:dyDescent="0.2">
      <c r="A50" s="23">
        <f t="shared" si="15"/>
        <v>1.2</v>
      </c>
      <c r="B50" s="41">
        <f t="shared" si="14"/>
        <v>18.715657940898801</v>
      </c>
      <c r="C50" s="41">
        <f t="shared" si="14"/>
        <v>16.18024115549186</v>
      </c>
      <c r="D50" s="41">
        <f t="shared" si="13"/>
        <v>15.596035933266791</v>
      </c>
      <c r="E50" s="41">
        <f t="shared" si="13"/>
        <v>16.692662706721936</v>
      </c>
      <c r="F50" s="41">
        <f t="shared" si="13"/>
        <v>5.927835051546392</v>
      </c>
    </row>
    <row r="51" spans="1:6" x14ac:dyDescent="0.2">
      <c r="A51" s="23">
        <f t="shared" si="15"/>
        <v>1.3</v>
      </c>
      <c r="B51" s="41">
        <f t="shared" si="14"/>
        <v>10.631124333826405</v>
      </c>
      <c r="C51" s="41">
        <f t="shared" si="14"/>
        <v>11.418741392980939</v>
      </c>
      <c r="D51" s="41">
        <f t="shared" si="13"/>
        <v>12.897710103697589</v>
      </c>
      <c r="E51" s="41">
        <f t="shared" si="13"/>
        <v>14.346494233283176</v>
      </c>
      <c r="F51" s="80">
        <f t="shared" si="13"/>
        <v>5.2511415525114149</v>
      </c>
    </row>
    <row r="52" spans="1:6" x14ac:dyDescent="0.2">
      <c r="A52" s="23">
        <f t="shared" si="15"/>
        <v>1.4000000000000001</v>
      </c>
      <c r="B52" s="41">
        <f t="shared" si="14"/>
        <v>5.9132308086761283</v>
      </c>
      <c r="C52" s="41">
        <f t="shared" si="14"/>
        <v>7.9736229999601917</v>
      </c>
      <c r="D52" s="41">
        <f t="shared" si="13"/>
        <v>10.59014329976762</v>
      </c>
      <c r="E52" s="41">
        <f t="shared" si="13"/>
        <v>12.044431425752339</v>
      </c>
      <c r="F52" s="41">
        <f t="shared" si="13"/>
        <v>4.6747967479674788</v>
      </c>
    </row>
    <row r="53" spans="1:6" x14ac:dyDescent="0.2">
      <c r="A53" s="23">
        <f t="shared" si="15"/>
        <v>1.5000000000000002</v>
      </c>
      <c r="B53" s="80">
        <f t="shared" si="14"/>
        <v>3.3132757038682525</v>
      </c>
      <c r="C53" s="41">
        <f t="shared" si="14"/>
        <v>5.5720006965000817</v>
      </c>
      <c r="D53" s="41">
        <f t="shared" si="13"/>
        <v>8.6687306501547958</v>
      </c>
      <c r="E53" s="41">
        <f t="shared" si="13"/>
        <v>9.925558312655081</v>
      </c>
      <c r="F53" s="41">
        <f t="shared" si="13"/>
        <v>4.1818181818181808</v>
      </c>
    </row>
    <row r="54" spans="1:6" x14ac:dyDescent="0.2">
      <c r="A54" s="23">
        <f t="shared" si="15"/>
        <v>1.6000000000000003</v>
      </c>
      <c r="B54" s="41">
        <f t="shared" si="14"/>
        <v>1.8948103999726937</v>
      </c>
      <c r="C54" s="41">
        <f t="shared" si="14"/>
        <v>3.9233991778061874</v>
      </c>
      <c r="D54" s="41">
        <f t="shared" si="13"/>
        <v>7.096282359047553</v>
      </c>
      <c r="E54" s="41">
        <f t="shared" si="13"/>
        <v>8.0719318909759625</v>
      </c>
      <c r="F54" s="41">
        <f t="shared" si="13"/>
        <v>3.7581699346405215</v>
      </c>
    </row>
    <row r="55" spans="1:6" x14ac:dyDescent="0.2">
      <c r="A55" s="23">
        <f t="shared" si="15"/>
        <v>1.7000000000000004</v>
      </c>
      <c r="B55" s="41">
        <f t="shared" si="14"/>
        <v>1.1112228185171944</v>
      </c>
      <c r="C55" s="41">
        <f t="shared" si="14"/>
        <v>2.7938738593779435</v>
      </c>
      <c r="D55" s="41">
        <f t="shared" si="13"/>
        <v>5.8224066169155835</v>
      </c>
      <c r="E55" s="41">
        <f t="shared" si="13"/>
        <v>6.5109015931915701</v>
      </c>
      <c r="F55" s="41">
        <f t="shared" si="13"/>
        <v>3.3923303834808247</v>
      </c>
    </row>
    <row r="57" spans="1:6" x14ac:dyDescent="0.2">
      <c r="A57" s="23"/>
    </row>
    <row r="58" spans="1:6" x14ac:dyDescent="0.2">
      <c r="A58" s="64" t="s">
        <v>251</v>
      </c>
      <c r="B58">
        <v>1</v>
      </c>
      <c r="C58">
        <v>1</v>
      </c>
      <c r="D58">
        <v>1</v>
      </c>
      <c r="E58">
        <v>1</v>
      </c>
      <c r="F58">
        <v>0.33</v>
      </c>
    </row>
    <row r="59" spans="1:6" ht="38.25" x14ac:dyDescent="0.2">
      <c r="A59" s="55" t="s">
        <v>176</v>
      </c>
      <c r="B59" s="38" t="str">
        <f>B41</f>
        <v>Fwy7 (X=0.5, Y=9)</v>
      </c>
      <c r="C59" s="38" t="str">
        <f>C41</f>
        <v>Bng7 (X=0.7, Y=6)</v>
      </c>
      <c r="D59" s="38" t="str">
        <f>D41</f>
        <v>Art7 (X=0.6, Y=4)</v>
      </c>
      <c r="E59" s="38" t="str">
        <f>E41</f>
        <v>Coll7 (X=0.2, Y=5)</v>
      </c>
      <c r="F59" s="38" t="str">
        <f>F41</f>
        <v>Ramp7 (X=2, Y=2)</v>
      </c>
    </row>
    <row r="60" spans="1:6" x14ac:dyDescent="0.2">
      <c r="A60" s="23">
        <v>0.1</v>
      </c>
      <c r="B60" s="41">
        <f>B$58/B42*60</f>
        <v>0.89552238850746269</v>
      </c>
      <c r="C60" s="41">
        <f t="shared" ref="B60:F73" si="16">C$58/C42*60</f>
        <v>1.20000084</v>
      </c>
      <c r="D60" s="41">
        <f t="shared" si="16"/>
        <v>1.7143885714285712</v>
      </c>
      <c r="E60" s="41">
        <f t="shared" si="16"/>
        <v>2.4000048</v>
      </c>
      <c r="F60" s="41">
        <f t="shared" si="16"/>
        <v>0.87808695652173918</v>
      </c>
    </row>
    <row r="61" spans="1:6" x14ac:dyDescent="0.2">
      <c r="A61" s="23">
        <v>0.5</v>
      </c>
      <c r="B61" s="41">
        <f>B$58/B43*60</f>
        <v>0.89639692164179108</v>
      </c>
      <c r="C61" s="41">
        <f t="shared" si="16"/>
        <v>1.213125</v>
      </c>
      <c r="D61" s="41">
        <f t="shared" si="16"/>
        <v>1.7785714285714285</v>
      </c>
      <c r="E61" s="41">
        <f t="shared" si="16"/>
        <v>2.4150000000000005</v>
      </c>
      <c r="F61" s="41">
        <f t="shared" si="16"/>
        <v>1.2913043478260871</v>
      </c>
    </row>
    <row r="62" spans="1:6" x14ac:dyDescent="0.2">
      <c r="A62" s="23">
        <f t="shared" ref="A62:A73" si="17">+A61+0.1</f>
        <v>0.6</v>
      </c>
      <c r="B62" s="41">
        <f>B$58/B44*60</f>
        <v>0.90003478925373137</v>
      </c>
      <c r="C62" s="41">
        <f t="shared" si="16"/>
        <v>1.2391910399999999</v>
      </c>
      <c r="D62" s="41">
        <f t="shared" si="16"/>
        <v>1.8475885714285714</v>
      </c>
      <c r="E62" s="41">
        <f t="shared" si="16"/>
        <v>2.4373247999999998</v>
      </c>
      <c r="F62" s="41">
        <f t="shared" si="16"/>
        <v>1.4806956521739132</v>
      </c>
    </row>
    <row r="63" spans="1:6" x14ac:dyDescent="0.2">
      <c r="A63" s="23">
        <f t="shared" si="17"/>
        <v>0.7</v>
      </c>
      <c r="B63" s="41">
        <f t="shared" si="16"/>
        <v>0.91359116731343282</v>
      </c>
      <c r="C63" s="41">
        <f t="shared" si="16"/>
        <v>1.29882516</v>
      </c>
      <c r="D63" s="41">
        <f t="shared" si="16"/>
        <v>1.961245714285714</v>
      </c>
      <c r="E63" s="41">
        <f t="shared" si="16"/>
        <v>2.4806736000000003</v>
      </c>
      <c r="F63" s="41">
        <f t="shared" si="16"/>
        <v>1.7045217391304348</v>
      </c>
    </row>
    <row r="64" spans="1:6" x14ac:dyDescent="0.2">
      <c r="A64" s="23">
        <f t="shared" si="17"/>
        <v>0.79999999999999993</v>
      </c>
      <c r="B64" s="41">
        <f t="shared" si="16"/>
        <v>0.95561987820895522</v>
      </c>
      <c r="C64" s="41">
        <f t="shared" si="16"/>
        <v>1.4202009599999998</v>
      </c>
      <c r="D64" s="41">
        <f t="shared" si="16"/>
        <v>2.1355885714285714</v>
      </c>
      <c r="E64" s="41">
        <f t="shared" si="16"/>
        <v>2.5572864000000002</v>
      </c>
      <c r="F64" s="41">
        <f t="shared" si="16"/>
        <v>1.9627826086956519</v>
      </c>
    </row>
    <row r="65" spans="1:6" x14ac:dyDescent="0.2">
      <c r="A65" s="23">
        <f t="shared" si="17"/>
        <v>0.89999999999999991</v>
      </c>
      <c r="B65" s="41">
        <f t="shared" si="16"/>
        <v>1.0689942488059698</v>
      </c>
      <c r="C65" s="41">
        <f t="shared" si="16"/>
        <v>1.6464104399999997</v>
      </c>
      <c r="D65" s="41">
        <f t="shared" si="16"/>
        <v>2.389131428571428</v>
      </c>
      <c r="E65" s="41">
        <f t="shared" si="16"/>
        <v>2.6834351999999995</v>
      </c>
      <c r="F65" s="41">
        <f t="shared" si="16"/>
        <v>2.2554782608695647</v>
      </c>
    </row>
    <row r="66" spans="1:6" x14ac:dyDescent="0.2">
      <c r="A66" s="23">
        <f t="shared" si="17"/>
        <v>0.99999999999999989</v>
      </c>
      <c r="B66" s="41">
        <f t="shared" si="16"/>
        <v>1.3432835820895519</v>
      </c>
      <c r="C66" s="41">
        <f t="shared" si="16"/>
        <v>2.0399999999999991</v>
      </c>
      <c r="D66" s="41">
        <f t="shared" si="16"/>
        <v>2.7428571428571424</v>
      </c>
      <c r="E66" s="41">
        <f t="shared" si="16"/>
        <v>2.8799999999999994</v>
      </c>
      <c r="F66" s="41">
        <f t="shared" si="16"/>
        <v>2.5826086956521737</v>
      </c>
    </row>
    <row r="67" spans="1:6" x14ac:dyDescent="0.2">
      <c r="A67" s="23">
        <f t="shared" si="17"/>
        <v>1.0999999999999999</v>
      </c>
      <c r="B67" s="41">
        <f t="shared" si="16"/>
        <v>1.9513198616417902</v>
      </c>
      <c r="C67" s="41">
        <f t="shared" si="16"/>
        <v>2.6881112399999987</v>
      </c>
      <c r="D67" s="41">
        <f t="shared" si="16"/>
        <v>3.220217142857142</v>
      </c>
      <c r="E67" s="41">
        <f t="shared" si="16"/>
        <v>3.1730448</v>
      </c>
      <c r="F67" s="41">
        <f t="shared" si="16"/>
        <v>2.9441739130434783</v>
      </c>
    </row>
    <row r="68" spans="1:6" x14ac:dyDescent="0.2">
      <c r="A68" s="23">
        <f t="shared" si="17"/>
        <v>1.2</v>
      </c>
      <c r="B68" s="41">
        <f t="shared" si="16"/>
        <v>3.2058717994029848</v>
      </c>
      <c r="C68" s="41">
        <f t="shared" si="16"/>
        <v>3.7082265599999999</v>
      </c>
      <c r="D68" s="41">
        <f t="shared" si="16"/>
        <v>3.8471314285714286</v>
      </c>
      <c r="E68" s="41">
        <f t="shared" si="16"/>
        <v>3.5943936000000001</v>
      </c>
      <c r="F68" s="41">
        <f t="shared" si="16"/>
        <v>3.3401739130434782</v>
      </c>
    </row>
    <row r="69" spans="1:6" x14ac:dyDescent="0.2">
      <c r="A69" s="23">
        <f t="shared" si="17"/>
        <v>1.3</v>
      </c>
      <c r="B69" s="41">
        <f t="shared" si="16"/>
        <v>5.6438056894029867</v>
      </c>
      <c r="C69" s="41">
        <f t="shared" si="16"/>
        <v>5.2545195600000003</v>
      </c>
      <c r="D69" s="41">
        <f t="shared" si="16"/>
        <v>4.6519885714285714</v>
      </c>
      <c r="E69" s="41">
        <f t="shared" si="16"/>
        <v>4.1822064000000001</v>
      </c>
      <c r="F69" s="41">
        <f t="shared" si="16"/>
        <v>3.7706086956521743</v>
      </c>
    </row>
    <row r="70" spans="1:6" x14ac:dyDescent="0.2">
      <c r="A70" s="23">
        <f t="shared" si="17"/>
        <v>1.4000000000000001</v>
      </c>
      <c r="B70" s="41">
        <f t="shared" si="16"/>
        <v>10.146737365970157</v>
      </c>
      <c r="C70" s="41">
        <f t="shared" si="16"/>
        <v>7.5248102400000043</v>
      </c>
      <c r="D70" s="41">
        <f t="shared" si="16"/>
        <v>5.6656457142857155</v>
      </c>
      <c r="E70" s="41">
        <f t="shared" si="16"/>
        <v>4.9815552000000016</v>
      </c>
      <c r="F70" s="41">
        <f t="shared" si="16"/>
        <v>4.2354782608695665</v>
      </c>
    </row>
    <row r="71" spans="1:6" x14ac:dyDescent="0.2">
      <c r="A71" s="23">
        <f t="shared" si="17"/>
        <v>1.5000000000000002</v>
      </c>
      <c r="B71" s="41">
        <f t="shared" si="16"/>
        <v>18.108966884328382</v>
      </c>
      <c r="C71" s="41">
        <f t="shared" si="16"/>
        <v>10.76812500000001</v>
      </c>
      <c r="D71" s="41">
        <f t="shared" si="16"/>
        <v>6.9214285714285735</v>
      </c>
      <c r="E71" s="41">
        <f t="shared" si="16"/>
        <v>6.0450000000000035</v>
      </c>
      <c r="F71" s="41">
        <f t="shared" si="16"/>
        <v>4.734782608695653</v>
      </c>
    </row>
    <row r="72" spans="1:6" x14ac:dyDescent="0.2">
      <c r="A72" s="23">
        <f t="shared" si="17"/>
        <v>1.6000000000000003</v>
      </c>
      <c r="B72" s="41">
        <f t="shared" si="16"/>
        <v>31.66543734447767</v>
      </c>
      <c r="C72" s="41">
        <f t="shared" si="16"/>
        <v>15.292861440000014</v>
      </c>
      <c r="D72" s="41">
        <f t="shared" si="16"/>
        <v>8.4551314285714341</v>
      </c>
      <c r="E72" s="41">
        <f t="shared" si="16"/>
        <v>7.4331648000000046</v>
      </c>
      <c r="F72" s="41">
        <f t="shared" si="16"/>
        <v>5.2685217391304366</v>
      </c>
    </row>
    <row r="73" spans="1:6" x14ac:dyDescent="0.2">
      <c r="A73" s="23">
        <f t="shared" si="17"/>
        <v>1.7000000000000004</v>
      </c>
      <c r="B73" s="41">
        <f t="shared" si="16"/>
        <v>53.994571565821019</v>
      </c>
      <c r="C73" s="41">
        <f t="shared" si="16"/>
        <v>21.475557960000028</v>
      </c>
      <c r="D73" s="41">
        <f t="shared" si="16"/>
        <v>10.305017142857151</v>
      </c>
      <c r="E73" s="41">
        <f t="shared" si="16"/>
        <v>9.2153136000000089</v>
      </c>
      <c r="F73" s="41">
        <f t="shared" si="16"/>
        <v>5.8366956521739155</v>
      </c>
    </row>
    <row r="79" spans="1:6" x14ac:dyDescent="0.2">
      <c r="A79" s="61" t="s">
        <v>436</v>
      </c>
      <c r="B79" s="58" t="s">
        <v>312</v>
      </c>
      <c r="C79" s="58" t="s">
        <v>313</v>
      </c>
      <c r="D79" s="58" t="s">
        <v>314</v>
      </c>
      <c r="E79" s="58" t="s">
        <v>315</v>
      </c>
      <c r="F79" s="58" t="s">
        <v>316</v>
      </c>
    </row>
    <row r="80" spans="1:6" x14ac:dyDescent="0.2">
      <c r="A80" t="s">
        <v>173</v>
      </c>
      <c r="B80" s="23">
        <v>67</v>
      </c>
      <c r="C80" s="23">
        <v>50</v>
      </c>
      <c r="D80" s="23">
        <v>35</v>
      </c>
      <c r="E80" s="23">
        <v>25</v>
      </c>
      <c r="F80" s="23">
        <v>23</v>
      </c>
    </row>
    <row r="81" spans="1:7" x14ac:dyDescent="0.2">
      <c r="A81" t="s">
        <v>174</v>
      </c>
      <c r="B81" s="23">
        <v>1.4</v>
      </c>
      <c r="C81" s="23">
        <v>2</v>
      </c>
      <c r="D81" s="23">
        <v>0.6</v>
      </c>
      <c r="E81" s="23">
        <v>0.2</v>
      </c>
      <c r="F81" s="62">
        <v>6</v>
      </c>
      <c r="G81" s="23">
        <v>5</v>
      </c>
    </row>
    <row r="82" spans="1:7" x14ac:dyDescent="0.2">
      <c r="A82" t="s">
        <v>175</v>
      </c>
      <c r="B82" s="40">
        <v>8</v>
      </c>
      <c r="C82" s="40">
        <v>5.5</v>
      </c>
      <c r="D82" s="40">
        <v>4</v>
      </c>
      <c r="E82" s="40">
        <v>5</v>
      </c>
      <c r="F82" s="40">
        <v>6</v>
      </c>
      <c r="G82" s="23">
        <v>5</v>
      </c>
    </row>
    <row r="83" spans="1:7" ht="38.25" x14ac:dyDescent="0.2">
      <c r="A83" s="55" t="s">
        <v>176</v>
      </c>
      <c r="B83" s="38" t="str">
        <f>CONCATENATE(B79, " (X=", B81, ", Y=", B82, ")")</f>
        <v>Fwy7 (X=1.4, Y=8)</v>
      </c>
      <c r="C83" s="38" t="str">
        <f>CONCATENATE(C79, " (X=", C81, ", Y=", C82, ")")</f>
        <v>Bng7 (X=2, Y=5.5)</v>
      </c>
      <c r="D83" s="38" t="str">
        <f>CONCATENATE(D79, " (X=", D81, ", Y=", D82, ")")</f>
        <v>Art7 (X=0.6, Y=4)</v>
      </c>
      <c r="E83" s="38" t="str">
        <f>CONCATENATE(E79, " (X=", E81, ", Y=", E82, ")")</f>
        <v>Coll7 (X=0.2, Y=5)</v>
      </c>
      <c r="F83" s="38" t="str">
        <f>CONCATENATE(F79, " (X=", F81, ", Y=", F82, ")")</f>
        <v>Ramp7 (X=6, Y=6)</v>
      </c>
      <c r="G83" s="1"/>
    </row>
    <row r="84" spans="1:7" x14ac:dyDescent="0.2">
      <c r="A84" s="23">
        <v>0.1</v>
      </c>
      <c r="B84" s="41">
        <f>B$38/(1+B$39*($A84^B$40))</f>
        <v>66.999999966499999</v>
      </c>
      <c r="C84" s="41">
        <f>C$38/(1+C$39*($A84^C$40))</f>
        <v>49.999965000024503</v>
      </c>
      <c r="D84" s="41">
        <f t="shared" ref="D84:F97" si="18">D$38/(1+D$39*($A84^D$40))</f>
        <v>34.997900125992444</v>
      </c>
      <c r="E84" s="41">
        <f t="shared" si="18"/>
        <v>24.9999500001</v>
      </c>
      <c r="F84" s="41">
        <f t="shared" si="18"/>
        <v>22.549019607843135</v>
      </c>
    </row>
    <row r="85" spans="1:7" x14ac:dyDescent="0.2">
      <c r="A85" s="23">
        <v>0.5</v>
      </c>
      <c r="B85" s="41">
        <f t="shared" ref="B85:C97" si="19">B$38/(1+B$39*($A85^B$40))</f>
        <v>66.934634146341466</v>
      </c>
      <c r="C85" s="41">
        <f t="shared" si="19"/>
        <v>49.459041731066456</v>
      </c>
      <c r="D85" s="41">
        <f t="shared" si="18"/>
        <v>33.734939759036145</v>
      </c>
      <c r="E85" s="41">
        <f t="shared" si="18"/>
        <v>24.844720496894407</v>
      </c>
      <c r="F85" s="41">
        <f t="shared" si="18"/>
        <v>15.333333333333334</v>
      </c>
    </row>
    <row r="86" spans="1:7" x14ac:dyDescent="0.2">
      <c r="A86" s="23">
        <f t="shared" ref="A86:A97" si="20">+A85+0.1</f>
        <v>0.6</v>
      </c>
      <c r="B86" s="41">
        <f t="shared" si="19"/>
        <v>66.664089784517458</v>
      </c>
      <c r="C86" s="41">
        <f t="shared" si="19"/>
        <v>48.418684499203614</v>
      </c>
      <c r="D86" s="41">
        <f t="shared" si="18"/>
        <v>32.474762470308789</v>
      </c>
      <c r="E86" s="41">
        <f t="shared" si="18"/>
        <v>24.617154020670533</v>
      </c>
      <c r="F86" s="41">
        <f t="shared" si="18"/>
        <v>13.372093023255815</v>
      </c>
    </row>
    <row r="87" spans="1:7" x14ac:dyDescent="0.2">
      <c r="A87" s="23">
        <f t="shared" si="20"/>
        <v>0.7</v>
      </c>
      <c r="B87" s="41">
        <f t="shared" si="19"/>
        <v>65.674890636738539</v>
      </c>
      <c r="C87" s="41">
        <f t="shared" si="19"/>
        <v>46.195594178357311</v>
      </c>
      <c r="D87" s="41">
        <f t="shared" si="18"/>
        <v>30.592801076866603</v>
      </c>
      <c r="E87" s="41">
        <f t="shared" si="18"/>
        <v>24.186978891539781</v>
      </c>
      <c r="F87" s="41">
        <f t="shared" si="18"/>
        <v>11.616161616161616</v>
      </c>
    </row>
    <row r="88" spans="1:7" x14ac:dyDescent="0.2">
      <c r="A88" s="23">
        <f t="shared" si="20"/>
        <v>0.79999999999999993</v>
      </c>
      <c r="B88" s="41">
        <f t="shared" si="19"/>
        <v>62.786471240482548</v>
      </c>
      <c r="C88" s="41">
        <f t="shared" si="19"/>
        <v>42.247542206984569</v>
      </c>
      <c r="D88" s="41">
        <f t="shared" si="18"/>
        <v>28.095299255073208</v>
      </c>
      <c r="E88" s="41">
        <f t="shared" si="18"/>
        <v>23.462370112319057</v>
      </c>
      <c r="F88" s="41">
        <f t="shared" si="18"/>
        <v>10.087719298245615</v>
      </c>
    </row>
    <row r="89" spans="1:7" x14ac:dyDescent="0.2">
      <c r="A89" s="23">
        <f t="shared" si="20"/>
        <v>0.89999999999999991</v>
      </c>
      <c r="B89" s="41">
        <f t="shared" si="19"/>
        <v>56.127523667239508</v>
      </c>
      <c r="C89" s="41">
        <f t="shared" si="19"/>
        <v>36.442917599574997</v>
      </c>
      <c r="D89" s="41">
        <f t="shared" si="18"/>
        <v>25.113729317050076</v>
      </c>
      <c r="E89" s="41">
        <f t="shared" si="18"/>
        <v>22.359399623288837</v>
      </c>
      <c r="F89" s="41">
        <f t="shared" si="18"/>
        <v>8.7786259541984748</v>
      </c>
    </row>
    <row r="90" spans="1:7" x14ac:dyDescent="0.2">
      <c r="A90" s="23">
        <f t="shared" si="20"/>
        <v>0.99999999999999989</v>
      </c>
      <c r="B90" s="41">
        <f t="shared" si="19"/>
        <v>44.666666666666679</v>
      </c>
      <c r="C90" s="41">
        <f>C$38/(1+C$39*($A90^C$40))</f>
        <v>29.411764705882362</v>
      </c>
      <c r="D90" s="41">
        <f t="shared" si="18"/>
        <v>21.875000000000004</v>
      </c>
      <c r="E90" s="41">
        <f t="shared" si="18"/>
        <v>20.833333333333336</v>
      </c>
      <c r="F90" s="41">
        <f t="shared" si="18"/>
        <v>7.6666666666666679</v>
      </c>
    </row>
    <row r="91" spans="1:7" x14ac:dyDescent="0.2">
      <c r="A91" s="23">
        <f t="shared" si="20"/>
        <v>1.0999999999999999</v>
      </c>
      <c r="B91" s="41">
        <f t="shared" si="19"/>
        <v>30.748418636766988</v>
      </c>
      <c r="C91" s="41">
        <f t="shared" si="19"/>
        <v>22.320504861249724</v>
      </c>
      <c r="D91" s="41">
        <f t="shared" si="18"/>
        <v>18.632283892124406</v>
      </c>
      <c r="E91" s="41">
        <f t="shared" si="18"/>
        <v>18.909282339789215</v>
      </c>
      <c r="F91" s="41">
        <f t="shared" si="18"/>
        <v>6.7251461988304104</v>
      </c>
    </row>
    <row r="92" spans="1:7" x14ac:dyDescent="0.2">
      <c r="A92" s="23">
        <f t="shared" si="20"/>
        <v>1.2</v>
      </c>
      <c r="B92" s="41">
        <f t="shared" si="19"/>
        <v>18.715657940898801</v>
      </c>
      <c r="C92" s="41">
        <f t="shared" si="19"/>
        <v>16.18024115549186</v>
      </c>
      <c r="D92" s="41">
        <f t="shared" si="18"/>
        <v>15.596035933266791</v>
      </c>
      <c r="E92" s="41">
        <f t="shared" si="18"/>
        <v>16.692662706721936</v>
      </c>
      <c r="F92" s="41">
        <f t="shared" si="18"/>
        <v>5.927835051546392</v>
      </c>
    </row>
    <row r="93" spans="1:7" x14ac:dyDescent="0.2">
      <c r="A93" s="23">
        <f t="shared" si="20"/>
        <v>1.3</v>
      </c>
      <c r="B93" s="41">
        <f t="shared" si="19"/>
        <v>10.631124333826405</v>
      </c>
      <c r="C93" s="41">
        <f t="shared" si="19"/>
        <v>11.418741392980939</v>
      </c>
      <c r="D93" s="41">
        <f t="shared" si="18"/>
        <v>12.897710103697589</v>
      </c>
      <c r="E93" s="41">
        <f t="shared" si="18"/>
        <v>14.346494233283176</v>
      </c>
      <c r="F93" s="80">
        <f t="shared" si="18"/>
        <v>5.2511415525114149</v>
      </c>
    </row>
    <row r="94" spans="1:7" x14ac:dyDescent="0.2">
      <c r="A94" s="23">
        <f t="shared" si="20"/>
        <v>1.4000000000000001</v>
      </c>
      <c r="B94" s="41">
        <f t="shared" si="19"/>
        <v>5.9132308086761283</v>
      </c>
      <c r="C94" s="41">
        <f t="shared" si="19"/>
        <v>7.9736229999601917</v>
      </c>
      <c r="D94" s="41">
        <f t="shared" si="18"/>
        <v>10.59014329976762</v>
      </c>
      <c r="E94" s="41">
        <f t="shared" si="18"/>
        <v>12.044431425752339</v>
      </c>
      <c r="F94" s="41">
        <f t="shared" si="18"/>
        <v>4.6747967479674788</v>
      </c>
    </row>
    <row r="95" spans="1:7" x14ac:dyDescent="0.2">
      <c r="A95" s="23">
        <f t="shared" si="20"/>
        <v>1.5000000000000002</v>
      </c>
      <c r="B95" s="80">
        <f t="shared" si="19"/>
        <v>3.3132757038682525</v>
      </c>
      <c r="C95" s="41">
        <f t="shared" si="19"/>
        <v>5.5720006965000817</v>
      </c>
      <c r="D95" s="41">
        <f t="shared" si="18"/>
        <v>8.6687306501547958</v>
      </c>
      <c r="E95" s="41">
        <f t="shared" si="18"/>
        <v>9.925558312655081</v>
      </c>
      <c r="F95" s="41">
        <f t="shared" si="18"/>
        <v>4.1818181818181808</v>
      </c>
    </row>
    <row r="96" spans="1:7" x14ac:dyDescent="0.2">
      <c r="A96" s="23">
        <f t="shared" si="20"/>
        <v>1.6000000000000003</v>
      </c>
      <c r="B96" s="41">
        <f t="shared" si="19"/>
        <v>1.8948103999726937</v>
      </c>
      <c r="C96" s="41">
        <f t="shared" si="19"/>
        <v>3.9233991778061874</v>
      </c>
      <c r="D96" s="41">
        <f t="shared" si="18"/>
        <v>7.096282359047553</v>
      </c>
      <c r="E96" s="41">
        <f t="shared" si="18"/>
        <v>8.0719318909759625</v>
      </c>
      <c r="F96" s="41">
        <f t="shared" si="18"/>
        <v>3.7581699346405215</v>
      </c>
    </row>
    <row r="97" spans="1:10" x14ac:dyDescent="0.2">
      <c r="A97" s="23">
        <f t="shared" si="20"/>
        <v>1.7000000000000004</v>
      </c>
      <c r="B97" s="41">
        <f t="shared" si="19"/>
        <v>1.1112228185171944</v>
      </c>
      <c r="C97" s="41">
        <f t="shared" si="19"/>
        <v>2.7938738593779435</v>
      </c>
      <c r="D97" s="41">
        <f t="shared" si="18"/>
        <v>5.8224066169155835</v>
      </c>
      <c r="E97" s="41">
        <f t="shared" si="18"/>
        <v>6.5109015931915701</v>
      </c>
      <c r="F97" s="41">
        <f t="shared" si="18"/>
        <v>3.3923303834808247</v>
      </c>
    </row>
    <row r="99" spans="1:10" x14ac:dyDescent="0.2">
      <c r="A99" s="23"/>
    </row>
    <row r="100" spans="1:10" x14ac:dyDescent="0.2">
      <c r="A100" s="64" t="s">
        <v>251</v>
      </c>
      <c r="B100">
        <v>1</v>
      </c>
      <c r="C100">
        <v>1</v>
      </c>
      <c r="D100">
        <v>1</v>
      </c>
      <c r="E100">
        <v>1</v>
      </c>
      <c r="F100">
        <v>0.33</v>
      </c>
      <c r="J100" t="s">
        <v>317</v>
      </c>
    </row>
    <row r="101" spans="1:10" ht="38.25" x14ac:dyDescent="0.2">
      <c r="A101" s="55" t="s">
        <v>176</v>
      </c>
      <c r="B101" s="38" t="str">
        <f>B83</f>
        <v>Fwy7 (X=1.4, Y=8)</v>
      </c>
      <c r="C101" s="38" t="str">
        <f>C83</f>
        <v>Bng7 (X=2, Y=5.5)</v>
      </c>
      <c r="D101" s="38" t="str">
        <f>D83</f>
        <v>Art7 (X=0.6, Y=4)</v>
      </c>
      <c r="E101" s="38" t="str">
        <f>E83</f>
        <v>Coll7 (X=0.2, Y=5)</v>
      </c>
      <c r="F101" s="38" t="str">
        <f>F83</f>
        <v>Ramp7 (X=6, Y=6)</v>
      </c>
    </row>
    <row r="102" spans="1:10" x14ac:dyDescent="0.2">
      <c r="A102" s="23">
        <v>0.1</v>
      </c>
      <c r="B102" s="41">
        <f t="shared" ref="B102:F115" si="21">B$58/B84*60</f>
        <v>0.89552238850746269</v>
      </c>
      <c r="C102" s="41">
        <f t="shared" si="21"/>
        <v>1.20000084</v>
      </c>
      <c r="D102" s="41">
        <f t="shared" si="21"/>
        <v>1.7143885714285712</v>
      </c>
      <c r="E102" s="41">
        <f t="shared" si="21"/>
        <v>2.4000048</v>
      </c>
      <c r="F102" s="41">
        <f t="shared" si="21"/>
        <v>0.87808695652173918</v>
      </c>
    </row>
    <row r="103" spans="1:10" x14ac:dyDescent="0.2">
      <c r="A103" s="23">
        <v>0.5</v>
      </c>
      <c r="B103" s="41">
        <f t="shared" si="21"/>
        <v>0.89639692164179108</v>
      </c>
      <c r="C103" s="41">
        <f t="shared" si="21"/>
        <v>1.213125</v>
      </c>
      <c r="D103" s="41">
        <f t="shared" si="21"/>
        <v>1.7785714285714285</v>
      </c>
      <c r="E103" s="41">
        <f t="shared" si="21"/>
        <v>2.4150000000000005</v>
      </c>
      <c r="F103" s="41">
        <f t="shared" si="21"/>
        <v>1.2913043478260871</v>
      </c>
    </row>
    <row r="104" spans="1:10" x14ac:dyDescent="0.2">
      <c r="A104" s="23">
        <f t="shared" ref="A104:A115" si="22">+A103+0.1</f>
        <v>0.6</v>
      </c>
      <c r="B104" s="41">
        <f t="shared" si="21"/>
        <v>0.90003478925373137</v>
      </c>
      <c r="C104" s="41">
        <f t="shared" si="21"/>
        <v>1.2391910399999999</v>
      </c>
      <c r="D104" s="41">
        <f t="shared" si="21"/>
        <v>1.8475885714285714</v>
      </c>
      <c r="E104" s="41">
        <f t="shared" si="21"/>
        <v>2.4373247999999998</v>
      </c>
      <c r="F104" s="41">
        <f t="shared" si="21"/>
        <v>1.4806956521739132</v>
      </c>
    </row>
    <row r="105" spans="1:10" x14ac:dyDescent="0.2">
      <c r="A105" s="23">
        <f t="shared" si="22"/>
        <v>0.7</v>
      </c>
      <c r="B105" s="41">
        <f t="shared" si="21"/>
        <v>0.91359116731343282</v>
      </c>
      <c r="C105" s="41">
        <f t="shared" si="21"/>
        <v>1.29882516</v>
      </c>
      <c r="D105" s="41">
        <f t="shared" si="21"/>
        <v>1.961245714285714</v>
      </c>
      <c r="E105" s="41">
        <f t="shared" si="21"/>
        <v>2.4806736000000003</v>
      </c>
      <c r="F105" s="41">
        <f t="shared" si="21"/>
        <v>1.7045217391304348</v>
      </c>
    </row>
    <row r="106" spans="1:10" x14ac:dyDescent="0.2">
      <c r="A106" s="23">
        <f t="shared" si="22"/>
        <v>0.79999999999999993</v>
      </c>
      <c r="B106" s="41">
        <f t="shared" si="21"/>
        <v>0.95561987820895522</v>
      </c>
      <c r="C106" s="41">
        <f t="shared" si="21"/>
        <v>1.4202009599999998</v>
      </c>
      <c r="D106" s="41">
        <f t="shared" si="21"/>
        <v>2.1355885714285714</v>
      </c>
      <c r="E106" s="41">
        <f t="shared" si="21"/>
        <v>2.5572864000000002</v>
      </c>
      <c r="F106" s="41">
        <f t="shared" si="21"/>
        <v>1.9627826086956519</v>
      </c>
    </row>
    <row r="107" spans="1:10" x14ac:dyDescent="0.2">
      <c r="A107" s="23">
        <f t="shared" si="22"/>
        <v>0.89999999999999991</v>
      </c>
      <c r="B107" s="41">
        <f t="shared" si="21"/>
        <v>1.0689942488059698</v>
      </c>
      <c r="C107" s="41">
        <f t="shared" si="21"/>
        <v>1.6464104399999997</v>
      </c>
      <c r="D107" s="41">
        <f t="shared" si="21"/>
        <v>2.389131428571428</v>
      </c>
      <c r="E107" s="41">
        <f t="shared" si="21"/>
        <v>2.6834351999999995</v>
      </c>
      <c r="F107" s="41">
        <f t="shared" si="21"/>
        <v>2.2554782608695647</v>
      </c>
    </row>
    <row r="108" spans="1:10" x14ac:dyDescent="0.2">
      <c r="A108" s="23">
        <f t="shared" si="22"/>
        <v>0.99999999999999989</v>
      </c>
      <c r="B108" s="41">
        <f t="shared" si="21"/>
        <v>1.3432835820895519</v>
      </c>
      <c r="C108" s="41">
        <f t="shared" si="21"/>
        <v>2.0399999999999991</v>
      </c>
      <c r="D108" s="41">
        <f t="shared" si="21"/>
        <v>2.7428571428571424</v>
      </c>
      <c r="E108" s="41">
        <f t="shared" si="21"/>
        <v>2.8799999999999994</v>
      </c>
      <c r="F108" s="41">
        <f t="shared" si="21"/>
        <v>2.5826086956521737</v>
      </c>
    </row>
    <row r="109" spans="1:10" x14ac:dyDescent="0.2">
      <c r="A109" s="23">
        <f t="shared" si="22"/>
        <v>1.0999999999999999</v>
      </c>
      <c r="B109" s="41">
        <f t="shared" si="21"/>
        <v>1.9513198616417902</v>
      </c>
      <c r="C109" s="41">
        <f t="shared" si="21"/>
        <v>2.6881112399999987</v>
      </c>
      <c r="D109" s="41">
        <f t="shared" si="21"/>
        <v>3.220217142857142</v>
      </c>
      <c r="E109" s="41">
        <f t="shared" si="21"/>
        <v>3.1730448</v>
      </c>
      <c r="F109" s="41">
        <f t="shared" si="21"/>
        <v>2.9441739130434783</v>
      </c>
    </row>
    <row r="110" spans="1:10" x14ac:dyDescent="0.2">
      <c r="A110" s="23">
        <f t="shared" si="22"/>
        <v>1.2</v>
      </c>
      <c r="B110" s="41">
        <f t="shared" si="21"/>
        <v>3.2058717994029848</v>
      </c>
      <c r="C110" s="41">
        <f t="shared" si="21"/>
        <v>3.7082265599999999</v>
      </c>
      <c r="D110" s="41">
        <f t="shared" si="21"/>
        <v>3.8471314285714286</v>
      </c>
      <c r="E110" s="41">
        <f t="shared" si="21"/>
        <v>3.5943936000000001</v>
      </c>
      <c r="F110" s="41">
        <f t="shared" si="21"/>
        <v>3.3401739130434782</v>
      </c>
    </row>
    <row r="111" spans="1:10" x14ac:dyDescent="0.2">
      <c r="A111" s="23">
        <f t="shared" si="22"/>
        <v>1.3</v>
      </c>
      <c r="B111" s="41">
        <f t="shared" si="21"/>
        <v>5.6438056894029867</v>
      </c>
      <c r="C111" s="41">
        <f t="shared" si="21"/>
        <v>5.2545195600000003</v>
      </c>
      <c r="D111" s="41">
        <f t="shared" si="21"/>
        <v>4.6519885714285714</v>
      </c>
      <c r="E111" s="41">
        <f t="shared" si="21"/>
        <v>4.1822064000000001</v>
      </c>
      <c r="F111" s="41">
        <f t="shared" si="21"/>
        <v>3.7706086956521743</v>
      </c>
    </row>
    <row r="112" spans="1:10" x14ac:dyDescent="0.2">
      <c r="A112" s="23">
        <f t="shared" si="22"/>
        <v>1.4000000000000001</v>
      </c>
      <c r="B112" s="41">
        <f t="shared" si="21"/>
        <v>10.146737365970157</v>
      </c>
      <c r="C112" s="41">
        <f t="shared" si="21"/>
        <v>7.5248102400000043</v>
      </c>
      <c r="D112" s="41">
        <f t="shared" si="21"/>
        <v>5.6656457142857155</v>
      </c>
      <c r="E112" s="41">
        <f t="shared" si="21"/>
        <v>4.9815552000000016</v>
      </c>
      <c r="F112" s="41">
        <f t="shared" si="21"/>
        <v>4.2354782608695665</v>
      </c>
    </row>
    <row r="113" spans="1:6" x14ac:dyDescent="0.2">
      <c r="A113" s="23">
        <f t="shared" si="22"/>
        <v>1.5000000000000002</v>
      </c>
      <c r="B113" s="41">
        <f t="shared" si="21"/>
        <v>18.108966884328382</v>
      </c>
      <c r="C113" s="41">
        <f t="shared" si="21"/>
        <v>10.76812500000001</v>
      </c>
      <c r="D113" s="41">
        <f t="shared" si="21"/>
        <v>6.9214285714285735</v>
      </c>
      <c r="E113" s="41">
        <f t="shared" si="21"/>
        <v>6.0450000000000035</v>
      </c>
      <c r="F113" s="41">
        <f t="shared" si="21"/>
        <v>4.734782608695653</v>
      </c>
    </row>
    <row r="114" spans="1:6" x14ac:dyDescent="0.2">
      <c r="A114" s="23">
        <f t="shared" si="22"/>
        <v>1.6000000000000003</v>
      </c>
      <c r="B114" s="41">
        <f t="shared" si="21"/>
        <v>31.66543734447767</v>
      </c>
      <c r="C114" s="41">
        <f t="shared" si="21"/>
        <v>15.292861440000014</v>
      </c>
      <c r="D114" s="41">
        <f t="shared" si="21"/>
        <v>8.4551314285714341</v>
      </c>
      <c r="E114" s="41">
        <f t="shared" si="21"/>
        <v>7.4331648000000046</v>
      </c>
      <c r="F114" s="41">
        <f t="shared" si="21"/>
        <v>5.2685217391304366</v>
      </c>
    </row>
    <row r="115" spans="1:6" x14ac:dyDescent="0.2">
      <c r="A115" s="23">
        <f t="shared" si="22"/>
        <v>1.7000000000000004</v>
      </c>
      <c r="B115" s="41">
        <f t="shared" si="21"/>
        <v>53.994571565821019</v>
      </c>
      <c r="C115" s="41">
        <f t="shared" si="21"/>
        <v>21.475557960000028</v>
      </c>
      <c r="D115" s="41">
        <f t="shared" si="21"/>
        <v>10.305017142857151</v>
      </c>
      <c r="E115" s="41">
        <f t="shared" si="21"/>
        <v>9.2153136000000089</v>
      </c>
      <c r="F115" s="41">
        <f t="shared" si="21"/>
        <v>5.8366956521739155</v>
      </c>
    </row>
  </sheetData>
  <phoneticPr fontId="0" type="noConversion"/>
  <pageMargins left="0.75" right="0.75" top="1" bottom="1" header="0.5" footer="0.5"/>
  <pageSetup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pageSetUpPr fitToPage="1"/>
  </sheetPr>
  <dimension ref="A1:D81"/>
  <sheetViews>
    <sheetView view="pageBreakPreview" zoomScaleNormal="100" zoomScaleSheetLayoutView="100" workbookViewId="0">
      <selection activeCell="Q11" sqref="Q11"/>
    </sheetView>
  </sheetViews>
  <sheetFormatPr defaultRowHeight="12.75" x14ac:dyDescent="0.2"/>
  <cols>
    <col min="1" max="1" width="13.140625" customWidth="1"/>
    <col min="2" max="2" width="41.7109375" customWidth="1"/>
    <col min="3" max="3" width="14.7109375" customWidth="1"/>
    <col min="4" max="4" width="28.42578125" bestFit="1" customWidth="1"/>
  </cols>
  <sheetData>
    <row r="1" spans="1:4" x14ac:dyDescent="0.2">
      <c r="A1" s="109" t="s">
        <v>388</v>
      </c>
      <c r="B1" s="110"/>
      <c r="C1" s="111"/>
      <c r="D1" s="120">
        <v>40360</v>
      </c>
    </row>
    <row r="2" spans="1:4" x14ac:dyDescent="0.2">
      <c r="A2" s="24"/>
      <c r="B2" s="113"/>
    </row>
    <row r="3" spans="1:4" x14ac:dyDescent="0.2">
      <c r="A3" s="119" t="s">
        <v>377</v>
      </c>
      <c r="B3" s="114" t="s">
        <v>386</v>
      </c>
      <c r="C3" s="116" t="s">
        <v>364</v>
      </c>
    </row>
    <row r="4" spans="1:4" x14ac:dyDescent="0.2">
      <c r="A4" s="24" t="s">
        <v>378</v>
      </c>
      <c r="B4" s="114" t="s">
        <v>387</v>
      </c>
      <c r="C4" s="117" t="s">
        <v>365</v>
      </c>
    </row>
    <row r="5" spans="1:4" x14ac:dyDescent="0.2">
      <c r="A5" s="24" t="s">
        <v>339</v>
      </c>
      <c r="B5" s="114" t="s">
        <v>336</v>
      </c>
      <c r="C5" s="117" t="s">
        <v>332</v>
      </c>
    </row>
    <row r="6" spans="1:4" x14ac:dyDescent="0.2">
      <c r="A6" s="24" t="s">
        <v>338</v>
      </c>
      <c r="B6" s="114" t="s">
        <v>337</v>
      </c>
      <c r="C6" s="117" t="s">
        <v>333</v>
      </c>
    </row>
    <row r="7" spans="1:4" x14ac:dyDescent="0.2">
      <c r="A7" s="24" t="s">
        <v>379</v>
      </c>
      <c r="B7" s="114" t="s">
        <v>246</v>
      </c>
      <c r="C7" s="117" t="s">
        <v>366</v>
      </c>
    </row>
    <row r="8" spans="1:4" x14ac:dyDescent="0.2">
      <c r="A8" s="24" t="s">
        <v>380</v>
      </c>
      <c r="B8" s="114" t="s">
        <v>335</v>
      </c>
      <c r="C8" s="117" t="s">
        <v>334</v>
      </c>
    </row>
    <row r="9" spans="1:4" x14ac:dyDescent="0.2">
      <c r="A9" s="24"/>
      <c r="B9" s="114" t="s">
        <v>385</v>
      </c>
      <c r="C9" s="118"/>
    </row>
    <row r="10" spans="1:4" x14ac:dyDescent="0.2">
      <c r="A10" s="24"/>
      <c r="B10" s="113"/>
      <c r="C10" s="122" t="s">
        <v>184</v>
      </c>
      <c r="D10" s="123"/>
    </row>
    <row r="11" spans="1:4" x14ac:dyDescent="0.2">
      <c r="A11" s="112" t="s">
        <v>340</v>
      </c>
      <c r="B11" s="115" t="s">
        <v>381</v>
      </c>
      <c r="C11" s="14">
        <v>241</v>
      </c>
      <c r="D11" t="s">
        <v>90</v>
      </c>
    </row>
    <row r="12" spans="1:4" x14ac:dyDescent="0.2">
      <c r="A12" s="27" t="s">
        <v>12</v>
      </c>
      <c r="B12" s="113" t="s">
        <v>27</v>
      </c>
      <c r="C12" s="121" t="s">
        <v>389</v>
      </c>
      <c r="D12" t="s">
        <v>196</v>
      </c>
    </row>
    <row r="13" spans="1:4" x14ac:dyDescent="0.2">
      <c r="A13" s="37">
        <v>279</v>
      </c>
      <c r="B13" s="114" t="s">
        <v>344</v>
      </c>
      <c r="C13" s="14">
        <v>996</v>
      </c>
      <c r="D13" t="s">
        <v>91</v>
      </c>
    </row>
    <row r="14" spans="1:4" x14ac:dyDescent="0.2">
      <c r="A14" s="32">
        <v>280</v>
      </c>
      <c r="B14" s="114" t="s">
        <v>346</v>
      </c>
      <c r="C14" s="14">
        <v>744</v>
      </c>
      <c r="D14" t="s">
        <v>93</v>
      </c>
    </row>
    <row r="15" spans="1:4" x14ac:dyDescent="0.2">
      <c r="A15" s="32">
        <v>281</v>
      </c>
      <c r="B15" s="114" t="s">
        <v>347</v>
      </c>
      <c r="C15" s="14">
        <v>1338</v>
      </c>
      <c r="D15" t="s">
        <v>92</v>
      </c>
    </row>
    <row r="16" spans="1:4" x14ac:dyDescent="0.2">
      <c r="A16" s="32">
        <v>282</v>
      </c>
      <c r="B16" s="114" t="s">
        <v>348</v>
      </c>
      <c r="C16" s="71" t="s">
        <v>391</v>
      </c>
      <c r="D16" s="64" t="s">
        <v>390</v>
      </c>
    </row>
    <row r="17" spans="1:4" x14ac:dyDescent="0.2">
      <c r="A17" s="37">
        <v>283</v>
      </c>
      <c r="B17" s="114" t="s">
        <v>345</v>
      </c>
      <c r="C17" s="14">
        <v>1959</v>
      </c>
      <c r="D17" s="64" t="s">
        <v>392</v>
      </c>
    </row>
    <row r="18" spans="1:4" x14ac:dyDescent="0.2">
      <c r="A18" s="15"/>
      <c r="B18" s="113"/>
      <c r="C18" s="14">
        <v>796</v>
      </c>
      <c r="D18" s="64" t="s">
        <v>394</v>
      </c>
    </row>
    <row r="19" spans="1:4" x14ac:dyDescent="0.2">
      <c r="A19" s="112" t="s">
        <v>341</v>
      </c>
      <c r="B19" s="115" t="s">
        <v>382</v>
      </c>
    </row>
    <row r="20" spans="1:4" x14ac:dyDescent="0.2">
      <c r="A20" s="15"/>
      <c r="B20" s="113"/>
    </row>
    <row r="21" spans="1:4" x14ac:dyDescent="0.2">
      <c r="A21" s="112" t="s">
        <v>342</v>
      </c>
      <c r="B21" s="115" t="s">
        <v>383</v>
      </c>
      <c r="C21" s="122" t="s">
        <v>398</v>
      </c>
      <c r="D21" s="123"/>
    </row>
    <row r="22" spans="1:4" x14ac:dyDescent="0.2">
      <c r="A22" s="37">
        <v>1626</v>
      </c>
      <c r="B22" s="114" t="s">
        <v>343</v>
      </c>
      <c r="C22" s="14"/>
      <c r="D22" s="64" t="s">
        <v>367</v>
      </c>
    </row>
    <row r="23" spans="1:4" x14ac:dyDescent="0.2">
      <c r="A23" s="37">
        <v>1627</v>
      </c>
      <c r="B23" s="114" t="s">
        <v>349</v>
      </c>
      <c r="C23" s="14"/>
      <c r="D23" s="64" t="s">
        <v>399</v>
      </c>
    </row>
    <row r="24" spans="1:4" x14ac:dyDescent="0.2">
      <c r="A24" s="32">
        <v>1628</v>
      </c>
      <c r="B24" s="114" t="s">
        <v>350</v>
      </c>
      <c r="C24" s="14"/>
      <c r="D24" t="s">
        <v>193</v>
      </c>
    </row>
    <row r="25" spans="1:4" x14ac:dyDescent="0.2">
      <c r="A25" s="37">
        <v>1629</v>
      </c>
      <c r="B25" s="114" t="s">
        <v>351</v>
      </c>
      <c r="C25" s="14"/>
      <c r="D25" t="s">
        <v>205</v>
      </c>
    </row>
    <row r="26" spans="1:4" x14ac:dyDescent="0.2">
      <c r="A26" s="32">
        <v>1630</v>
      </c>
      <c r="B26" s="114" t="s">
        <v>352</v>
      </c>
      <c r="C26" s="14"/>
      <c r="D26" s="64" t="s">
        <v>368</v>
      </c>
    </row>
    <row r="27" spans="1:4" x14ac:dyDescent="0.2">
      <c r="A27" s="32">
        <v>1631</v>
      </c>
      <c r="B27" s="114" t="s">
        <v>353</v>
      </c>
      <c r="C27" s="14"/>
      <c r="D27" t="s">
        <v>198</v>
      </c>
    </row>
    <row r="28" spans="1:4" x14ac:dyDescent="0.2">
      <c r="A28" s="32">
        <v>1632</v>
      </c>
      <c r="B28" s="114" t="s">
        <v>354</v>
      </c>
      <c r="C28" s="14"/>
      <c r="D28" t="s">
        <v>197</v>
      </c>
    </row>
    <row r="29" spans="1:4" x14ac:dyDescent="0.2">
      <c r="A29" s="15"/>
      <c r="B29" s="113"/>
      <c r="C29" s="14"/>
      <c r="D29" t="s">
        <v>203</v>
      </c>
    </row>
    <row r="30" spans="1:4" x14ac:dyDescent="0.2">
      <c r="A30" s="112" t="s">
        <v>355</v>
      </c>
      <c r="B30" s="115" t="s">
        <v>384</v>
      </c>
      <c r="C30" s="14"/>
      <c r="D30" t="s">
        <v>199</v>
      </c>
    </row>
    <row r="31" spans="1:4" x14ac:dyDescent="0.2">
      <c r="A31" s="32">
        <v>2243</v>
      </c>
      <c r="B31" s="114" t="s">
        <v>356</v>
      </c>
      <c r="C31" s="14"/>
      <c r="D31" t="s">
        <v>204</v>
      </c>
    </row>
    <row r="32" spans="1:4" x14ac:dyDescent="0.2">
      <c r="A32" s="37">
        <v>2244</v>
      </c>
      <c r="B32" s="114" t="s">
        <v>357</v>
      </c>
      <c r="C32" s="14"/>
      <c r="D32" t="s">
        <v>200</v>
      </c>
    </row>
    <row r="33" spans="1:4" x14ac:dyDescent="0.2">
      <c r="A33" s="32">
        <v>2245</v>
      </c>
      <c r="B33" s="114" t="s">
        <v>358</v>
      </c>
      <c r="C33" s="14"/>
      <c r="D33" t="s">
        <v>201</v>
      </c>
    </row>
    <row r="34" spans="1:4" x14ac:dyDescent="0.2">
      <c r="A34" s="37">
        <v>2246</v>
      </c>
      <c r="B34" s="114" t="s">
        <v>359</v>
      </c>
      <c r="C34" s="14"/>
      <c r="D34" t="s">
        <v>202</v>
      </c>
    </row>
    <row r="35" spans="1:4" x14ac:dyDescent="0.2">
      <c r="A35" s="32">
        <v>2247</v>
      </c>
      <c r="B35" s="114" t="s">
        <v>360</v>
      </c>
      <c r="C35" s="14"/>
      <c r="D35" s="64" t="s">
        <v>395</v>
      </c>
    </row>
    <row r="36" spans="1:4" x14ac:dyDescent="0.2">
      <c r="A36" s="37">
        <v>2248</v>
      </c>
      <c r="B36" s="114" t="s">
        <v>361</v>
      </c>
      <c r="C36" s="14"/>
      <c r="D36" s="64" t="s">
        <v>396</v>
      </c>
    </row>
    <row r="37" spans="1:4" x14ac:dyDescent="0.2">
      <c r="A37" s="32">
        <v>2249</v>
      </c>
      <c r="B37" s="114" t="s">
        <v>362</v>
      </c>
      <c r="C37" s="14"/>
      <c r="D37" s="64" t="s">
        <v>397</v>
      </c>
    </row>
    <row r="38" spans="1:4" x14ac:dyDescent="0.2">
      <c r="A38" s="32">
        <v>2250</v>
      </c>
      <c r="B38" s="114" t="s">
        <v>363</v>
      </c>
    </row>
    <row r="39" spans="1:4" x14ac:dyDescent="0.2">
      <c r="A39" s="15"/>
      <c r="B39" s="113"/>
    </row>
    <row r="40" spans="1:4" x14ac:dyDescent="0.2">
      <c r="A40" s="15"/>
      <c r="B40" s="113"/>
    </row>
    <row r="41" spans="1:4" x14ac:dyDescent="0.2">
      <c r="A41" s="15"/>
      <c r="B41" s="113"/>
      <c r="C41" s="122" t="s">
        <v>393</v>
      </c>
      <c r="D41" s="123"/>
    </row>
    <row r="42" spans="1:4" x14ac:dyDescent="0.2">
      <c r="A42" s="23" t="s">
        <v>117</v>
      </c>
      <c r="B42" s="113"/>
      <c r="C42" s="14"/>
      <c r="D42" s="64" t="s">
        <v>376</v>
      </c>
    </row>
    <row r="43" spans="1:4" x14ac:dyDescent="0.2">
      <c r="A43" s="6">
        <v>1</v>
      </c>
      <c r="B43" s="113" t="s">
        <v>110</v>
      </c>
      <c r="C43" s="56"/>
      <c r="D43" t="s">
        <v>191</v>
      </c>
    </row>
    <row r="44" spans="1:4" x14ac:dyDescent="0.2">
      <c r="A44" s="6">
        <v>2</v>
      </c>
      <c r="B44" s="113" t="s">
        <v>111</v>
      </c>
      <c r="C44" s="14">
        <v>411</v>
      </c>
      <c r="D44" t="s">
        <v>194</v>
      </c>
    </row>
    <row r="45" spans="1:4" x14ac:dyDescent="0.2">
      <c r="A45" s="6">
        <v>3</v>
      </c>
      <c r="B45" s="113" t="s">
        <v>112</v>
      </c>
      <c r="C45" s="14">
        <v>589</v>
      </c>
      <c r="D45" t="s">
        <v>97</v>
      </c>
    </row>
    <row r="46" spans="1:4" x14ac:dyDescent="0.2">
      <c r="A46" s="6">
        <v>4</v>
      </c>
      <c r="B46" s="113" t="s">
        <v>114</v>
      </c>
      <c r="C46" s="14">
        <v>812</v>
      </c>
      <c r="D46" s="64" t="s">
        <v>400</v>
      </c>
    </row>
    <row r="47" spans="1:4" x14ac:dyDescent="0.2">
      <c r="A47" s="3">
        <v>5</v>
      </c>
      <c r="B47" s="114" t="s">
        <v>369</v>
      </c>
      <c r="C47" s="14"/>
      <c r="D47" t="s">
        <v>98</v>
      </c>
    </row>
    <row r="48" spans="1:4" x14ac:dyDescent="0.2">
      <c r="A48" s="3">
        <v>6</v>
      </c>
      <c r="B48" s="114" t="s">
        <v>370</v>
      </c>
      <c r="C48" s="14"/>
      <c r="D48" t="s">
        <v>99</v>
      </c>
    </row>
    <row r="49" spans="1:2" x14ac:dyDescent="0.2">
      <c r="A49" s="3">
        <v>7</v>
      </c>
      <c r="B49" s="114" t="s">
        <v>371</v>
      </c>
    </row>
    <row r="50" spans="1:2" x14ac:dyDescent="0.2">
      <c r="A50" s="3">
        <v>8</v>
      </c>
      <c r="B50" s="114" t="s">
        <v>372</v>
      </c>
    </row>
    <row r="51" spans="1:2" x14ac:dyDescent="0.2">
      <c r="A51" s="3">
        <v>9</v>
      </c>
      <c r="B51" s="114" t="s">
        <v>373</v>
      </c>
    </row>
    <row r="52" spans="1:2" x14ac:dyDescent="0.2">
      <c r="A52" s="3">
        <v>10</v>
      </c>
      <c r="B52" s="114" t="s">
        <v>374</v>
      </c>
    </row>
    <row r="53" spans="1:2" x14ac:dyDescent="0.2">
      <c r="A53" s="3">
        <v>11</v>
      </c>
      <c r="B53" s="114" t="s">
        <v>375</v>
      </c>
    </row>
    <row r="54" spans="1:2" x14ac:dyDescent="0.2">
      <c r="B54" s="113"/>
    </row>
    <row r="56" spans="1:2" x14ac:dyDescent="0.2">
      <c r="A56" s="15"/>
    </row>
    <row r="57" spans="1:2" x14ac:dyDescent="0.2">
      <c r="A57" s="15"/>
    </row>
    <row r="58" spans="1:2" x14ac:dyDescent="0.2">
      <c r="A58" s="15"/>
    </row>
    <row r="59" spans="1:2" x14ac:dyDescent="0.2">
      <c r="A59" s="15"/>
    </row>
    <row r="60" spans="1:2" x14ac:dyDescent="0.2">
      <c r="A60" s="15"/>
    </row>
    <row r="61" spans="1:2" x14ac:dyDescent="0.2">
      <c r="A61" s="15"/>
    </row>
    <row r="62" spans="1:2" x14ac:dyDescent="0.2">
      <c r="A62" s="15"/>
    </row>
    <row r="63" spans="1:2" x14ac:dyDescent="0.2">
      <c r="A63" s="15"/>
    </row>
    <row r="64" spans="1:2" x14ac:dyDescent="0.2">
      <c r="A64" s="15"/>
    </row>
    <row r="65" spans="1:1" x14ac:dyDescent="0.2">
      <c r="A65" s="15"/>
    </row>
    <row r="66" spans="1:1" x14ac:dyDescent="0.2">
      <c r="A66" s="15"/>
    </row>
    <row r="67" spans="1:1" x14ac:dyDescent="0.2">
      <c r="A67" s="15"/>
    </row>
    <row r="68" spans="1:1" x14ac:dyDescent="0.2">
      <c r="A68" s="15"/>
    </row>
    <row r="69" spans="1:1" x14ac:dyDescent="0.2">
      <c r="A69" s="15"/>
    </row>
    <row r="70" spans="1:1" x14ac:dyDescent="0.2">
      <c r="A70" s="15"/>
    </row>
    <row r="71" spans="1:1" x14ac:dyDescent="0.2">
      <c r="A71" s="15"/>
    </row>
    <row r="72" spans="1:1" x14ac:dyDescent="0.2">
      <c r="A72" s="15"/>
    </row>
    <row r="73" spans="1:1" x14ac:dyDescent="0.2">
      <c r="A73" s="15"/>
    </row>
    <row r="74" spans="1:1" x14ac:dyDescent="0.2">
      <c r="A74" s="15"/>
    </row>
    <row r="75" spans="1:1" x14ac:dyDescent="0.2">
      <c r="A75" s="15"/>
    </row>
    <row r="76" spans="1:1" x14ac:dyDescent="0.2">
      <c r="A76" s="15"/>
    </row>
    <row r="77" spans="1:1" x14ac:dyDescent="0.2">
      <c r="A77" s="15"/>
    </row>
    <row r="78" spans="1:1" x14ac:dyDescent="0.2">
      <c r="A78" s="15"/>
    </row>
    <row r="79" spans="1:1" x14ac:dyDescent="0.2">
      <c r="A79" s="15"/>
    </row>
    <row r="80" spans="1:1" x14ac:dyDescent="0.2">
      <c r="A80" s="15"/>
    </row>
    <row r="81" spans="1:1" x14ac:dyDescent="0.2">
      <c r="A81" s="15"/>
    </row>
  </sheetData>
  <phoneticPr fontId="0" type="noConversion"/>
  <printOptions horizontalCentered="1" verticalCentered="1"/>
  <pageMargins left="0.75" right="0.75" top="0.5" bottom="0.5" header="0.5" footer="0.5"/>
  <pageSetup scale="91" orientation="portrait" r:id="rId1"/>
  <headerFooter alignWithMargins="0">
    <oddFooter>&amp;L&amp;F    &amp;A    &amp;D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14999847407452621"/>
    <pageSetUpPr fitToPage="1"/>
  </sheetPr>
  <dimension ref="B1:K57"/>
  <sheetViews>
    <sheetView view="pageBreakPreview" zoomScale="85" zoomScaleNormal="85" workbookViewId="0">
      <selection activeCell="D33" sqref="D33"/>
    </sheetView>
  </sheetViews>
  <sheetFormatPr defaultRowHeight="12.75" x14ac:dyDescent="0.2"/>
  <cols>
    <col min="1" max="1" width="3.140625" customWidth="1"/>
    <col min="2" max="2" width="26.5703125" customWidth="1"/>
    <col min="3" max="3" width="15.7109375" style="14" bestFit="1" customWidth="1"/>
    <col min="4" max="4" width="11" style="8" customWidth="1"/>
    <col min="5" max="5" width="11" customWidth="1"/>
    <col min="6" max="6" width="10.7109375" style="13" customWidth="1"/>
    <col min="7" max="7" width="13.5703125" customWidth="1"/>
    <col min="8" max="8" width="4.140625" customWidth="1"/>
    <col min="9" max="9" width="10.5703125" customWidth="1"/>
    <col min="11" max="11" width="14.28515625" customWidth="1"/>
  </cols>
  <sheetData>
    <row r="1" spans="2:8" x14ac:dyDescent="0.2">
      <c r="B1" s="23" t="s">
        <v>215</v>
      </c>
      <c r="C1" s="15"/>
    </row>
    <row r="2" spans="2:8" ht="51" x14ac:dyDescent="0.2">
      <c r="B2" s="1" t="s">
        <v>140</v>
      </c>
      <c r="C2" s="1" t="s">
        <v>141</v>
      </c>
      <c r="D2" s="1" t="s">
        <v>7</v>
      </c>
      <c r="E2" s="52" t="s">
        <v>151</v>
      </c>
      <c r="F2" s="52" t="s">
        <v>156</v>
      </c>
      <c r="G2" s="52" t="s">
        <v>169</v>
      </c>
      <c r="H2" s="44"/>
    </row>
    <row r="3" spans="2:8" x14ac:dyDescent="0.2">
      <c r="B3" s="46" t="s">
        <v>162</v>
      </c>
      <c r="C3" s="2" t="s">
        <v>179</v>
      </c>
      <c r="D3" s="53">
        <f t="shared" ref="D3:D31" si="0">ROUND(1/((1/E3)+(F3*G3/3600)),1)</f>
        <v>13.4</v>
      </c>
      <c r="E3" s="45">
        <f>C53</f>
        <v>22</v>
      </c>
      <c r="F3" s="45">
        <f>C46</f>
        <v>7</v>
      </c>
      <c r="G3" s="45">
        <f>$C$57</f>
        <v>15</v>
      </c>
    </row>
    <row r="4" spans="2:8" x14ac:dyDescent="0.2">
      <c r="B4" s="46" t="s">
        <v>162</v>
      </c>
      <c r="C4" s="3" t="s">
        <v>178</v>
      </c>
      <c r="D4" s="53">
        <f t="shared" si="0"/>
        <v>16.2</v>
      </c>
      <c r="E4" s="45">
        <f>D53</f>
        <v>25</v>
      </c>
      <c r="F4" s="45">
        <f>D46</f>
        <v>6</v>
      </c>
      <c r="G4" s="45">
        <f>$D$57</f>
        <v>13</v>
      </c>
    </row>
    <row r="5" spans="2:8" x14ac:dyDescent="0.2">
      <c r="B5" s="46" t="s">
        <v>162</v>
      </c>
      <c r="C5" s="4" t="s">
        <v>142</v>
      </c>
      <c r="D5" s="53">
        <f t="shared" si="0"/>
        <v>21.2</v>
      </c>
      <c r="E5" s="45">
        <f>E53</f>
        <v>30</v>
      </c>
      <c r="F5" s="45">
        <f>E46</f>
        <v>5</v>
      </c>
      <c r="G5" s="45">
        <f>$E$57</f>
        <v>10</v>
      </c>
    </row>
    <row r="6" spans="2:8" x14ac:dyDescent="0.2">
      <c r="B6" s="43" t="s">
        <v>162</v>
      </c>
      <c r="C6" s="50" t="s">
        <v>177</v>
      </c>
      <c r="D6" s="54">
        <f t="shared" si="0"/>
        <v>23.2</v>
      </c>
      <c r="E6" s="51">
        <f>F53</f>
        <v>30</v>
      </c>
      <c r="F6" s="51">
        <f>F46</f>
        <v>3.5</v>
      </c>
      <c r="G6" s="51">
        <f>$F$57</f>
        <v>10</v>
      </c>
    </row>
    <row r="7" spans="2:8" x14ac:dyDescent="0.2">
      <c r="B7" s="5" t="s">
        <v>131</v>
      </c>
      <c r="C7" s="2" t="str">
        <f>C3</f>
        <v>5 CBD</v>
      </c>
      <c r="D7" s="53">
        <f t="shared" si="0"/>
        <v>28.2</v>
      </c>
      <c r="E7" s="45">
        <f>C50</f>
        <v>42</v>
      </c>
      <c r="F7" s="45">
        <f>C43</f>
        <v>2.8</v>
      </c>
      <c r="G7" s="45">
        <f>$C$57</f>
        <v>15</v>
      </c>
    </row>
    <row r="8" spans="2:8" x14ac:dyDescent="0.2">
      <c r="B8" s="5" t="str">
        <f>$B$7</f>
        <v>2  Principle Arterial</v>
      </c>
      <c r="C8" s="3" t="str">
        <f>C4</f>
        <v>4 Urban</v>
      </c>
      <c r="D8" s="53">
        <f t="shared" si="0"/>
        <v>32.799999999999997</v>
      </c>
      <c r="E8" s="45">
        <f>D50</f>
        <v>45</v>
      </c>
      <c r="F8" s="45">
        <f>D43</f>
        <v>2.2999999999999998</v>
      </c>
      <c r="G8" s="45">
        <f>$D$57</f>
        <v>13</v>
      </c>
    </row>
    <row r="9" spans="2:8" x14ac:dyDescent="0.2">
      <c r="B9" s="5" t="str">
        <f>$B$7</f>
        <v>2  Principle Arterial</v>
      </c>
      <c r="C9" s="4" t="str">
        <f>C5</f>
        <v>3 Suburban</v>
      </c>
      <c r="D9" s="53">
        <f t="shared" si="0"/>
        <v>39.6</v>
      </c>
      <c r="E9" s="45">
        <f>E50</f>
        <v>50</v>
      </c>
      <c r="F9" s="45">
        <f>E43</f>
        <v>1.9</v>
      </c>
      <c r="G9" s="45">
        <f>$E$57</f>
        <v>10</v>
      </c>
    </row>
    <row r="10" spans="2:8" x14ac:dyDescent="0.2">
      <c r="B10" s="17" t="str">
        <f>$B$7</f>
        <v>2  Principle Arterial</v>
      </c>
      <c r="C10" s="50" t="str">
        <f>C6</f>
        <v>1-2 Rur/Transition</v>
      </c>
      <c r="D10" s="54">
        <f t="shared" si="0"/>
        <v>44.7</v>
      </c>
      <c r="E10" s="51">
        <f>F50</f>
        <v>55</v>
      </c>
      <c r="F10" s="51">
        <f>F43</f>
        <v>1.5</v>
      </c>
      <c r="G10" s="51">
        <f>$F$57</f>
        <v>10</v>
      </c>
    </row>
    <row r="11" spans="2:8" x14ac:dyDescent="0.2">
      <c r="B11" s="6" t="s">
        <v>132</v>
      </c>
      <c r="C11" s="2" t="str">
        <f>$C$7</f>
        <v>5 CBD</v>
      </c>
      <c r="D11" s="53">
        <f t="shared" si="0"/>
        <v>27.5</v>
      </c>
      <c r="E11" s="45">
        <f>C51</f>
        <v>42</v>
      </c>
      <c r="F11" s="45">
        <f>C44</f>
        <v>3</v>
      </c>
      <c r="G11" s="45">
        <f>$C$57</f>
        <v>15</v>
      </c>
    </row>
    <row r="12" spans="2:8" x14ac:dyDescent="0.2">
      <c r="B12" s="6" t="str">
        <f>$B$11</f>
        <v>3  Minor Arterial</v>
      </c>
      <c r="C12" s="3" t="str">
        <f>$C$8</f>
        <v>4 Urban</v>
      </c>
      <c r="D12" s="53">
        <f t="shared" si="0"/>
        <v>30.6</v>
      </c>
      <c r="E12" s="45">
        <f>D51</f>
        <v>45</v>
      </c>
      <c r="F12" s="45">
        <f>D44</f>
        <v>2.9</v>
      </c>
      <c r="G12" s="45">
        <f>$D$57</f>
        <v>13</v>
      </c>
    </row>
    <row r="13" spans="2:8" x14ac:dyDescent="0.2">
      <c r="B13" s="6" t="str">
        <f>$B$11</f>
        <v>3  Minor Arterial</v>
      </c>
      <c r="C13" s="4" t="str">
        <f>$C$9</f>
        <v>3 Suburban</v>
      </c>
      <c r="D13" s="53">
        <f t="shared" si="0"/>
        <v>36.4</v>
      </c>
      <c r="E13" s="45">
        <f>E51</f>
        <v>50</v>
      </c>
      <c r="F13" s="45">
        <f>E44</f>
        <v>2.7</v>
      </c>
      <c r="G13" s="45">
        <f>$E$57</f>
        <v>10</v>
      </c>
    </row>
    <row r="14" spans="2:8" x14ac:dyDescent="0.2">
      <c r="B14" s="20" t="str">
        <f>$B$11</f>
        <v>3  Minor Arterial</v>
      </c>
      <c r="C14" s="50" t="str">
        <f>$C$10</f>
        <v>1-2 Rur/Transition</v>
      </c>
      <c r="D14" s="54">
        <f t="shared" si="0"/>
        <v>42.1</v>
      </c>
      <c r="E14" s="51">
        <f>F51</f>
        <v>55</v>
      </c>
      <c r="F14" s="51">
        <f>F44</f>
        <v>2</v>
      </c>
      <c r="G14" s="51">
        <f>$F$57</f>
        <v>10</v>
      </c>
    </row>
    <row r="15" spans="2:8" x14ac:dyDescent="0.2">
      <c r="B15" s="7" t="s">
        <v>133</v>
      </c>
      <c r="C15" s="2" t="str">
        <f>$C$7</f>
        <v>5 CBD</v>
      </c>
      <c r="D15" s="53">
        <f t="shared" si="0"/>
        <v>22.9</v>
      </c>
      <c r="E15" s="45">
        <f>C52</f>
        <v>37</v>
      </c>
      <c r="F15" s="45">
        <f>C45</f>
        <v>4</v>
      </c>
      <c r="G15" s="45">
        <f>$C$57</f>
        <v>15</v>
      </c>
    </row>
    <row r="16" spans="2:8" x14ac:dyDescent="0.2">
      <c r="B16" s="7" t="str">
        <f>B15</f>
        <v>4,5,6  Collectors</v>
      </c>
      <c r="C16" s="3" t="str">
        <f>$C$8</f>
        <v>4 Urban</v>
      </c>
      <c r="D16" s="53">
        <f t="shared" si="0"/>
        <v>27.1</v>
      </c>
      <c r="E16" s="45">
        <f>D52</f>
        <v>40</v>
      </c>
      <c r="F16" s="45">
        <f>D45</f>
        <v>3.3</v>
      </c>
      <c r="G16" s="45">
        <f>$D$57</f>
        <v>13</v>
      </c>
    </row>
    <row r="17" spans="2:7" x14ac:dyDescent="0.2">
      <c r="B17" s="7" t="str">
        <f>B16</f>
        <v>4,5,6  Collectors</v>
      </c>
      <c r="C17" s="4" t="str">
        <f>$C$9</f>
        <v>3 Suburban</v>
      </c>
      <c r="D17" s="53">
        <f t="shared" si="0"/>
        <v>32.4</v>
      </c>
      <c r="E17" s="45">
        <f>E52</f>
        <v>45</v>
      </c>
      <c r="F17" s="45">
        <f>E45</f>
        <v>3.1</v>
      </c>
      <c r="G17" s="45">
        <f>$E$57</f>
        <v>10</v>
      </c>
    </row>
    <row r="18" spans="2:7" x14ac:dyDescent="0.2">
      <c r="B18" s="21" t="str">
        <f>B17</f>
        <v>4,5,6  Collectors</v>
      </c>
      <c r="C18" s="50" t="str">
        <f>$C$10</f>
        <v>1-2 Rur/Transition</v>
      </c>
      <c r="D18" s="54">
        <f t="shared" si="0"/>
        <v>32.700000000000003</v>
      </c>
      <c r="E18" s="51">
        <f>F52</f>
        <v>45</v>
      </c>
      <c r="F18" s="51">
        <f>F45</f>
        <v>3</v>
      </c>
      <c r="G18" s="51">
        <f>$F$57</f>
        <v>10</v>
      </c>
    </row>
    <row r="19" spans="2:7" x14ac:dyDescent="0.2">
      <c r="B19" s="3" t="s">
        <v>134</v>
      </c>
      <c r="C19" t="s">
        <v>6</v>
      </c>
      <c r="D19" s="53">
        <f t="shared" si="0"/>
        <v>67</v>
      </c>
      <c r="E19" s="45">
        <v>67</v>
      </c>
      <c r="F19"/>
    </row>
    <row r="20" spans="2:7" x14ac:dyDescent="0.2">
      <c r="B20" s="3" t="s">
        <v>135</v>
      </c>
      <c r="C20" t="s">
        <v>6</v>
      </c>
      <c r="D20" s="53">
        <f t="shared" si="0"/>
        <v>67</v>
      </c>
      <c r="E20" s="45">
        <v>67</v>
      </c>
      <c r="F20"/>
    </row>
    <row r="21" spans="2:7" x14ac:dyDescent="0.2">
      <c r="B21" s="3" t="s">
        <v>136</v>
      </c>
      <c r="C21" t="s">
        <v>6</v>
      </c>
      <c r="D21" s="53">
        <f t="shared" si="0"/>
        <v>55</v>
      </c>
      <c r="E21" s="45">
        <v>55</v>
      </c>
      <c r="F21"/>
    </row>
    <row r="22" spans="2:7" x14ac:dyDescent="0.2">
      <c r="B22" s="3" t="s">
        <v>137</v>
      </c>
      <c r="C22" t="s">
        <v>6</v>
      </c>
      <c r="D22" s="74">
        <v>70</v>
      </c>
      <c r="E22" s="45">
        <v>67</v>
      </c>
      <c r="F22"/>
    </row>
    <row r="23" spans="2:7" x14ac:dyDescent="0.2">
      <c r="B23" s="3" t="s">
        <v>138</v>
      </c>
      <c r="C23" t="s">
        <v>6</v>
      </c>
      <c r="D23" s="53">
        <f t="shared" si="0"/>
        <v>75</v>
      </c>
      <c r="E23" s="45">
        <v>75</v>
      </c>
      <c r="F23"/>
    </row>
    <row r="24" spans="2:7" x14ac:dyDescent="0.2">
      <c r="B24" s="3" t="s">
        <v>139</v>
      </c>
      <c r="C24" t="s">
        <v>6</v>
      </c>
      <c r="D24" s="53">
        <f t="shared" si="0"/>
        <v>23</v>
      </c>
      <c r="E24" s="45">
        <v>23</v>
      </c>
      <c r="F24"/>
      <c r="G24" s="45"/>
    </row>
    <row r="25" spans="2:7" x14ac:dyDescent="0.2">
      <c r="B25" s="3" t="s">
        <v>154</v>
      </c>
      <c r="C25" t="s">
        <v>6</v>
      </c>
      <c r="D25" s="53">
        <f t="shared" si="0"/>
        <v>30</v>
      </c>
      <c r="E25" s="45">
        <v>30</v>
      </c>
      <c r="F25"/>
    </row>
    <row r="26" spans="2:7" x14ac:dyDescent="0.2">
      <c r="B26" s="3" t="s">
        <v>217</v>
      </c>
      <c r="C26" t="s">
        <v>6</v>
      </c>
      <c r="D26" s="74">
        <v>70</v>
      </c>
      <c r="E26" s="45">
        <v>67.5</v>
      </c>
      <c r="F26"/>
    </row>
    <row r="27" spans="2:7" x14ac:dyDescent="0.2">
      <c r="B27" s="22" t="s">
        <v>216</v>
      </c>
      <c r="C27" s="16" t="s">
        <v>6</v>
      </c>
      <c r="D27" s="75">
        <v>70</v>
      </c>
      <c r="E27" s="51">
        <v>67.5</v>
      </c>
      <c r="F27" s="16"/>
      <c r="G27" s="16"/>
    </row>
    <row r="28" spans="2:7" x14ac:dyDescent="0.2">
      <c r="B28" s="76" t="s">
        <v>239</v>
      </c>
      <c r="C28"/>
      <c r="D28" s="74">
        <v>77.5</v>
      </c>
      <c r="E28" s="45"/>
      <c r="F28"/>
    </row>
    <row r="29" spans="2:7" x14ac:dyDescent="0.2">
      <c r="B29" t="s">
        <v>208</v>
      </c>
      <c r="C29"/>
      <c r="D29" s="53">
        <f>ROUND(1/((1/E29)+(F29*G29/3600)),1)</f>
        <v>38</v>
      </c>
      <c r="E29" s="45">
        <v>38</v>
      </c>
      <c r="F29">
        <v>0</v>
      </c>
      <c r="G29" s="45"/>
    </row>
    <row r="30" spans="2:7" x14ac:dyDescent="0.2">
      <c r="B30" t="s">
        <v>209</v>
      </c>
      <c r="C30"/>
      <c r="D30" s="53">
        <f>ROUND(1/((1/E30)+(F30*G30/3600)),1)</f>
        <v>50</v>
      </c>
      <c r="E30" s="45">
        <v>50</v>
      </c>
      <c r="F30">
        <v>0</v>
      </c>
      <c r="G30" s="45"/>
    </row>
    <row r="31" spans="2:7" x14ac:dyDescent="0.2">
      <c r="B31" t="s">
        <v>180</v>
      </c>
      <c r="C31" t="s">
        <v>6</v>
      </c>
      <c r="D31" s="53">
        <f t="shared" si="0"/>
        <v>50</v>
      </c>
      <c r="E31" s="45">
        <v>60</v>
      </c>
      <c r="F31">
        <v>0.8</v>
      </c>
      <c r="G31" s="45">
        <v>15</v>
      </c>
    </row>
    <row r="32" spans="2:7" x14ac:dyDescent="0.2">
      <c r="B32" t="s">
        <v>181</v>
      </c>
      <c r="C32" t="s">
        <v>6</v>
      </c>
      <c r="D32" s="53">
        <f>ROUND(1/((1/E32)+(F32*G32/3600)),0)</f>
        <v>52</v>
      </c>
      <c r="E32" s="45">
        <v>60</v>
      </c>
      <c r="F32">
        <v>1</v>
      </c>
      <c r="G32" s="45">
        <v>9</v>
      </c>
    </row>
    <row r="33" spans="2:11" x14ac:dyDescent="0.2">
      <c r="B33" t="s">
        <v>222</v>
      </c>
      <c r="C33" t="s">
        <v>223</v>
      </c>
      <c r="D33" s="53"/>
      <c r="E33" s="45"/>
      <c r="F33"/>
      <c r="G33" s="45"/>
    </row>
    <row r="34" spans="2:11" x14ac:dyDescent="0.2">
      <c r="F34"/>
      <c r="I34" s="13"/>
    </row>
    <row r="35" spans="2:11" x14ac:dyDescent="0.2">
      <c r="B35" t="s">
        <v>172</v>
      </c>
    </row>
    <row r="36" spans="2:11" x14ac:dyDescent="0.2">
      <c r="B36" t="s">
        <v>182</v>
      </c>
    </row>
    <row r="37" spans="2:11" x14ac:dyDescent="0.2">
      <c r="B37" t="s">
        <v>164</v>
      </c>
    </row>
    <row r="38" spans="2:11" x14ac:dyDescent="0.2">
      <c r="B38" s="64" t="s">
        <v>219</v>
      </c>
    </row>
    <row r="39" spans="2:11" x14ac:dyDescent="0.2">
      <c r="B39" s="63" t="s">
        <v>218</v>
      </c>
      <c r="K39" s="59"/>
    </row>
    <row r="41" spans="2:11" x14ac:dyDescent="0.2">
      <c r="B41" s="23" t="s">
        <v>163</v>
      </c>
      <c r="C41"/>
      <c r="D41"/>
      <c r="F41"/>
    </row>
    <row r="42" spans="2:11" x14ac:dyDescent="0.2">
      <c r="B42" s="47"/>
      <c r="C42" s="47" t="s">
        <v>160</v>
      </c>
      <c r="D42" s="47" t="s">
        <v>3</v>
      </c>
      <c r="E42" s="47" t="s">
        <v>4</v>
      </c>
      <c r="F42" s="47" t="s">
        <v>161</v>
      </c>
    </row>
    <row r="43" spans="2:11" x14ac:dyDescent="0.2">
      <c r="B43" s="47" t="s">
        <v>157</v>
      </c>
      <c r="C43" s="73">
        <v>2.8</v>
      </c>
      <c r="D43" s="48">
        <v>2.2999999999999998</v>
      </c>
      <c r="E43" s="48">
        <v>1.9</v>
      </c>
      <c r="F43" s="48">
        <v>1.5</v>
      </c>
    </row>
    <row r="44" spans="2:11" x14ac:dyDescent="0.2">
      <c r="B44" s="47" t="s">
        <v>158</v>
      </c>
      <c r="C44" s="48">
        <v>3</v>
      </c>
      <c r="D44" s="48">
        <v>2.9</v>
      </c>
      <c r="E44" s="48">
        <v>2.7</v>
      </c>
      <c r="F44" s="48">
        <v>2</v>
      </c>
    </row>
    <row r="45" spans="2:11" x14ac:dyDescent="0.2">
      <c r="B45" s="47" t="s">
        <v>1</v>
      </c>
      <c r="C45" s="73">
        <v>4</v>
      </c>
      <c r="D45" s="73">
        <v>3.3</v>
      </c>
      <c r="E45" s="48">
        <v>3.1</v>
      </c>
      <c r="F45" s="48">
        <v>3</v>
      </c>
    </row>
    <row r="46" spans="2:11" x14ac:dyDescent="0.2">
      <c r="B46" s="47" t="s">
        <v>159</v>
      </c>
      <c r="C46" s="73">
        <v>7</v>
      </c>
      <c r="D46" s="48">
        <v>6</v>
      </c>
      <c r="E46" s="48">
        <v>5</v>
      </c>
      <c r="F46" s="48">
        <v>3.5</v>
      </c>
    </row>
    <row r="48" spans="2:11" x14ac:dyDescent="0.2">
      <c r="B48" s="23" t="s">
        <v>168</v>
      </c>
    </row>
    <row r="49" spans="2:6" x14ac:dyDescent="0.2">
      <c r="B49" s="47"/>
      <c r="C49" s="47" t="s">
        <v>160</v>
      </c>
      <c r="D49" s="47" t="s">
        <v>3</v>
      </c>
      <c r="E49" s="47" t="s">
        <v>4</v>
      </c>
      <c r="F49" s="47" t="s">
        <v>161</v>
      </c>
    </row>
    <row r="50" spans="2:6" x14ac:dyDescent="0.2">
      <c r="B50" s="47" t="s">
        <v>157</v>
      </c>
      <c r="C50" s="73">
        <v>42</v>
      </c>
      <c r="D50" s="48">
        <v>45</v>
      </c>
      <c r="E50" s="48">
        <v>50</v>
      </c>
      <c r="F50" s="48">
        <v>55</v>
      </c>
    </row>
    <row r="51" spans="2:6" x14ac:dyDescent="0.2">
      <c r="B51" s="47" t="s">
        <v>158</v>
      </c>
      <c r="C51" s="73">
        <v>42</v>
      </c>
      <c r="D51" s="48">
        <v>45</v>
      </c>
      <c r="E51" s="48">
        <v>50</v>
      </c>
      <c r="F51" s="48">
        <v>55</v>
      </c>
    </row>
    <row r="52" spans="2:6" x14ac:dyDescent="0.2">
      <c r="B52" s="47" t="s">
        <v>1</v>
      </c>
      <c r="C52" s="73">
        <v>37</v>
      </c>
      <c r="D52" s="73">
        <v>40</v>
      </c>
      <c r="E52" s="73">
        <v>45</v>
      </c>
      <c r="F52" s="73">
        <v>45</v>
      </c>
    </row>
    <row r="53" spans="2:6" x14ac:dyDescent="0.2">
      <c r="B53" s="47" t="s">
        <v>159</v>
      </c>
      <c r="C53" s="73">
        <v>22</v>
      </c>
      <c r="D53" s="48">
        <v>25</v>
      </c>
      <c r="E53" s="73">
        <v>30</v>
      </c>
      <c r="F53" s="48">
        <v>30</v>
      </c>
    </row>
    <row r="55" spans="2:6" x14ac:dyDescent="0.2">
      <c r="B55" s="23" t="s">
        <v>170</v>
      </c>
    </row>
    <row r="56" spans="2:6" x14ac:dyDescent="0.2">
      <c r="B56" s="47"/>
      <c r="C56" s="47" t="s">
        <v>160</v>
      </c>
      <c r="D56" s="47" t="s">
        <v>3</v>
      </c>
      <c r="E56" s="47" t="s">
        <v>4</v>
      </c>
      <c r="F56" s="47" t="s">
        <v>161</v>
      </c>
    </row>
    <row r="57" spans="2:6" x14ac:dyDescent="0.2">
      <c r="B57" s="47" t="s">
        <v>171</v>
      </c>
      <c r="C57" s="73">
        <v>15</v>
      </c>
      <c r="D57" s="48">
        <v>13</v>
      </c>
      <c r="E57" s="48">
        <v>10</v>
      </c>
      <c r="F57" s="48">
        <v>10</v>
      </c>
    </row>
  </sheetData>
  <phoneticPr fontId="0" type="noConversion"/>
  <pageMargins left="0.75" right="0.75" top="0.75" bottom="0.75" header="0.5" footer="0.5"/>
  <pageSetup scale="90" orientation="portrait" r:id="rId1"/>
  <headerFooter alignWithMargins="0">
    <oddFooter>&amp;L&amp;F</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14999847407452621"/>
  </sheetPr>
  <dimension ref="B1:U81"/>
  <sheetViews>
    <sheetView view="pageBreakPreview" zoomScale="85" zoomScaleNormal="85" workbookViewId="0">
      <selection activeCell="D33" sqref="D33"/>
    </sheetView>
  </sheetViews>
  <sheetFormatPr defaultRowHeight="12.75" x14ac:dyDescent="0.2"/>
  <cols>
    <col min="1" max="1" width="3.140625" customWidth="1"/>
    <col min="2" max="2" width="28.28515625" customWidth="1"/>
    <col min="3" max="3" width="13.140625" style="14" customWidth="1"/>
    <col min="5" max="5" width="11" style="8" customWidth="1"/>
    <col min="6" max="6" width="10.5703125" bestFit="1" customWidth="1"/>
    <col min="7" max="7" width="2.42578125" customWidth="1"/>
    <col min="8" max="8" width="11" hidden="1" customWidth="1"/>
    <col min="9" max="9" width="5.5703125" style="13" customWidth="1"/>
    <col min="10" max="10" width="7" customWidth="1"/>
    <col min="11" max="11" width="6.42578125" customWidth="1"/>
    <col min="12" max="13" width="7.85546875" customWidth="1"/>
    <col min="14" max="14" width="7.42578125" customWidth="1"/>
  </cols>
  <sheetData>
    <row r="1" spans="2:16" x14ac:dyDescent="0.2">
      <c r="B1" s="23" t="s">
        <v>442</v>
      </c>
      <c r="C1"/>
    </row>
    <row r="2" spans="2:16" ht="51" x14ac:dyDescent="0.2">
      <c r="B2" s="1" t="s">
        <v>130</v>
      </c>
      <c r="C2" s="1" t="s">
        <v>129</v>
      </c>
      <c r="D2" s="1" t="s">
        <v>2</v>
      </c>
      <c r="E2" s="1" t="s">
        <v>9</v>
      </c>
      <c r="F2" s="1" t="s">
        <v>224</v>
      </c>
      <c r="G2" s="1"/>
      <c r="H2" s="1" t="s">
        <v>150</v>
      </c>
      <c r="I2" s="1" t="s">
        <v>165</v>
      </c>
      <c r="J2" s="1" t="s">
        <v>146</v>
      </c>
      <c r="K2" s="1" t="s">
        <v>166</v>
      </c>
      <c r="L2" s="1" t="s">
        <v>147</v>
      </c>
      <c r="M2" s="1" t="s">
        <v>148</v>
      </c>
      <c r="N2" s="1" t="s">
        <v>149</v>
      </c>
    </row>
    <row r="3" spans="2:16" x14ac:dyDescent="0.2">
      <c r="B3" t="s">
        <v>0</v>
      </c>
      <c r="C3" t="s">
        <v>5</v>
      </c>
      <c r="D3" s="8">
        <v>7</v>
      </c>
      <c r="E3">
        <v>10000</v>
      </c>
    </row>
    <row r="4" spans="2:16" x14ac:dyDescent="0.2">
      <c r="B4" s="5" t="s">
        <v>131</v>
      </c>
      <c r="C4" s="2" t="s">
        <v>143</v>
      </c>
      <c r="D4" s="9">
        <v>1</v>
      </c>
      <c r="E4" s="67">
        <f>ROUND(I4*J4*K4*L4*M4*N4,5)</f>
        <v>796.34015999999997</v>
      </c>
      <c r="F4" s="67">
        <f>MROUND(2*E4*D4/0.09, 1000)</f>
        <v>18000</v>
      </c>
      <c r="H4">
        <v>1</v>
      </c>
      <c r="I4" s="13">
        <v>1900</v>
      </c>
      <c r="J4" s="2">
        <v>0.96</v>
      </c>
      <c r="K4">
        <v>0.98</v>
      </c>
      <c r="L4">
        <v>1</v>
      </c>
      <c r="M4">
        <v>0.81</v>
      </c>
      <c r="N4">
        <f t="shared" ref="N4:N12" si="0">IF((I4*H4*J4*K4*L4*M4*0.55*0.1)&lt;150,0.55,0.5)</f>
        <v>0.55000000000000004</v>
      </c>
      <c r="P4" s="150">
        <f>E4/E7-1</f>
        <v>-0.10000000000000009</v>
      </c>
    </row>
    <row r="5" spans="2:16" x14ac:dyDescent="0.2">
      <c r="B5" s="5" t="str">
        <f>B4</f>
        <v>2  Principle Arterial</v>
      </c>
      <c r="C5" s="2" t="str">
        <f>$C$4</f>
        <v>1 High Friction</v>
      </c>
      <c r="D5" s="10">
        <v>2</v>
      </c>
      <c r="E5" s="68">
        <f t="shared" ref="E5:E34" si="1">ROUND(I5*J5*K5*L5*M5*N5,5)</f>
        <v>771.9624</v>
      </c>
      <c r="F5" s="68">
        <f t="shared" ref="F5:F27" si="2">MROUND(2*E5*D5/0.09, 1000)</f>
        <v>34000</v>
      </c>
      <c r="H5">
        <v>2</v>
      </c>
      <c r="I5" s="13">
        <v>1900</v>
      </c>
      <c r="J5">
        <v>0.96</v>
      </c>
      <c r="K5">
        <v>0.99</v>
      </c>
      <c r="L5">
        <v>0.95</v>
      </c>
      <c r="M5">
        <v>0.9</v>
      </c>
      <c r="N5">
        <f t="shared" si="0"/>
        <v>0.5</v>
      </c>
      <c r="P5" s="150">
        <f t="shared" ref="P5:P6" si="3">E5/E8-1</f>
        <v>-5.2631578947368363E-2</v>
      </c>
    </row>
    <row r="6" spans="2:16" x14ac:dyDescent="0.2">
      <c r="B6" s="5" t="str">
        <f t="shared" ref="B6:B12" si="4">B5</f>
        <v>2  Principle Arterial</v>
      </c>
      <c r="C6" s="2" t="str">
        <f>$C$4</f>
        <v>1 High Friction</v>
      </c>
      <c r="D6" s="11">
        <v>3</v>
      </c>
      <c r="E6" s="69">
        <f t="shared" si="1"/>
        <v>764.10734000000002</v>
      </c>
      <c r="F6" s="69">
        <f t="shared" si="2"/>
        <v>51000</v>
      </c>
      <c r="H6">
        <v>3</v>
      </c>
      <c r="I6" s="13">
        <v>1900</v>
      </c>
      <c r="J6">
        <v>0.96</v>
      </c>
      <c r="K6">
        <v>0.99</v>
      </c>
      <c r="L6">
        <v>0.91</v>
      </c>
      <c r="M6">
        <v>0.93</v>
      </c>
      <c r="N6">
        <f t="shared" si="0"/>
        <v>0.5</v>
      </c>
      <c r="P6" s="150">
        <f t="shared" si="3"/>
        <v>-4.1237123233084483E-2</v>
      </c>
    </row>
    <row r="7" spans="2:16" x14ac:dyDescent="0.2">
      <c r="B7" s="5" t="str">
        <f t="shared" si="4"/>
        <v>2  Principle Arterial</v>
      </c>
      <c r="C7" s="3" t="s">
        <v>145</v>
      </c>
      <c r="D7" s="9">
        <v>1</v>
      </c>
      <c r="E7" s="67">
        <f t="shared" si="1"/>
        <v>884.82240000000002</v>
      </c>
      <c r="F7" s="67">
        <f t="shared" si="2"/>
        <v>20000</v>
      </c>
      <c r="H7">
        <v>1</v>
      </c>
      <c r="I7" s="13">
        <v>1900</v>
      </c>
      <c r="J7" s="2">
        <v>0.96</v>
      </c>
      <c r="K7">
        <v>0.98</v>
      </c>
      <c r="L7">
        <v>1</v>
      </c>
      <c r="M7">
        <v>0.9</v>
      </c>
      <c r="N7">
        <f t="shared" si="0"/>
        <v>0.55000000000000004</v>
      </c>
    </row>
    <row r="8" spans="2:16" x14ac:dyDescent="0.2">
      <c r="B8" s="5" t="str">
        <f t="shared" si="4"/>
        <v>2  Principle Arterial</v>
      </c>
      <c r="C8" s="3" t="str">
        <f>$C$7</f>
        <v>2 Med. Friction</v>
      </c>
      <c r="D8" s="10">
        <v>2</v>
      </c>
      <c r="E8" s="68">
        <f t="shared" si="1"/>
        <v>814.8492</v>
      </c>
      <c r="F8" s="68">
        <f t="shared" si="2"/>
        <v>36000</v>
      </c>
      <c r="H8">
        <v>2</v>
      </c>
      <c r="I8" s="13">
        <v>1900</v>
      </c>
      <c r="J8">
        <v>0.96</v>
      </c>
      <c r="K8">
        <v>0.99</v>
      </c>
      <c r="L8">
        <v>0.95</v>
      </c>
      <c r="M8">
        <v>0.95</v>
      </c>
      <c r="N8">
        <f t="shared" si="0"/>
        <v>0.5</v>
      </c>
    </row>
    <row r="9" spans="2:16" x14ac:dyDescent="0.2">
      <c r="B9" s="5" t="str">
        <f t="shared" si="4"/>
        <v>2  Principle Arterial</v>
      </c>
      <c r="C9" s="3" t="str">
        <f>$C$7</f>
        <v>2 Med. Friction</v>
      </c>
      <c r="D9" s="11">
        <v>3</v>
      </c>
      <c r="E9" s="69">
        <f t="shared" si="1"/>
        <v>796.97217999999998</v>
      </c>
      <c r="F9" s="69">
        <f t="shared" si="2"/>
        <v>53000</v>
      </c>
      <c r="H9">
        <v>3</v>
      </c>
      <c r="I9" s="13">
        <v>1900</v>
      </c>
      <c r="J9">
        <v>0.96</v>
      </c>
      <c r="K9">
        <v>0.99</v>
      </c>
      <c r="L9">
        <v>0.91</v>
      </c>
      <c r="M9">
        <v>0.97</v>
      </c>
      <c r="N9">
        <f t="shared" si="0"/>
        <v>0.5</v>
      </c>
    </row>
    <row r="10" spans="2:16" x14ac:dyDescent="0.2">
      <c r="B10" s="5" t="str">
        <f t="shared" si="4"/>
        <v>2  Principle Arterial</v>
      </c>
      <c r="C10" s="4" t="s">
        <v>144</v>
      </c>
      <c r="D10" s="9">
        <v>1</v>
      </c>
      <c r="E10" s="67">
        <f t="shared" si="1"/>
        <v>983.13599999999997</v>
      </c>
      <c r="F10" s="67">
        <f t="shared" si="2"/>
        <v>22000</v>
      </c>
      <c r="H10">
        <v>1</v>
      </c>
      <c r="I10" s="13">
        <v>1900</v>
      </c>
      <c r="J10" s="2">
        <v>0.96</v>
      </c>
      <c r="K10">
        <v>0.98</v>
      </c>
      <c r="L10">
        <v>1</v>
      </c>
      <c r="M10">
        <v>1</v>
      </c>
      <c r="N10">
        <f t="shared" si="0"/>
        <v>0.55000000000000004</v>
      </c>
      <c r="P10" s="152">
        <f>E10/E7-1</f>
        <v>0.11111111111111116</v>
      </c>
    </row>
    <row r="11" spans="2:16" x14ac:dyDescent="0.2">
      <c r="B11" s="5" t="str">
        <f t="shared" si="4"/>
        <v>2  Principle Arterial</v>
      </c>
      <c r="C11" s="4" t="str">
        <f>$C$10</f>
        <v>3 Low Friction</v>
      </c>
      <c r="D11" s="10">
        <v>2</v>
      </c>
      <c r="E11" s="68">
        <f t="shared" si="1"/>
        <v>857.73599999999999</v>
      </c>
      <c r="F11" s="68">
        <f t="shared" si="2"/>
        <v>38000</v>
      </c>
      <c r="H11">
        <v>2</v>
      </c>
      <c r="I11" s="13">
        <v>1900</v>
      </c>
      <c r="J11">
        <v>0.96</v>
      </c>
      <c r="K11">
        <v>0.99</v>
      </c>
      <c r="L11">
        <v>0.95</v>
      </c>
      <c r="M11">
        <v>1</v>
      </c>
      <c r="N11">
        <f t="shared" si="0"/>
        <v>0.5</v>
      </c>
      <c r="P11" s="152">
        <f t="shared" ref="P11:P12" si="5">E11/E8-1</f>
        <v>5.2631578947368363E-2</v>
      </c>
    </row>
    <row r="12" spans="2:16" x14ac:dyDescent="0.2">
      <c r="B12" s="5" t="str">
        <f t="shared" si="4"/>
        <v>2  Principle Arterial</v>
      </c>
      <c r="C12" s="18" t="str">
        <f>$C$10</f>
        <v>3 Low Friction</v>
      </c>
      <c r="D12" s="19">
        <v>3</v>
      </c>
      <c r="E12" s="70">
        <f t="shared" si="1"/>
        <v>821.62080000000003</v>
      </c>
      <c r="F12" s="70">
        <f t="shared" si="2"/>
        <v>55000</v>
      </c>
      <c r="H12">
        <v>3</v>
      </c>
      <c r="I12" s="13">
        <v>1900</v>
      </c>
      <c r="J12">
        <v>0.96</v>
      </c>
      <c r="K12">
        <v>0.99</v>
      </c>
      <c r="L12">
        <v>0.91</v>
      </c>
      <c r="M12">
        <v>1</v>
      </c>
      <c r="N12">
        <f t="shared" si="0"/>
        <v>0.5</v>
      </c>
      <c r="P12" s="153">
        <f t="shared" si="5"/>
        <v>3.092782987732412E-2</v>
      </c>
    </row>
    <row r="13" spans="2:16" x14ac:dyDescent="0.2">
      <c r="B13" s="6" t="s">
        <v>132</v>
      </c>
      <c r="C13" s="2" t="str">
        <f>$C$4</f>
        <v>1 High Friction</v>
      </c>
      <c r="D13" s="9">
        <v>1</v>
      </c>
      <c r="E13" s="67">
        <f t="shared" si="1"/>
        <v>658.19952000000001</v>
      </c>
      <c r="F13" s="67">
        <f t="shared" si="2"/>
        <v>15000</v>
      </c>
      <c r="H13">
        <v>1</v>
      </c>
      <c r="I13" s="13">
        <v>1900</v>
      </c>
      <c r="J13">
        <v>0.96</v>
      </c>
      <c r="K13">
        <v>0.99</v>
      </c>
      <c r="L13">
        <v>1</v>
      </c>
      <c r="M13">
        <v>0.81</v>
      </c>
      <c r="N13">
        <f t="shared" ref="N13:N21" si="6">IF((I13*H13*J13*K13*L13*M13*0.45*0.1)&lt;150,0.45,0.4)</f>
        <v>0.45</v>
      </c>
      <c r="P13" s="150">
        <f>E13/E16-1</f>
        <v>-9.9999999999999978E-2</v>
      </c>
    </row>
    <row r="14" spans="2:16" x14ac:dyDescent="0.2">
      <c r="B14" s="6" t="str">
        <f>B13</f>
        <v>3  Minor Arterial</v>
      </c>
      <c r="C14" s="2" t="str">
        <f>$C$4</f>
        <v>1 High Friction</v>
      </c>
      <c r="D14" s="10">
        <v>2</v>
      </c>
      <c r="E14" s="68">
        <f t="shared" si="1"/>
        <v>694.76616000000001</v>
      </c>
      <c r="F14" s="68">
        <f t="shared" si="2"/>
        <v>31000</v>
      </c>
      <c r="H14">
        <v>2</v>
      </c>
      <c r="I14" s="13">
        <v>1900</v>
      </c>
      <c r="J14">
        <v>0.96</v>
      </c>
      <c r="K14">
        <v>0.99</v>
      </c>
      <c r="L14">
        <v>0.95</v>
      </c>
      <c r="M14">
        <v>0.9</v>
      </c>
      <c r="N14">
        <f t="shared" si="6"/>
        <v>0.45</v>
      </c>
      <c r="P14" s="150">
        <f t="shared" ref="P14:P15" si="7">E14/E17-1</f>
        <v>-5.2631578947368363E-2</v>
      </c>
    </row>
    <row r="15" spans="2:16" x14ac:dyDescent="0.2">
      <c r="B15" s="6" t="str">
        <f t="shared" ref="B15:B21" si="8">B14</f>
        <v>3  Minor Arterial</v>
      </c>
      <c r="C15" s="2" t="str">
        <f>$C$4</f>
        <v>1 High Friction</v>
      </c>
      <c r="D15" s="11">
        <v>3</v>
      </c>
      <c r="E15" s="69">
        <f t="shared" si="1"/>
        <v>611.28588000000002</v>
      </c>
      <c r="F15" s="69">
        <f t="shared" si="2"/>
        <v>41000</v>
      </c>
      <c r="H15">
        <v>3</v>
      </c>
      <c r="I15" s="13">
        <v>1900</v>
      </c>
      <c r="J15">
        <v>0.96</v>
      </c>
      <c r="K15">
        <v>0.99</v>
      </c>
      <c r="L15">
        <v>0.91</v>
      </c>
      <c r="M15">
        <v>0.93</v>
      </c>
      <c r="N15">
        <f t="shared" si="6"/>
        <v>0.4</v>
      </c>
      <c r="P15" s="150">
        <f t="shared" si="7"/>
        <v>-4.1237104670561298E-2</v>
      </c>
    </row>
    <row r="16" spans="2:16" x14ac:dyDescent="0.2">
      <c r="B16" s="6" t="str">
        <f t="shared" si="8"/>
        <v>3  Minor Arterial</v>
      </c>
      <c r="C16" s="3" t="str">
        <f>$C$7</f>
        <v>2 Med. Friction</v>
      </c>
      <c r="D16" s="9">
        <v>1</v>
      </c>
      <c r="E16" s="67">
        <f t="shared" si="1"/>
        <v>731.33280000000002</v>
      </c>
      <c r="F16" s="67">
        <f t="shared" si="2"/>
        <v>16000</v>
      </c>
      <c r="H16">
        <v>1</v>
      </c>
      <c r="I16" s="13">
        <v>1900</v>
      </c>
      <c r="J16">
        <v>0.96</v>
      </c>
      <c r="K16">
        <v>0.99</v>
      </c>
      <c r="L16">
        <v>1</v>
      </c>
      <c r="M16">
        <v>0.9</v>
      </c>
      <c r="N16">
        <f t="shared" si="6"/>
        <v>0.45</v>
      </c>
    </row>
    <row r="17" spans="2:16" x14ac:dyDescent="0.2">
      <c r="B17" s="6" t="str">
        <f t="shared" si="8"/>
        <v>3  Minor Arterial</v>
      </c>
      <c r="C17" s="3" t="str">
        <f>$C$7</f>
        <v>2 Med. Friction</v>
      </c>
      <c r="D17" s="10">
        <v>2</v>
      </c>
      <c r="E17" s="68">
        <f t="shared" si="1"/>
        <v>733.36428000000001</v>
      </c>
      <c r="F17" s="68">
        <f t="shared" si="2"/>
        <v>33000</v>
      </c>
      <c r="H17">
        <v>2</v>
      </c>
      <c r="I17" s="13">
        <v>1900</v>
      </c>
      <c r="J17">
        <v>0.96</v>
      </c>
      <c r="K17">
        <v>0.99</v>
      </c>
      <c r="L17">
        <v>0.95</v>
      </c>
      <c r="M17">
        <v>0.95</v>
      </c>
      <c r="N17">
        <f t="shared" si="6"/>
        <v>0.45</v>
      </c>
    </row>
    <row r="18" spans="2:16" x14ac:dyDescent="0.2">
      <c r="B18" s="6" t="str">
        <f t="shared" si="8"/>
        <v>3  Minor Arterial</v>
      </c>
      <c r="C18" s="3" t="str">
        <f>$C$7</f>
        <v>2 Med. Friction</v>
      </c>
      <c r="D18" s="11">
        <v>3</v>
      </c>
      <c r="E18" s="69">
        <f t="shared" si="1"/>
        <v>637.57773999999995</v>
      </c>
      <c r="F18" s="69">
        <f t="shared" si="2"/>
        <v>43000</v>
      </c>
      <c r="H18">
        <v>3</v>
      </c>
      <c r="I18" s="13">
        <v>1900</v>
      </c>
      <c r="J18">
        <v>0.96</v>
      </c>
      <c r="K18">
        <v>0.99</v>
      </c>
      <c r="L18">
        <v>0.91</v>
      </c>
      <c r="M18">
        <v>0.97</v>
      </c>
      <c r="N18">
        <f t="shared" si="6"/>
        <v>0.4</v>
      </c>
    </row>
    <row r="19" spans="2:16" x14ac:dyDescent="0.2">
      <c r="B19" s="6" t="str">
        <f t="shared" si="8"/>
        <v>3  Minor Arterial</v>
      </c>
      <c r="C19" s="4" t="str">
        <f>$C$10</f>
        <v>3 Low Friction</v>
      </c>
      <c r="D19" s="9">
        <v>1</v>
      </c>
      <c r="E19" s="67">
        <f t="shared" si="1"/>
        <v>812.59199999999998</v>
      </c>
      <c r="F19" s="67">
        <f t="shared" si="2"/>
        <v>18000</v>
      </c>
      <c r="H19">
        <v>1</v>
      </c>
      <c r="I19" s="13">
        <v>1900</v>
      </c>
      <c r="J19">
        <v>0.96</v>
      </c>
      <c r="K19">
        <v>0.99</v>
      </c>
      <c r="L19">
        <v>1</v>
      </c>
      <c r="M19">
        <v>1</v>
      </c>
      <c r="N19">
        <f t="shared" si="6"/>
        <v>0.45</v>
      </c>
      <c r="P19" s="150">
        <f>E19/E16-1</f>
        <v>0.11111111111111116</v>
      </c>
    </row>
    <row r="20" spans="2:16" x14ac:dyDescent="0.2">
      <c r="B20" s="6" t="str">
        <f t="shared" si="8"/>
        <v>3  Minor Arterial</v>
      </c>
      <c r="C20" s="4" t="str">
        <f>$C$10</f>
        <v>3 Low Friction</v>
      </c>
      <c r="D20" s="10">
        <v>2</v>
      </c>
      <c r="E20" s="68">
        <f t="shared" si="1"/>
        <v>686.18880000000001</v>
      </c>
      <c r="F20" s="68">
        <f t="shared" si="2"/>
        <v>30000</v>
      </c>
      <c r="H20">
        <v>2</v>
      </c>
      <c r="I20" s="13">
        <v>1900</v>
      </c>
      <c r="J20">
        <v>0.96</v>
      </c>
      <c r="K20">
        <v>0.99</v>
      </c>
      <c r="L20">
        <v>0.95</v>
      </c>
      <c r="M20">
        <v>1</v>
      </c>
      <c r="N20">
        <f t="shared" si="6"/>
        <v>0.4</v>
      </c>
      <c r="P20" s="150">
        <f>E20/E17-1</f>
        <v>-6.43274853801169E-2</v>
      </c>
    </row>
    <row r="21" spans="2:16" x14ac:dyDescent="0.2">
      <c r="B21" s="6" t="str">
        <f t="shared" si="8"/>
        <v>3  Minor Arterial</v>
      </c>
      <c r="C21" s="18" t="str">
        <f>$C$10</f>
        <v>3 Low Friction</v>
      </c>
      <c r="D21" s="19">
        <v>3</v>
      </c>
      <c r="E21" s="70">
        <f t="shared" si="1"/>
        <v>657.29664000000002</v>
      </c>
      <c r="F21" s="70">
        <f t="shared" si="2"/>
        <v>44000</v>
      </c>
      <c r="H21">
        <v>3</v>
      </c>
      <c r="I21" s="13">
        <v>1900</v>
      </c>
      <c r="J21">
        <v>0.96</v>
      </c>
      <c r="K21">
        <v>0.99</v>
      </c>
      <c r="L21">
        <v>0.91</v>
      </c>
      <c r="M21">
        <v>1</v>
      </c>
      <c r="N21">
        <f t="shared" si="6"/>
        <v>0.4</v>
      </c>
      <c r="P21" s="151">
        <f t="shared" ref="P21" si="9">E21/E18-1</f>
        <v>3.0927836345102211E-2</v>
      </c>
    </row>
    <row r="22" spans="2:16" x14ac:dyDescent="0.2">
      <c r="B22" s="7" t="s">
        <v>133</v>
      </c>
      <c r="C22" s="2" t="str">
        <f>$C$4</f>
        <v>1 High Friction</v>
      </c>
      <c r="D22" s="9">
        <v>1</v>
      </c>
      <c r="E22" s="67">
        <f t="shared" si="1"/>
        <v>527.87699999999995</v>
      </c>
      <c r="F22" s="67">
        <f t="shared" si="2"/>
        <v>12000</v>
      </c>
      <c r="H22">
        <v>1</v>
      </c>
      <c r="I22" s="13">
        <v>1900</v>
      </c>
      <c r="J22">
        <v>0.98</v>
      </c>
      <c r="K22">
        <v>1</v>
      </c>
      <c r="L22">
        <v>1</v>
      </c>
      <c r="M22">
        <v>0.81</v>
      </c>
      <c r="N22">
        <f t="shared" ref="N22:N27" si="10">IF((I22*H22*J22*K22*L22*M22*0.35*0.1)&lt;150,0.35,0.3)</f>
        <v>0.35</v>
      </c>
      <c r="P22" s="150">
        <f>E22/E24-1</f>
        <v>-0.10000000000000009</v>
      </c>
    </row>
    <row r="23" spans="2:16" x14ac:dyDescent="0.2">
      <c r="B23" s="7" t="str">
        <f>B22</f>
        <v>4,5,6  Collectors</v>
      </c>
      <c r="C23" s="2" t="str">
        <f>$C$4</f>
        <v>1 High Friction</v>
      </c>
      <c r="D23" s="10">
        <v>2</v>
      </c>
      <c r="E23" s="68">
        <f t="shared" si="1"/>
        <v>557.20349999999996</v>
      </c>
      <c r="F23" s="68">
        <f t="shared" si="2"/>
        <v>25000</v>
      </c>
      <c r="H23">
        <v>2</v>
      </c>
      <c r="I23" s="13">
        <v>1900</v>
      </c>
      <c r="J23">
        <v>0.98</v>
      </c>
      <c r="K23">
        <v>1</v>
      </c>
      <c r="L23">
        <v>0.95</v>
      </c>
      <c r="M23">
        <v>0.9</v>
      </c>
      <c r="N23">
        <f t="shared" si="10"/>
        <v>0.35</v>
      </c>
      <c r="P23" s="150">
        <f>E23/E25-1</f>
        <v>-5.2631578947368585E-2</v>
      </c>
    </row>
    <row r="24" spans="2:16" x14ac:dyDescent="0.2">
      <c r="B24" s="7" t="str">
        <f>B23</f>
        <v>4,5,6  Collectors</v>
      </c>
      <c r="C24" s="3" t="str">
        <f>$C$7</f>
        <v>2 Med. Friction</v>
      </c>
      <c r="D24" s="9">
        <v>1</v>
      </c>
      <c r="E24" s="67">
        <f t="shared" si="1"/>
        <v>586.53</v>
      </c>
      <c r="F24" s="67">
        <f t="shared" si="2"/>
        <v>13000</v>
      </c>
      <c r="H24">
        <v>1</v>
      </c>
      <c r="I24" s="13">
        <v>1900</v>
      </c>
      <c r="J24">
        <v>0.98</v>
      </c>
      <c r="K24">
        <v>1</v>
      </c>
      <c r="L24">
        <v>1</v>
      </c>
      <c r="M24">
        <v>0.9</v>
      </c>
      <c r="N24">
        <f t="shared" si="10"/>
        <v>0.35</v>
      </c>
    </row>
    <row r="25" spans="2:16" x14ac:dyDescent="0.2">
      <c r="B25" s="7" t="str">
        <f>B24</f>
        <v>4,5,6  Collectors</v>
      </c>
      <c r="C25" s="3" t="str">
        <f>$C$7</f>
        <v>2 Med. Friction</v>
      </c>
      <c r="D25" s="10">
        <v>2</v>
      </c>
      <c r="E25" s="68">
        <f t="shared" si="1"/>
        <v>588.15925000000004</v>
      </c>
      <c r="F25" s="68">
        <f t="shared" si="2"/>
        <v>26000</v>
      </c>
      <c r="H25">
        <v>2</v>
      </c>
      <c r="I25" s="13">
        <v>1900</v>
      </c>
      <c r="J25">
        <v>0.98</v>
      </c>
      <c r="K25">
        <v>1</v>
      </c>
      <c r="L25">
        <v>0.95</v>
      </c>
      <c r="M25">
        <v>0.95</v>
      </c>
      <c r="N25">
        <f t="shared" si="10"/>
        <v>0.35</v>
      </c>
    </row>
    <row r="26" spans="2:16" x14ac:dyDescent="0.2">
      <c r="B26" s="7" t="str">
        <f>B25</f>
        <v>4,5,6  Collectors</v>
      </c>
      <c r="C26" s="4" t="str">
        <f>$C$10</f>
        <v>3 Low Friction</v>
      </c>
      <c r="D26" s="9">
        <v>1</v>
      </c>
      <c r="E26" s="67">
        <f t="shared" si="1"/>
        <v>651.70000000000005</v>
      </c>
      <c r="F26" s="67">
        <f t="shared" si="2"/>
        <v>14000</v>
      </c>
      <c r="H26">
        <v>1</v>
      </c>
      <c r="I26" s="13">
        <v>1900</v>
      </c>
      <c r="J26">
        <v>0.98</v>
      </c>
      <c r="K26">
        <v>1</v>
      </c>
      <c r="L26">
        <v>1</v>
      </c>
      <c r="M26">
        <v>1</v>
      </c>
      <c r="N26">
        <f t="shared" si="10"/>
        <v>0.35</v>
      </c>
      <c r="P26" s="150">
        <f>E26/E24-1</f>
        <v>0.11111111111111116</v>
      </c>
    </row>
    <row r="27" spans="2:16" x14ac:dyDescent="0.2">
      <c r="B27" s="7" t="str">
        <f>B26</f>
        <v>4,5,6  Collectors</v>
      </c>
      <c r="C27" s="4" t="str">
        <f>$C$10</f>
        <v>3 Low Friction</v>
      </c>
      <c r="D27" s="10">
        <v>2</v>
      </c>
      <c r="E27" s="68">
        <f t="shared" si="1"/>
        <v>619.11500000000001</v>
      </c>
      <c r="F27" s="68">
        <f t="shared" si="2"/>
        <v>28000</v>
      </c>
      <c r="H27">
        <v>2</v>
      </c>
      <c r="I27" s="13">
        <v>1900</v>
      </c>
      <c r="J27">
        <v>0.98</v>
      </c>
      <c r="K27">
        <v>1</v>
      </c>
      <c r="L27">
        <v>0.95</v>
      </c>
      <c r="M27">
        <v>1</v>
      </c>
      <c r="N27">
        <f t="shared" si="10"/>
        <v>0.35</v>
      </c>
      <c r="P27" s="150">
        <f>E27/E25-1</f>
        <v>5.2631578947368363E-2</v>
      </c>
    </row>
    <row r="28" spans="2:16" x14ac:dyDescent="0.2">
      <c r="B28" t="s">
        <v>208</v>
      </c>
      <c r="C28"/>
      <c r="D28" t="s">
        <v>6</v>
      </c>
      <c r="E28" s="49">
        <f t="shared" si="1"/>
        <v>1094.4000000000001</v>
      </c>
      <c r="I28" s="13">
        <v>1900</v>
      </c>
      <c r="J28">
        <v>0.96</v>
      </c>
      <c r="K28">
        <v>1</v>
      </c>
      <c r="L28">
        <v>1</v>
      </c>
      <c r="M28">
        <v>1</v>
      </c>
      <c r="N28">
        <v>0.6</v>
      </c>
    </row>
    <row r="29" spans="2:16" x14ac:dyDescent="0.2">
      <c r="B29" t="s">
        <v>209</v>
      </c>
      <c r="C29"/>
      <c r="D29" t="s">
        <v>6</v>
      </c>
      <c r="E29" s="49">
        <f t="shared" si="1"/>
        <v>1550.4</v>
      </c>
      <c r="H29">
        <v>2</v>
      </c>
      <c r="I29" s="13">
        <v>1900</v>
      </c>
      <c r="J29">
        <v>0.96</v>
      </c>
      <c r="K29">
        <v>1</v>
      </c>
      <c r="L29">
        <v>1</v>
      </c>
      <c r="M29">
        <v>1</v>
      </c>
      <c r="N29">
        <v>0.85</v>
      </c>
    </row>
    <row r="30" spans="2:16" x14ac:dyDescent="0.2">
      <c r="B30" t="s">
        <v>183</v>
      </c>
      <c r="C30" t="s">
        <v>6</v>
      </c>
      <c r="D30" t="s">
        <v>6</v>
      </c>
      <c r="E30" s="49">
        <f t="shared" si="1"/>
        <v>1185.5999999999999</v>
      </c>
      <c r="H30">
        <v>2</v>
      </c>
      <c r="I30" s="13">
        <v>1900</v>
      </c>
      <c r="J30">
        <v>0.96</v>
      </c>
      <c r="K30">
        <v>1</v>
      </c>
      <c r="L30">
        <v>1</v>
      </c>
      <c r="M30">
        <v>1</v>
      </c>
      <c r="N30" s="2">
        <v>0.65</v>
      </c>
    </row>
    <row r="31" spans="2:16" x14ac:dyDescent="0.2">
      <c r="B31" t="s">
        <v>181</v>
      </c>
      <c r="C31" t="s">
        <v>6</v>
      </c>
      <c r="D31" t="s">
        <v>6</v>
      </c>
      <c r="E31" s="49">
        <f t="shared" si="1"/>
        <v>993.6</v>
      </c>
      <c r="H31">
        <v>1</v>
      </c>
      <c r="I31" s="13">
        <v>1800</v>
      </c>
      <c r="J31">
        <v>0.92</v>
      </c>
      <c r="K31">
        <v>1</v>
      </c>
      <c r="L31">
        <v>1</v>
      </c>
      <c r="M31">
        <v>1</v>
      </c>
      <c r="N31">
        <v>0.6</v>
      </c>
    </row>
    <row r="32" spans="2:16" x14ac:dyDescent="0.2">
      <c r="B32" s="3" t="s">
        <v>134</v>
      </c>
      <c r="C32" t="s">
        <v>6</v>
      </c>
      <c r="D32" t="s">
        <v>6</v>
      </c>
      <c r="E32" s="49">
        <f t="shared" si="1"/>
        <v>2112</v>
      </c>
      <c r="I32" s="13">
        <v>2200</v>
      </c>
      <c r="J32">
        <v>0.96</v>
      </c>
      <c r="K32">
        <v>1</v>
      </c>
      <c r="L32">
        <v>1</v>
      </c>
      <c r="M32">
        <v>1</v>
      </c>
      <c r="N32">
        <v>1</v>
      </c>
    </row>
    <row r="33" spans="2:14" x14ac:dyDescent="0.2">
      <c r="B33" s="3" t="s">
        <v>135</v>
      </c>
      <c r="C33" t="s">
        <v>6</v>
      </c>
      <c r="D33" t="s">
        <v>6</v>
      </c>
      <c r="E33" s="49">
        <f t="shared" si="1"/>
        <v>2304</v>
      </c>
      <c r="I33" s="13">
        <v>2400</v>
      </c>
      <c r="J33">
        <v>0.96</v>
      </c>
      <c r="K33">
        <v>1</v>
      </c>
      <c r="L33">
        <v>1</v>
      </c>
      <c r="M33">
        <v>1</v>
      </c>
      <c r="N33">
        <v>1</v>
      </c>
    </row>
    <row r="34" spans="2:14" x14ac:dyDescent="0.2">
      <c r="B34" s="3" t="s">
        <v>136</v>
      </c>
      <c r="C34" t="s">
        <v>6</v>
      </c>
      <c r="D34" t="s">
        <v>6</v>
      </c>
      <c r="E34" s="49">
        <f t="shared" si="1"/>
        <v>2112</v>
      </c>
      <c r="I34" s="13">
        <v>2200</v>
      </c>
      <c r="J34">
        <v>0.96</v>
      </c>
      <c r="K34">
        <v>1</v>
      </c>
      <c r="L34">
        <v>1</v>
      </c>
      <c r="M34">
        <v>1</v>
      </c>
      <c r="N34">
        <v>1</v>
      </c>
    </row>
    <row r="35" spans="2:14" x14ac:dyDescent="0.2">
      <c r="B35" s="3" t="s">
        <v>137</v>
      </c>
      <c r="C35" t="s">
        <v>6</v>
      </c>
      <c r="D35" t="s">
        <v>6</v>
      </c>
      <c r="E35" s="49">
        <f>E33</f>
        <v>2304</v>
      </c>
      <c r="I35" s="13">
        <v>2200</v>
      </c>
      <c r="J35">
        <v>0.96</v>
      </c>
      <c r="K35">
        <v>1</v>
      </c>
      <c r="L35">
        <v>1</v>
      </c>
      <c r="M35">
        <v>1</v>
      </c>
      <c r="N35">
        <v>1</v>
      </c>
    </row>
    <row r="36" spans="2:14" x14ac:dyDescent="0.2">
      <c r="B36" s="3" t="s">
        <v>138</v>
      </c>
      <c r="C36" t="s">
        <v>6</v>
      </c>
      <c r="D36" t="s">
        <v>6</v>
      </c>
      <c r="E36" s="49">
        <f>ROUND(I36*J36*K36*L36*M36*N36,5)</f>
        <v>2024</v>
      </c>
      <c r="I36" s="13">
        <v>2200</v>
      </c>
      <c r="J36">
        <v>0.92</v>
      </c>
      <c r="K36">
        <v>1</v>
      </c>
      <c r="L36">
        <v>1</v>
      </c>
      <c r="M36">
        <v>1</v>
      </c>
      <c r="N36">
        <v>1</v>
      </c>
    </row>
    <row r="37" spans="2:14" x14ac:dyDescent="0.2">
      <c r="B37" s="3" t="s">
        <v>139</v>
      </c>
      <c r="C37" t="s">
        <v>6</v>
      </c>
      <c r="D37" s="9">
        <v>1</v>
      </c>
      <c r="E37" s="49">
        <f>ROUND(I37*J37*K37*L37*M37*N37,5)</f>
        <v>912</v>
      </c>
      <c r="H37">
        <v>1</v>
      </c>
      <c r="I37" s="13">
        <v>1600</v>
      </c>
      <c r="J37">
        <v>0.95</v>
      </c>
      <c r="K37">
        <v>1</v>
      </c>
      <c r="L37">
        <v>1</v>
      </c>
      <c r="M37">
        <v>1</v>
      </c>
      <c r="N37">
        <v>0.6</v>
      </c>
    </row>
    <row r="38" spans="2:14" x14ac:dyDescent="0.2">
      <c r="B38" s="3" t="s">
        <v>139</v>
      </c>
      <c r="C38" t="s">
        <v>6</v>
      </c>
      <c r="D38" s="10">
        <v>2</v>
      </c>
      <c r="E38" s="49">
        <f>ROUND(I38*J38*K38*L38*M38*N38,5)</f>
        <v>638.4</v>
      </c>
      <c r="H38">
        <v>2</v>
      </c>
      <c r="I38" s="13">
        <v>1600</v>
      </c>
      <c r="J38">
        <v>0.95</v>
      </c>
      <c r="K38">
        <v>1</v>
      </c>
      <c r="L38">
        <v>0.7</v>
      </c>
      <c r="M38">
        <v>1</v>
      </c>
      <c r="N38">
        <v>0.6</v>
      </c>
    </row>
    <row r="39" spans="2:14" x14ac:dyDescent="0.2">
      <c r="B39" s="3" t="s">
        <v>155</v>
      </c>
      <c r="C39" t="s">
        <v>6</v>
      </c>
      <c r="D39" t="s">
        <v>6</v>
      </c>
      <c r="E39" s="49">
        <f>ROUND(I39*J39*K39*L39*M39*N39,5)</f>
        <v>1368</v>
      </c>
      <c r="I39" s="13">
        <v>1600</v>
      </c>
      <c r="J39">
        <v>0.95</v>
      </c>
      <c r="K39">
        <v>1</v>
      </c>
      <c r="L39">
        <v>1</v>
      </c>
      <c r="M39">
        <v>1</v>
      </c>
      <c r="N39">
        <v>0.9</v>
      </c>
    </row>
    <row r="40" spans="2:14" x14ac:dyDescent="0.2">
      <c r="B40" s="3" t="s">
        <v>217</v>
      </c>
      <c r="C40" t="s">
        <v>6</v>
      </c>
      <c r="D40" t="s">
        <v>6</v>
      </c>
      <c r="E40" s="49">
        <f>E35</f>
        <v>2304</v>
      </c>
    </row>
    <row r="41" spans="2:14" x14ac:dyDescent="0.2">
      <c r="B41" s="22" t="s">
        <v>216</v>
      </c>
      <c r="C41" t="s">
        <v>6</v>
      </c>
      <c r="D41" t="s">
        <v>6</v>
      </c>
      <c r="E41" s="49">
        <f>E40</f>
        <v>2304</v>
      </c>
    </row>
    <row r="42" spans="2:14" x14ac:dyDescent="0.2">
      <c r="B42" s="3" t="s">
        <v>220</v>
      </c>
      <c r="C42" s="15" t="s">
        <v>221</v>
      </c>
    </row>
    <row r="43" spans="2:14" s="1" customFormat="1" ht="30" customHeight="1" x14ac:dyDescent="0.2">
      <c r="B43" s="65" t="s">
        <v>8</v>
      </c>
      <c r="C43" s="65"/>
      <c r="D43" s="65"/>
      <c r="E43" s="65"/>
      <c r="G43" s="65"/>
      <c r="I43" s="12"/>
    </row>
    <row r="44" spans="2:14" s="1" customFormat="1" ht="27.75" customHeight="1" x14ac:dyDescent="0.2">
      <c r="B44" s="66" t="s">
        <v>153</v>
      </c>
      <c r="C44" s="66"/>
      <c r="D44" s="66"/>
      <c r="E44" s="66"/>
      <c r="G44" s="66"/>
    </row>
    <row r="45" spans="2:14" s="1" customFormat="1" ht="36" customHeight="1" x14ac:dyDescent="0.2">
      <c r="B45" s="66" t="s">
        <v>152</v>
      </c>
      <c r="C45" s="66"/>
      <c r="D45" s="66"/>
      <c r="E45" s="66"/>
      <c r="G45" s="66"/>
    </row>
    <row r="46" spans="2:14" ht="15.75" customHeight="1" x14ac:dyDescent="0.2">
      <c r="B46" t="s">
        <v>167</v>
      </c>
    </row>
    <row r="53" spans="3:21" x14ac:dyDescent="0.2">
      <c r="C53" s="14" t="s">
        <v>225</v>
      </c>
    </row>
    <row r="56" spans="3:21" x14ac:dyDescent="0.2">
      <c r="C56" s="14">
        <v>4</v>
      </c>
      <c r="E56" s="8">
        <v>2200</v>
      </c>
      <c r="F56">
        <f>E56*C56</f>
        <v>8800</v>
      </c>
    </row>
    <row r="57" spans="3:21" x14ac:dyDescent="0.2">
      <c r="C57" s="14">
        <v>1</v>
      </c>
      <c r="E57" s="8">
        <v>2200</v>
      </c>
      <c r="F57">
        <f>E57*C57</f>
        <v>2200</v>
      </c>
    </row>
    <row r="58" spans="3:21" x14ac:dyDescent="0.2">
      <c r="E58" s="8">
        <v>2200</v>
      </c>
      <c r="F58">
        <f>E58*C58</f>
        <v>0</v>
      </c>
    </row>
    <row r="59" spans="3:21" x14ac:dyDescent="0.2">
      <c r="C59" s="14">
        <v>4.5</v>
      </c>
      <c r="E59" s="8">
        <v>2200</v>
      </c>
      <c r="F59">
        <f>E59*C59</f>
        <v>9900</v>
      </c>
      <c r="I59" s="13">
        <f>F59/5</f>
        <v>1980</v>
      </c>
      <c r="R59">
        <v>0.97</v>
      </c>
    </row>
    <row r="61" spans="3:21" x14ac:dyDescent="0.2">
      <c r="N61" s="71" t="s">
        <v>226</v>
      </c>
      <c r="O61" s="64" t="s">
        <v>227</v>
      </c>
      <c r="P61" s="72" t="s">
        <v>228</v>
      </c>
      <c r="Q61" s="64">
        <v>3</v>
      </c>
      <c r="R61">
        <v>4</v>
      </c>
      <c r="S61">
        <v>5</v>
      </c>
      <c r="T61">
        <v>6</v>
      </c>
    </row>
    <row r="62" spans="3:21" x14ac:dyDescent="0.2">
      <c r="N62" s="14">
        <v>2300</v>
      </c>
      <c r="O62">
        <v>0.95</v>
      </c>
      <c r="P62" s="8">
        <v>0.96</v>
      </c>
      <c r="Q62">
        <f>N62*O62*P62</f>
        <v>2097.6</v>
      </c>
      <c r="R62">
        <f>Q62*$R$59</f>
        <v>2034.6719999999998</v>
      </c>
      <c r="S62">
        <f>R62*$R$59</f>
        <v>1973.6318399999998</v>
      </c>
      <c r="T62">
        <f>S62*$R$59</f>
        <v>1914.4228847999998</v>
      </c>
    </row>
    <row r="63" spans="3:21" x14ac:dyDescent="0.2">
      <c r="N63" s="71" t="s">
        <v>235</v>
      </c>
      <c r="P63" s="8"/>
      <c r="Q63">
        <f>Q62*Q61</f>
        <v>6292.7999999999993</v>
      </c>
      <c r="R63">
        <f>R62*R61</f>
        <v>8138.6879999999992</v>
      </c>
      <c r="S63">
        <f>S62*S61</f>
        <v>9868.1591999999982</v>
      </c>
      <c r="T63">
        <f>T62*T61</f>
        <v>11486.537308799998</v>
      </c>
      <c r="U63" s="13"/>
    </row>
    <row r="64" spans="3:21" x14ac:dyDescent="0.2">
      <c r="N64" s="71" t="s">
        <v>229</v>
      </c>
      <c r="P64" s="8"/>
      <c r="Q64" s="13">
        <f>2200*0.3</f>
        <v>660</v>
      </c>
      <c r="R64" s="13">
        <f>2200*0.3</f>
        <v>660</v>
      </c>
      <c r="S64" s="13">
        <f>2200*0.3</f>
        <v>660</v>
      </c>
      <c r="T64" s="13">
        <f>2200*0.3</f>
        <v>660</v>
      </c>
      <c r="U64" s="13"/>
    </row>
    <row r="65" spans="13:21" x14ac:dyDescent="0.2">
      <c r="N65" s="71" t="s">
        <v>236</v>
      </c>
      <c r="P65" s="8"/>
      <c r="Q65" s="13">
        <f>Q63+Q64</f>
        <v>6952.7999999999993</v>
      </c>
      <c r="R65" s="13">
        <f>R63+R64</f>
        <v>8798.6879999999983</v>
      </c>
      <c r="S65" s="13">
        <f>S63+S64</f>
        <v>10528.159199999998</v>
      </c>
      <c r="T65" s="13">
        <f>T63+T64</f>
        <v>12146.537308799998</v>
      </c>
      <c r="U65" s="13"/>
    </row>
    <row r="66" spans="13:21" x14ac:dyDescent="0.2">
      <c r="N66" s="71" t="s">
        <v>237</v>
      </c>
      <c r="P66" s="8"/>
      <c r="Q66" s="13">
        <f>Q65/(Q61+1)</f>
        <v>1738.1999999999998</v>
      </c>
      <c r="R66" s="13">
        <f>R65/(R61+1)</f>
        <v>1759.7375999999997</v>
      </c>
      <c r="S66" s="13">
        <f>S65/(S61+1)</f>
        <v>1754.6931999999997</v>
      </c>
      <c r="T66" s="13">
        <f>T65/(T61+1)</f>
        <v>1735.2196155428569</v>
      </c>
      <c r="U66" s="13"/>
    </row>
    <row r="67" spans="13:21" x14ac:dyDescent="0.2">
      <c r="N67" s="71" t="s">
        <v>238</v>
      </c>
      <c r="P67" s="8"/>
      <c r="Q67" s="13">
        <f>Q65/Q61</f>
        <v>2317.6</v>
      </c>
      <c r="R67" s="13">
        <f>R65/R61</f>
        <v>2199.6719999999996</v>
      </c>
      <c r="S67" s="13">
        <f>S65/S61</f>
        <v>2105.6318399999996</v>
      </c>
      <c r="T67" s="13">
        <f>T65/T61</f>
        <v>2024.4228847999996</v>
      </c>
      <c r="U67" s="13"/>
    </row>
    <row r="68" spans="13:21" x14ac:dyDescent="0.2">
      <c r="N68" s="71" t="s">
        <v>230</v>
      </c>
      <c r="P68" s="8"/>
      <c r="Q68" s="13">
        <f>Q64/Q61</f>
        <v>220</v>
      </c>
      <c r="R68" s="13">
        <f>R64/R61</f>
        <v>165</v>
      </c>
      <c r="S68" s="13">
        <f>S64/S61</f>
        <v>132</v>
      </c>
      <c r="T68" s="13">
        <f>T64/T61</f>
        <v>110</v>
      </c>
      <c r="U68" s="13"/>
    </row>
    <row r="69" spans="13:21" x14ac:dyDescent="0.2">
      <c r="N69" s="14"/>
      <c r="P69" s="8"/>
      <c r="Q69" s="13">
        <f>Q62+Q68</f>
        <v>2317.6</v>
      </c>
      <c r="R69" s="13">
        <f>R62+R68</f>
        <v>2199.6719999999996</v>
      </c>
      <c r="S69" s="13">
        <f>S62+S68</f>
        <v>2105.63184</v>
      </c>
      <c r="T69" s="13">
        <f>T62+T68</f>
        <v>2024.4228847999998</v>
      </c>
      <c r="U69" s="13"/>
    </row>
    <row r="70" spans="13:21" x14ac:dyDescent="0.2">
      <c r="N70" s="14"/>
      <c r="P70" s="8"/>
      <c r="Q70" s="13">
        <f>Q66+Q68</f>
        <v>1958.1999999999998</v>
      </c>
      <c r="R70" s="13">
        <f>R66+R68</f>
        <v>1924.7375999999997</v>
      </c>
      <c r="S70" s="13">
        <f>S66+S68</f>
        <v>1886.6931999999997</v>
      </c>
      <c r="T70" s="13">
        <f>T66+T68</f>
        <v>1845.2196155428569</v>
      </c>
    </row>
    <row r="71" spans="13:21" x14ac:dyDescent="0.2">
      <c r="Q71" s="13">
        <f>Q67-Q66</f>
        <v>579.40000000000009</v>
      </c>
    </row>
    <row r="72" spans="13:21" x14ac:dyDescent="0.2">
      <c r="Q72" s="13">
        <f>Q66*(Q61+1)</f>
        <v>6952.7999999999993</v>
      </c>
    </row>
    <row r="73" spans="13:21" x14ac:dyDescent="0.2">
      <c r="Q73" s="13">
        <f>Q67*Q61</f>
        <v>6952.7999999999993</v>
      </c>
    </row>
    <row r="74" spans="13:21" x14ac:dyDescent="0.2">
      <c r="Q74" s="13"/>
    </row>
    <row r="75" spans="13:21" x14ac:dyDescent="0.2">
      <c r="Q75" s="13"/>
    </row>
    <row r="76" spans="13:21" x14ac:dyDescent="0.2">
      <c r="Q76">
        <f>Q71*3</f>
        <v>1738.2000000000003</v>
      </c>
    </row>
    <row r="77" spans="13:21" x14ac:dyDescent="0.2">
      <c r="M77" s="64" t="s">
        <v>231</v>
      </c>
    </row>
    <row r="79" spans="13:21" x14ac:dyDescent="0.2">
      <c r="M79" s="64" t="s">
        <v>232</v>
      </c>
    </row>
    <row r="80" spans="13:21" x14ac:dyDescent="0.2">
      <c r="M80" s="64" t="s">
        <v>233</v>
      </c>
    </row>
    <row r="81" spans="13:13" x14ac:dyDescent="0.2">
      <c r="M81" s="64" t="s">
        <v>234</v>
      </c>
    </row>
  </sheetData>
  <phoneticPr fontId="0" type="noConversion"/>
  <printOptions horizontalCentered="1"/>
  <pageMargins left="0.75" right="0.75" top="1" bottom="1" header="0.5" footer="0.5"/>
  <pageSetup scale="76" orientation="portrait" r:id="rId1"/>
  <headerFooter alignWithMargins="0">
    <oddFooter>&amp;L&amp;F</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14999847407452621"/>
  </sheetPr>
  <dimension ref="A1:AB73"/>
  <sheetViews>
    <sheetView topLeftCell="A34" zoomScale="85" workbookViewId="0">
      <selection activeCell="D33" sqref="D33"/>
    </sheetView>
  </sheetViews>
  <sheetFormatPr defaultRowHeight="12.75" outlineLevelCol="1" x14ac:dyDescent="0.2"/>
  <cols>
    <col min="1" max="1" width="20.7109375" customWidth="1"/>
    <col min="2" max="3" width="10.5703125" customWidth="1"/>
    <col min="4" max="5" width="9.140625" outlineLevel="1"/>
    <col min="7" max="7" width="9.5703125" bestFit="1" customWidth="1"/>
  </cols>
  <sheetData>
    <row r="1" spans="1:28" x14ac:dyDescent="0.2">
      <c r="B1" t="s">
        <v>126</v>
      </c>
      <c r="C1" t="s">
        <v>126</v>
      </c>
      <c r="F1" t="s">
        <v>127</v>
      </c>
    </row>
    <row r="2" spans="1:28" x14ac:dyDescent="0.2">
      <c r="B2" t="s">
        <v>125</v>
      </c>
      <c r="C2" t="s">
        <v>125</v>
      </c>
      <c r="F2" t="s">
        <v>128</v>
      </c>
    </row>
    <row r="5" spans="1:28" x14ac:dyDescent="0.2">
      <c r="A5" t="s">
        <v>210</v>
      </c>
    </row>
    <row r="6" spans="1:28" x14ac:dyDescent="0.2">
      <c r="A6" s="61" t="s">
        <v>248</v>
      </c>
      <c r="B6" s="58" t="s">
        <v>206</v>
      </c>
      <c r="C6" s="58" t="s">
        <v>213</v>
      </c>
      <c r="D6" s="58" t="s">
        <v>214</v>
      </c>
      <c r="E6" s="58" t="s">
        <v>1</v>
      </c>
      <c r="F6" s="58" t="s">
        <v>207</v>
      </c>
    </row>
    <row r="7" spans="1:28" x14ac:dyDescent="0.2">
      <c r="A7" t="s">
        <v>173</v>
      </c>
      <c r="B7" s="23">
        <v>67</v>
      </c>
      <c r="C7" s="23">
        <v>50</v>
      </c>
      <c r="D7" s="23">
        <v>35</v>
      </c>
      <c r="E7" s="23">
        <v>20</v>
      </c>
      <c r="F7" s="23">
        <v>23</v>
      </c>
    </row>
    <row r="8" spans="1:28" x14ac:dyDescent="0.2">
      <c r="A8" t="s">
        <v>174</v>
      </c>
      <c r="B8" s="23">
        <v>1.2</v>
      </c>
      <c r="C8" s="23">
        <v>2</v>
      </c>
      <c r="D8" s="23">
        <v>0.3</v>
      </c>
      <c r="E8" s="23">
        <v>0.3</v>
      </c>
      <c r="F8" s="62">
        <v>2</v>
      </c>
    </row>
    <row r="9" spans="1:28" x14ac:dyDescent="0.2">
      <c r="A9" t="s">
        <v>175</v>
      </c>
      <c r="B9" s="40">
        <v>7</v>
      </c>
      <c r="C9" s="40">
        <v>5.5</v>
      </c>
      <c r="D9" s="40">
        <v>6</v>
      </c>
      <c r="E9" s="40">
        <v>4</v>
      </c>
      <c r="F9" s="40">
        <v>2</v>
      </c>
      <c r="V9" s="61" t="s">
        <v>211</v>
      </c>
    </row>
    <row r="10" spans="1:28" s="1" customFormat="1" ht="38.25" x14ac:dyDescent="0.2">
      <c r="A10" s="55" t="s">
        <v>176</v>
      </c>
      <c r="B10" s="38" t="str">
        <f>CONCATENATE(B6, " (X=", B8, ", Y=", B9, ")")</f>
        <v>Fwy (X=1.2, Y=7)</v>
      </c>
      <c r="C10" s="38" t="str">
        <f>CONCATENATE(C6, " (X=", C8, ", Y=", C9, ")")</f>
        <v>Bng (X=2, Y=5.5)</v>
      </c>
      <c r="D10" s="38" t="str">
        <f>CONCATENATE(D6, " (X=", D8, ", Y=", D9, ")")</f>
        <v>Art (X=0.3, Y=6)</v>
      </c>
      <c r="E10" s="38" t="str">
        <f>CONCATENATE(E6, " (X=", E8, ", Y=", E9, ")")</f>
        <v>Coll (X=0.3, Y=4)</v>
      </c>
      <c r="F10" s="38" t="str">
        <f>CONCATENATE(F6, " (X=", F8, ", Y=", F9, ")")</f>
        <v>Ramp (X=2, Y=2)</v>
      </c>
      <c r="V10" s="1" t="str">
        <f>A10</f>
        <v>V/C</v>
      </c>
      <c r="W10" s="1" t="str">
        <f>B10</f>
        <v>Fwy (X=1.2, Y=7)</v>
      </c>
      <c r="X10" s="1" t="str">
        <f>B41</f>
        <v>Fwy (X=1.2, Y=7)</v>
      </c>
      <c r="Y10" s="1" t="str">
        <f>C10</f>
        <v>Bng (X=2, Y=5.5)</v>
      </c>
      <c r="Z10" s="1" t="str">
        <f>C41</f>
        <v>Bng (X=2.5, Y=9)</v>
      </c>
      <c r="AA10" s="1" t="str">
        <f>F10</f>
        <v>Ramp (X=2, Y=2)</v>
      </c>
      <c r="AB10" s="1" t="str">
        <f>F41</f>
        <v>Ramp (X=2, Y=8)</v>
      </c>
    </row>
    <row r="11" spans="1:28" x14ac:dyDescent="0.2">
      <c r="A11" s="23">
        <v>0.1</v>
      </c>
      <c r="B11" s="41">
        <f t="shared" ref="B11:F26" si="0">B$7/(1+B$8*($A11^B$9))</f>
        <v>66.999991960000969</v>
      </c>
      <c r="C11" s="41">
        <f t="shared" si="0"/>
        <v>49.999683774233972</v>
      </c>
      <c r="D11" s="41">
        <f t="shared" si="0"/>
        <v>34.999989500003153</v>
      </c>
      <c r="E11" s="41">
        <f t="shared" si="0"/>
        <v>19.999400017999459</v>
      </c>
      <c r="F11" s="41">
        <f t="shared" si="0"/>
        <v>22.549019607843135</v>
      </c>
      <c r="V11">
        <f t="shared" ref="V11:V24" si="1">A11</f>
        <v>0.1</v>
      </c>
      <c r="W11" s="60">
        <f t="shared" ref="W11:W24" si="2">B11</f>
        <v>66.999991960000969</v>
      </c>
      <c r="X11" s="60">
        <f t="shared" ref="X11:X24" si="3">B42</f>
        <v>66.999991960000969</v>
      </c>
      <c r="Y11" s="60">
        <f>C11</f>
        <v>49.999683774233972</v>
      </c>
      <c r="Z11" s="60">
        <f>C42</f>
        <v>66.999999832499995</v>
      </c>
      <c r="AA11" s="60">
        <f t="shared" ref="AA11:AA24" si="4">F11</f>
        <v>22.549019607843135</v>
      </c>
      <c r="AB11" s="60">
        <f t="shared" ref="AB11:AB24" si="5">F42</f>
        <v>22.999999540000008</v>
      </c>
    </row>
    <row r="12" spans="1:28" x14ac:dyDescent="0.2">
      <c r="A12" s="23">
        <v>0.5</v>
      </c>
      <c r="B12" s="41">
        <f t="shared" si="0"/>
        <v>66.377708978328172</v>
      </c>
      <c r="C12" s="41">
        <f t="shared" si="0"/>
        <v>47.883814383760324</v>
      </c>
      <c r="D12" s="41">
        <f t="shared" si="0"/>
        <v>34.836702954898911</v>
      </c>
      <c r="E12" s="41">
        <f t="shared" si="0"/>
        <v>19.631901840490798</v>
      </c>
      <c r="F12" s="41">
        <f t="shared" si="0"/>
        <v>15.333333333333334</v>
      </c>
      <c r="V12">
        <f t="shared" si="1"/>
        <v>0.5</v>
      </c>
      <c r="W12" s="60">
        <f t="shared" si="2"/>
        <v>66.377708978328172</v>
      </c>
      <c r="X12" s="60">
        <f t="shared" si="3"/>
        <v>66.377708978328172</v>
      </c>
      <c r="Y12" s="60">
        <f t="shared" ref="Y12:Y24" si="6">C12</f>
        <v>47.883814383760324</v>
      </c>
      <c r="Z12" s="60">
        <f t="shared" ref="Z12:Z24" si="7">C43</f>
        <v>66.674441205053455</v>
      </c>
      <c r="AA12" s="60">
        <f t="shared" si="4"/>
        <v>15.333333333333334</v>
      </c>
      <c r="AB12" s="60">
        <f t="shared" si="5"/>
        <v>22.821705426356591</v>
      </c>
    </row>
    <row r="13" spans="1:28" x14ac:dyDescent="0.2">
      <c r="A13" s="23">
        <f t="shared" ref="A13:A34" si="8">+A12+0.1</f>
        <v>0.6</v>
      </c>
      <c r="B13" s="41">
        <f t="shared" si="0"/>
        <v>64.822463077125036</v>
      </c>
      <c r="C13" s="41">
        <f t="shared" si="0"/>
        <v>44.624319164737067</v>
      </c>
      <c r="D13" s="41">
        <f t="shared" si="0"/>
        <v>34.516874214987666</v>
      </c>
      <c r="E13" s="41">
        <f t="shared" si="0"/>
        <v>19.251501617126134</v>
      </c>
      <c r="F13" s="41">
        <f t="shared" si="0"/>
        <v>13.372093023255815</v>
      </c>
      <c r="V13">
        <f t="shared" si="1"/>
        <v>0.6</v>
      </c>
      <c r="W13" s="60">
        <f t="shared" si="2"/>
        <v>64.822463077125036</v>
      </c>
      <c r="X13" s="60">
        <f t="shared" si="3"/>
        <v>64.822463077125036</v>
      </c>
      <c r="Y13" s="60">
        <f t="shared" si="6"/>
        <v>44.624319164737067</v>
      </c>
      <c r="Z13" s="60">
        <f t="shared" si="7"/>
        <v>65.353469016759206</v>
      </c>
      <c r="AA13" s="60">
        <f t="shared" si="4"/>
        <v>13.372093023255815</v>
      </c>
      <c r="AB13" s="60">
        <f t="shared" si="5"/>
        <v>22.252487324983221</v>
      </c>
    </row>
    <row r="14" spans="1:28" x14ac:dyDescent="0.2">
      <c r="A14" s="23">
        <f t="shared" si="8"/>
        <v>0.7</v>
      </c>
      <c r="B14" s="41">
        <f t="shared" si="0"/>
        <v>60.974213586445373</v>
      </c>
      <c r="C14" s="41">
        <f t="shared" si="0"/>
        <v>39.024850125858897</v>
      </c>
      <c r="D14" s="41">
        <f t="shared" si="0"/>
        <v>33.806799165493658</v>
      </c>
      <c r="E14" s="41">
        <f t="shared" si="0"/>
        <v>18.656194322920069</v>
      </c>
      <c r="F14" s="41">
        <f t="shared" si="0"/>
        <v>11.616161616161616</v>
      </c>
      <c r="V14">
        <f t="shared" si="1"/>
        <v>0.7</v>
      </c>
      <c r="W14" s="60">
        <f t="shared" si="2"/>
        <v>60.974213586445373</v>
      </c>
      <c r="X14" s="60">
        <f t="shared" si="3"/>
        <v>60.974213586445373</v>
      </c>
      <c r="Y14" s="60">
        <f t="shared" si="6"/>
        <v>39.024850125858897</v>
      </c>
      <c r="Z14" s="60">
        <f t="shared" si="7"/>
        <v>60.860180486724168</v>
      </c>
      <c r="AA14" s="60">
        <f t="shared" si="4"/>
        <v>11.616161616161616</v>
      </c>
      <c r="AB14" s="60">
        <f t="shared" si="5"/>
        <v>20.622327693772277</v>
      </c>
    </row>
    <row r="15" spans="1:28" x14ac:dyDescent="0.2">
      <c r="A15" s="23">
        <f t="shared" si="8"/>
        <v>0.79999999999999993</v>
      </c>
      <c r="B15" s="41">
        <f t="shared" si="0"/>
        <v>53.528988871594862</v>
      </c>
      <c r="C15" s="41">
        <f t="shared" si="0"/>
        <v>31.522436521227359</v>
      </c>
      <c r="D15" s="41">
        <f t="shared" si="0"/>
        <v>32.44817192561915</v>
      </c>
      <c r="E15" s="41">
        <f t="shared" si="0"/>
        <v>17.811342262752923</v>
      </c>
      <c r="F15" s="41">
        <f t="shared" si="0"/>
        <v>10.087719298245615</v>
      </c>
      <c r="V15">
        <f t="shared" si="1"/>
        <v>0.79999999999999993</v>
      </c>
      <c r="W15" s="60">
        <f t="shared" si="2"/>
        <v>53.528988871594862</v>
      </c>
      <c r="X15" s="60">
        <f t="shared" si="3"/>
        <v>53.528988871594862</v>
      </c>
      <c r="Y15" s="60">
        <f t="shared" si="6"/>
        <v>31.522436521227359</v>
      </c>
      <c r="Z15" s="60">
        <f t="shared" si="7"/>
        <v>50.166811386686156</v>
      </c>
      <c r="AA15" s="60">
        <f t="shared" si="4"/>
        <v>10.087719298245615</v>
      </c>
      <c r="AB15" s="60">
        <f t="shared" si="5"/>
        <v>17.221442714832559</v>
      </c>
    </row>
    <row r="16" spans="1:28" x14ac:dyDescent="0.2">
      <c r="A16" s="23">
        <f t="shared" si="8"/>
        <v>0.89999999999999991</v>
      </c>
      <c r="B16" s="41">
        <f t="shared" si="0"/>
        <v>42.567891402930215</v>
      </c>
      <c r="C16" s="41">
        <f t="shared" si="0"/>
        <v>23.58072340405554</v>
      </c>
      <c r="D16" s="41">
        <f t="shared" si="0"/>
        <v>30.187187298473571</v>
      </c>
      <c r="E16" s="41">
        <f t="shared" si="0"/>
        <v>16.710811059214763</v>
      </c>
      <c r="F16" s="41">
        <f t="shared" si="0"/>
        <v>8.7786259541984748</v>
      </c>
      <c r="V16">
        <f t="shared" si="1"/>
        <v>0.89999999999999991</v>
      </c>
      <c r="W16" s="60">
        <f t="shared" si="2"/>
        <v>42.567891402930215</v>
      </c>
      <c r="X16" s="60">
        <f t="shared" si="3"/>
        <v>42.567891402930215</v>
      </c>
      <c r="Y16" s="60">
        <f t="shared" si="6"/>
        <v>23.58072340405554</v>
      </c>
      <c r="Z16" s="60">
        <f t="shared" si="7"/>
        <v>34.035182439861572</v>
      </c>
      <c r="AA16" s="60">
        <f t="shared" si="4"/>
        <v>8.7786259541984748</v>
      </c>
      <c r="AB16" s="60">
        <f t="shared" si="5"/>
        <v>12.359382336536077</v>
      </c>
    </row>
    <row r="17" spans="1:28" x14ac:dyDescent="0.2">
      <c r="A17" s="23">
        <f t="shared" si="8"/>
        <v>0.99999999999999989</v>
      </c>
      <c r="B17" s="41">
        <f t="shared" si="0"/>
        <v>30.454545454545464</v>
      </c>
      <c r="C17" s="41">
        <f t="shared" si="0"/>
        <v>16.666666666666675</v>
      </c>
      <c r="D17" s="41">
        <f t="shared" si="0"/>
        <v>26.923076923076927</v>
      </c>
      <c r="E17" s="41">
        <f t="shared" si="0"/>
        <v>15.384615384615387</v>
      </c>
      <c r="F17" s="41">
        <f t="shared" si="0"/>
        <v>7.6666666666666679</v>
      </c>
      <c r="V17">
        <f t="shared" si="1"/>
        <v>0.99999999999999989</v>
      </c>
      <c r="W17" s="60">
        <f t="shared" si="2"/>
        <v>30.454545454545464</v>
      </c>
      <c r="X17" s="60">
        <f t="shared" si="3"/>
        <v>30.454545454545464</v>
      </c>
      <c r="Y17" s="60">
        <f t="shared" si="6"/>
        <v>16.666666666666675</v>
      </c>
      <c r="Z17" s="60">
        <f t="shared" si="7"/>
        <v>19.142857142857157</v>
      </c>
      <c r="AA17" s="60">
        <f t="shared" si="4"/>
        <v>7.6666666666666679</v>
      </c>
      <c r="AB17" s="60">
        <f t="shared" si="5"/>
        <v>7.6666666666666714</v>
      </c>
    </row>
    <row r="18" spans="1:28" x14ac:dyDescent="0.2">
      <c r="A18" s="23">
        <f t="shared" si="8"/>
        <v>1.0999999999999999</v>
      </c>
      <c r="B18" s="41">
        <f t="shared" si="0"/>
        <v>20.069130546435233</v>
      </c>
      <c r="C18" s="41">
        <f t="shared" si="0"/>
        <v>11.420128948458514</v>
      </c>
      <c r="D18" s="41">
        <f t="shared" si="0"/>
        <v>22.853884732710437</v>
      </c>
      <c r="E18" s="41">
        <f t="shared" si="0"/>
        <v>13.896319559764599</v>
      </c>
      <c r="F18" s="41">
        <f t="shared" si="0"/>
        <v>6.7251461988304104</v>
      </c>
      <c r="V18">
        <f t="shared" si="1"/>
        <v>1.0999999999999999</v>
      </c>
      <c r="W18" s="60">
        <f t="shared" si="2"/>
        <v>20.069130546435233</v>
      </c>
      <c r="X18" s="60">
        <f t="shared" si="3"/>
        <v>20.069130546435233</v>
      </c>
      <c r="Y18" s="60">
        <f t="shared" si="6"/>
        <v>11.420128948458514</v>
      </c>
      <c r="Z18" s="60">
        <f t="shared" si="7"/>
        <v>9.7173706693047013</v>
      </c>
      <c r="AA18" s="60">
        <f t="shared" si="4"/>
        <v>6.7251461988304104</v>
      </c>
      <c r="AB18" s="60">
        <f t="shared" si="5"/>
        <v>4.3501470260800543</v>
      </c>
    </row>
    <row r="19" spans="1:28" x14ac:dyDescent="0.2">
      <c r="A19" s="23">
        <f t="shared" si="8"/>
        <v>1.2</v>
      </c>
      <c r="B19" s="41">
        <f t="shared" si="0"/>
        <v>12.641946034302288</v>
      </c>
      <c r="C19" s="41">
        <f t="shared" si="0"/>
        <v>7.7499722825296526</v>
      </c>
      <c r="D19" s="41">
        <f t="shared" si="0"/>
        <v>18.461909809667208</v>
      </c>
      <c r="E19" s="41">
        <f t="shared" si="0"/>
        <v>12.329848096271455</v>
      </c>
      <c r="F19" s="41">
        <f t="shared" si="0"/>
        <v>5.927835051546392</v>
      </c>
      <c r="V19">
        <f t="shared" si="1"/>
        <v>1.2</v>
      </c>
      <c r="W19" s="60">
        <f t="shared" si="2"/>
        <v>12.641946034302288</v>
      </c>
      <c r="X19" s="60">
        <f t="shared" si="3"/>
        <v>12.641946034302288</v>
      </c>
      <c r="Y19" s="60">
        <f t="shared" si="6"/>
        <v>7.7499722825296526</v>
      </c>
      <c r="Z19" s="60">
        <f t="shared" si="7"/>
        <v>4.8203343123724904</v>
      </c>
      <c r="AA19" s="60">
        <f t="shared" si="4"/>
        <v>5.927835051546392</v>
      </c>
      <c r="AB19" s="60">
        <f t="shared" si="5"/>
        <v>2.3959246979284812</v>
      </c>
    </row>
    <row r="20" spans="1:28" x14ac:dyDescent="0.2">
      <c r="A20" s="23">
        <f t="shared" si="8"/>
        <v>1.3</v>
      </c>
      <c r="B20" s="41">
        <f t="shared" si="0"/>
        <v>7.8547945884226182</v>
      </c>
      <c r="C20" s="41">
        <f t="shared" si="0"/>
        <v>5.2816251904907379</v>
      </c>
      <c r="D20" s="41">
        <f t="shared" si="0"/>
        <v>14.297136238677535</v>
      </c>
      <c r="E20" s="41">
        <f t="shared" si="0"/>
        <v>10.771045276088818</v>
      </c>
      <c r="F20" s="80">
        <f t="shared" si="0"/>
        <v>5.2511415525114149</v>
      </c>
      <c r="V20">
        <f t="shared" si="1"/>
        <v>1.3</v>
      </c>
      <c r="W20" s="60">
        <f t="shared" si="2"/>
        <v>7.8547945884226182</v>
      </c>
      <c r="X20" s="60">
        <f t="shared" si="3"/>
        <v>7.8547945884226182</v>
      </c>
      <c r="Y20" s="60">
        <f t="shared" si="6"/>
        <v>5.2816251904907379</v>
      </c>
      <c r="Z20" s="60">
        <f t="shared" si="7"/>
        <v>2.4353674884797498</v>
      </c>
      <c r="AA20" s="60">
        <f t="shared" si="4"/>
        <v>5.2511415525114149</v>
      </c>
      <c r="AB20" s="60">
        <f t="shared" si="5"/>
        <v>1.3283576198747367</v>
      </c>
    </row>
    <row r="21" spans="1:28" x14ac:dyDescent="0.2">
      <c r="A21" s="23">
        <f t="shared" si="8"/>
        <v>1.4000000000000001</v>
      </c>
      <c r="B21" s="41">
        <f t="shared" si="0"/>
        <v>4.9085613844114713</v>
      </c>
      <c r="C21" s="41">
        <f t="shared" si="0"/>
        <v>3.6423931153667164</v>
      </c>
      <c r="D21" s="41">
        <f t="shared" si="0"/>
        <v>10.739949371264949</v>
      </c>
      <c r="E21" s="41">
        <f t="shared" si="0"/>
        <v>9.2916078198171377</v>
      </c>
      <c r="F21" s="41">
        <f t="shared" si="0"/>
        <v>4.6747967479674788</v>
      </c>
      <c r="V21">
        <f t="shared" si="1"/>
        <v>1.4000000000000001</v>
      </c>
      <c r="W21" s="60">
        <f t="shared" si="2"/>
        <v>4.9085613844114713</v>
      </c>
      <c r="X21" s="60">
        <f t="shared" si="3"/>
        <v>4.9085613844114713</v>
      </c>
      <c r="Y21" s="60">
        <f t="shared" si="6"/>
        <v>3.6423931153667164</v>
      </c>
      <c r="Z21" s="60">
        <f t="shared" si="7"/>
        <v>1.2724913569044365</v>
      </c>
      <c r="AA21" s="60">
        <f t="shared" si="4"/>
        <v>4.6747967479674788</v>
      </c>
      <c r="AB21" s="60">
        <f t="shared" si="5"/>
        <v>0.75370838156018283</v>
      </c>
    </row>
    <row r="22" spans="1:28" x14ac:dyDescent="0.2">
      <c r="A22" s="23">
        <f t="shared" si="8"/>
        <v>1.5000000000000002</v>
      </c>
      <c r="B22" s="80">
        <f t="shared" si="0"/>
        <v>3.1158261880540583</v>
      </c>
      <c r="C22" s="41">
        <f t="shared" si="0"/>
        <v>2.5509146318512723</v>
      </c>
      <c r="D22" s="41">
        <f t="shared" si="0"/>
        <v>7.9235939158118072</v>
      </c>
      <c r="E22" s="41">
        <f t="shared" si="0"/>
        <v>7.9404466501240671</v>
      </c>
      <c r="F22" s="41">
        <f t="shared" si="0"/>
        <v>4.1818181818181808</v>
      </c>
      <c r="V22">
        <f t="shared" si="1"/>
        <v>1.5000000000000002</v>
      </c>
      <c r="W22" s="60">
        <f t="shared" si="2"/>
        <v>3.1158261880540583</v>
      </c>
      <c r="X22" s="60">
        <f t="shared" si="3"/>
        <v>3.1158261880540583</v>
      </c>
      <c r="Y22" s="60">
        <f t="shared" si="6"/>
        <v>2.5509146318512723</v>
      </c>
      <c r="Z22" s="60">
        <f t="shared" si="7"/>
        <v>0.68995062299500098</v>
      </c>
      <c r="AA22" s="60">
        <f t="shared" si="4"/>
        <v>4.1818181818181808</v>
      </c>
      <c r="AB22" s="60">
        <f t="shared" si="5"/>
        <v>0.44012557930931318</v>
      </c>
    </row>
    <row r="23" spans="1:28" x14ac:dyDescent="0.2">
      <c r="A23" s="23">
        <f t="shared" si="8"/>
        <v>1.6000000000000003</v>
      </c>
      <c r="B23" s="41">
        <f t="shared" si="0"/>
        <v>2.0173276570606746</v>
      </c>
      <c r="C23" s="41">
        <f t="shared" si="0"/>
        <v>1.8163913399226439</v>
      </c>
      <c r="D23" s="41">
        <f t="shared" si="0"/>
        <v>5.8012670232379477</v>
      </c>
      <c r="E23" s="41">
        <f t="shared" si="0"/>
        <v>6.7429064624015496</v>
      </c>
      <c r="F23" s="41">
        <f t="shared" si="0"/>
        <v>3.7581699346405215</v>
      </c>
      <c r="V23">
        <f t="shared" si="1"/>
        <v>1.6000000000000003</v>
      </c>
      <c r="W23" s="60">
        <f t="shared" si="2"/>
        <v>2.0173276570606746</v>
      </c>
      <c r="X23" s="60">
        <f t="shared" si="3"/>
        <v>2.0173276570606746</v>
      </c>
      <c r="Y23" s="60">
        <f t="shared" si="6"/>
        <v>1.8163913399226439</v>
      </c>
      <c r="Z23" s="60">
        <f t="shared" si="7"/>
        <v>0.38773441677462117</v>
      </c>
      <c r="AA23" s="60">
        <f t="shared" si="4"/>
        <v>3.7581699346405215</v>
      </c>
      <c r="AB23" s="60">
        <f t="shared" si="5"/>
        <v>0.26467402897570586</v>
      </c>
    </row>
    <row r="24" spans="1:28" x14ac:dyDescent="0.2">
      <c r="A24" s="23">
        <f t="shared" si="8"/>
        <v>1.7000000000000004</v>
      </c>
      <c r="B24" s="41">
        <f t="shared" si="0"/>
        <v>1.3335817176389029</v>
      </c>
      <c r="C24" s="41">
        <f t="shared" si="0"/>
        <v>1.3149126111373286</v>
      </c>
      <c r="D24" s="41">
        <f t="shared" si="0"/>
        <v>4.2469178933777716</v>
      </c>
      <c r="E24" s="41">
        <f t="shared" si="0"/>
        <v>5.7051086395312636</v>
      </c>
      <c r="F24" s="41">
        <f t="shared" si="0"/>
        <v>3.3923303834808247</v>
      </c>
      <c r="V24">
        <f t="shared" si="1"/>
        <v>1.7000000000000004</v>
      </c>
      <c r="W24" s="60">
        <f t="shared" si="2"/>
        <v>1.3335817176389029</v>
      </c>
      <c r="X24" s="60">
        <f t="shared" si="3"/>
        <v>1.3335817176389029</v>
      </c>
      <c r="Y24" s="60">
        <f t="shared" si="6"/>
        <v>1.3149126111373286</v>
      </c>
      <c r="Z24" s="60">
        <f t="shared" si="7"/>
        <v>0.22523303036402736</v>
      </c>
      <c r="AA24" s="60">
        <f t="shared" si="4"/>
        <v>3.3923303834808247</v>
      </c>
      <c r="AB24" s="60">
        <f t="shared" si="5"/>
        <v>0.1636834191412555</v>
      </c>
    </row>
    <row r="25" spans="1:28" x14ac:dyDescent="0.2">
      <c r="A25" s="23">
        <f t="shared" si="8"/>
        <v>1.8000000000000005</v>
      </c>
      <c r="B25" s="41">
        <f t="shared" si="0"/>
        <v>0.899734599027468</v>
      </c>
      <c r="C25" s="41">
        <f t="shared" si="0"/>
        <v>0.96707253498843948</v>
      </c>
      <c r="D25" s="41">
        <f t="shared" si="0"/>
        <v>3.1239771206342111</v>
      </c>
      <c r="E25" s="41">
        <f t="shared" si="0"/>
        <v>4.8201133690664371</v>
      </c>
      <c r="F25" s="41">
        <f t="shared" si="0"/>
        <v>3.0748663101604263</v>
      </c>
    </row>
    <row r="26" spans="1:28" x14ac:dyDescent="0.2">
      <c r="A26" s="23">
        <f t="shared" si="8"/>
        <v>1.9000000000000006</v>
      </c>
      <c r="B26" s="41">
        <f t="shared" si="0"/>
        <v>0.6188541280191866</v>
      </c>
      <c r="C26" s="41">
        <f t="shared" si="0"/>
        <v>0.72190345964868863</v>
      </c>
      <c r="D26" s="41">
        <f t="shared" si="0"/>
        <v>2.3157698707793095</v>
      </c>
      <c r="E26" s="41">
        <f t="shared" si="0"/>
        <v>4.0736267295091446</v>
      </c>
      <c r="F26" s="41">
        <f t="shared" si="0"/>
        <v>2.7980535279805339</v>
      </c>
    </row>
    <row r="27" spans="1:28" x14ac:dyDescent="0.2">
      <c r="A27" s="23">
        <f t="shared" si="8"/>
        <v>2.0000000000000004</v>
      </c>
      <c r="B27" s="41">
        <f t="shared" ref="B27:F34" si="9">B$7/(1+B$8*($A27^B$9))</f>
        <v>0.43337645536869279</v>
      </c>
      <c r="C27" s="41">
        <f t="shared" si="9"/>
        <v>0.54639035521839829</v>
      </c>
      <c r="D27" s="41">
        <f t="shared" si="9"/>
        <v>1.7326732673267307</v>
      </c>
      <c r="E27" s="41">
        <f t="shared" si="9"/>
        <v>3.4482758620689631</v>
      </c>
      <c r="F27" s="41">
        <f t="shared" si="9"/>
        <v>2.5555555555555545</v>
      </c>
    </row>
    <row r="28" spans="1:28" x14ac:dyDescent="0.2">
      <c r="A28" s="23">
        <f t="shared" si="8"/>
        <v>2.1000000000000005</v>
      </c>
      <c r="B28" s="41">
        <f t="shared" si="9"/>
        <v>0.308570014131749</v>
      </c>
      <c r="C28" s="41">
        <f t="shared" si="9"/>
        <v>0.41887100141783923</v>
      </c>
      <c r="D28" s="41">
        <f t="shared" si="9"/>
        <v>1.3093982173022121</v>
      </c>
      <c r="E28" s="41">
        <f t="shared" si="9"/>
        <v>2.9263596232604598</v>
      </c>
      <c r="F28" s="41">
        <f t="shared" si="9"/>
        <v>2.3421588594704676</v>
      </c>
    </row>
    <row r="29" spans="1:28" x14ac:dyDescent="0.2">
      <c r="A29" s="23">
        <f t="shared" si="8"/>
        <v>2.2000000000000006</v>
      </c>
      <c r="B29" s="41">
        <f t="shared" si="9"/>
        <v>0.22309317608740992</v>
      </c>
      <c r="C29" s="41">
        <f t="shared" si="9"/>
        <v>0.32492549332443504</v>
      </c>
      <c r="D29" s="41">
        <f t="shared" si="9"/>
        <v>0.99960098213595239</v>
      </c>
      <c r="E29" s="41">
        <f t="shared" si="9"/>
        <v>2.4913798258027202</v>
      </c>
      <c r="F29" s="41">
        <f t="shared" si="9"/>
        <v>2.1535580524344557</v>
      </c>
    </row>
    <row r="30" spans="1:28" x14ac:dyDescent="0.2">
      <c r="A30" s="23">
        <f t="shared" si="8"/>
        <v>2.3000000000000007</v>
      </c>
      <c r="B30" s="41">
        <f t="shared" si="9"/>
        <v>0.16358258413011906</v>
      </c>
      <c r="C30" s="41">
        <f t="shared" si="9"/>
        <v>0.25481089449050287</v>
      </c>
      <c r="D30" s="41">
        <f t="shared" si="9"/>
        <v>0.77074232706139123</v>
      </c>
      <c r="E30" s="41">
        <f t="shared" si="9"/>
        <v>2.1287397966840595</v>
      </c>
      <c r="F30" s="41">
        <f t="shared" si="9"/>
        <v>1.9861830742659745</v>
      </c>
    </row>
    <row r="31" spans="1:28" x14ac:dyDescent="0.2">
      <c r="A31" s="23">
        <f t="shared" si="8"/>
        <v>2.4000000000000008</v>
      </c>
      <c r="B31" s="41">
        <f t="shared" si="9"/>
        <v>0.12151404963230024</v>
      </c>
      <c r="C31" s="41">
        <f t="shared" si="9"/>
        <v>0.20184658854756607</v>
      </c>
      <c r="D31" s="41">
        <f t="shared" si="9"/>
        <v>0.60002510367885076</v>
      </c>
      <c r="E31" s="41">
        <f t="shared" si="9"/>
        <v>1.825937070904786</v>
      </c>
      <c r="F31" s="41">
        <f t="shared" si="9"/>
        <v>1.837060702875398</v>
      </c>
    </row>
    <row r="32" spans="1:28" x14ac:dyDescent="0.2">
      <c r="A32" s="23">
        <f t="shared" si="8"/>
        <v>2.5000000000000009</v>
      </c>
      <c r="B32" s="41">
        <f t="shared" si="9"/>
        <v>9.1352606574490083E-2</v>
      </c>
      <c r="C32" s="41">
        <f t="shared" si="9"/>
        <v>0.16138602045569847</v>
      </c>
      <c r="D32" s="41">
        <f t="shared" si="9"/>
        <v>0.47143007471324744</v>
      </c>
      <c r="E32" s="41">
        <f t="shared" si="9"/>
        <v>1.5724815724815706</v>
      </c>
      <c r="F32" s="41">
        <f t="shared" si="9"/>
        <v>1.7037037037037026</v>
      </c>
    </row>
    <row r="33" spans="1:7" x14ac:dyDescent="0.2">
      <c r="A33" s="23">
        <f t="shared" si="8"/>
        <v>2.600000000000001</v>
      </c>
      <c r="B33" s="41">
        <f t="shared" si="9"/>
        <v>6.9443204923543389E-2</v>
      </c>
      <c r="C33" s="41">
        <f t="shared" si="9"/>
        <v>0.13015313252043115</v>
      </c>
      <c r="D33" s="41">
        <f t="shared" si="9"/>
        <v>0.37363330488197477</v>
      </c>
      <c r="E33" s="41">
        <f t="shared" si="9"/>
        <v>1.3596858581793243</v>
      </c>
      <c r="F33" s="41">
        <f t="shared" si="9"/>
        <v>1.5840220385674919</v>
      </c>
    </row>
    <row r="34" spans="1:7" x14ac:dyDescent="0.2">
      <c r="A34" s="23">
        <f t="shared" si="8"/>
        <v>2.7000000000000011</v>
      </c>
      <c r="B34" s="41">
        <f t="shared" si="9"/>
        <v>5.3333656652679626E-2</v>
      </c>
      <c r="C34" s="41">
        <f t="shared" si="9"/>
        <v>0.10580819207147762</v>
      </c>
      <c r="D34" s="80">
        <f t="shared" si="9"/>
        <v>0.2985682032999889</v>
      </c>
      <c r="E34" s="80">
        <f t="shared" si="9"/>
        <v>1.1804124715299251</v>
      </c>
      <c r="F34" s="41">
        <f t="shared" si="9"/>
        <v>1.4762516046213083</v>
      </c>
    </row>
    <row r="35" spans="1:7" x14ac:dyDescent="0.2">
      <c r="A35" s="64" t="s">
        <v>250</v>
      </c>
    </row>
    <row r="37" spans="1:7" x14ac:dyDescent="0.2">
      <c r="A37" s="61" t="s">
        <v>249</v>
      </c>
      <c r="B37" s="58" t="s">
        <v>206</v>
      </c>
      <c r="C37" s="58" t="s">
        <v>213</v>
      </c>
      <c r="D37" s="58" t="s">
        <v>214</v>
      </c>
      <c r="E37" s="58" t="s">
        <v>1</v>
      </c>
      <c r="F37" s="58" t="s">
        <v>207</v>
      </c>
    </row>
    <row r="38" spans="1:7" x14ac:dyDescent="0.2">
      <c r="A38" t="s">
        <v>173</v>
      </c>
      <c r="B38" s="23">
        <v>67</v>
      </c>
      <c r="C38" s="23">
        <v>67</v>
      </c>
      <c r="D38" s="23">
        <v>35</v>
      </c>
      <c r="E38" s="23">
        <v>23</v>
      </c>
      <c r="F38" s="23">
        <v>23</v>
      </c>
    </row>
    <row r="39" spans="1:7" x14ac:dyDescent="0.2">
      <c r="A39" t="s">
        <v>174</v>
      </c>
      <c r="B39" s="23">
        <v>1.2</v>
      </c>
      <c r="C39" s="23">
        <v>2.5</v>
      </c>
      <c r="D39" s="23">
        <v>0.5</v>
      </c>
      <c r="E39" s="23">
        <v>2</v>
      </c>
      <c r="F39" s="62">
        <v>2</v>
      </c>
    </row>
    <row r="40" spans="1:7" x14ac:dyDescent="0.2">
      <c r="A40" t="s">
        <v>175</v>
      </c>
      <c r="B40" s="40">
        <v>7</v>
      </c>
      <c r="C40" s="40">
        <v>9</v>
      </c>
      <c r="D40" s="40">
        <v>4</v>
      </c>
      <c r="E40" s="40">
        <v>2</v>
      </c>
      <c r="F40" s="40">
        <v>8</v>
      </c>
    </row>
    <row r="41" spans="1:7" ht="38.25" x14ac:dyDescent="0.2">
      <c r="A41" s="55" t="s">
        <v>176</v>
      </c>
      <c r="B41" s="38" t="str">
        <f>CONCATENATE(B37, " (X=", B39, ", Y=", B40, ")")</f>
        <v>Fwy (X=1.2, Y=7)</v>
      </c>
      <c r="C41" s="38" t="str">
        <f>CONCATENATE(C37, " (X=", C39, ", Y=", C40, ")")</f>
        <v>Bng (X=2.5, Y=9)</v>
      </c>
      <c r="D41" s="38" t="str">
        <f>CONCATENATE(D37, " (X=", D39, ", Y=", D40, ")")</f>
        <v>Art (X=0.5, Y=4)</v>
      </c>
      <c r="E41" s="38" t="str">
        <f>CONCATENATE(E37, " (X=", E39, ", Y=", E40, ")")</f>
        <v>Coll (X=2, Y=2)</v>
      </c>
      <c r="F41" s="38" t="str">
        <f>CONCATENATE(F37, " (X=", F39, ", Y=", F40, ")")</f>
        <v>Ramp (X=2, Y=8)</v>
      </c>
      <c r="G41" s="1"/>
    </row>
    <row r="42" spans="1:7" x14ac:dyDescent="0.2">
      <c r="A42" s="23">
        <v>0.1</v>
      </c>
      <c r="B42" s="41">
        <f>B$38/(1+B$39*($A42^B$40))</f>
        <v>66.999991960000969</v>
      </c>
      <c r="C42" s="41">
        <f>C$38/(1+C$39*($A42^C$40))</f>
        <v>66.999999832499995</v>
      </c>
      <c r="D42" s="41">
        <f t="shared" ref="D42:F55" si="10">D$38/(1+D$39*($A42^D$40))</f>
        <v>34.99825008749562</v>
      </c>
      <c r="E42" s="41">
        <f t="shared" si="10"/>
        <v>22.549019607843135</v>
      </c>
      <c r="F42" s="41">
        <f t="shared" si="10"/>
        <v>22.999999540000008</v>
      </c>
    </row>
    <row r="43" spans="1:7" x14ac:dyDescent="0.2">
      <c r="A43" s="23">
        <v>0.5</v>
      </c>
      <c r="B43" s="41">
        <f t="shared" ref="B43:C55" si="11">B$38/(1+B$39*($A43^B$40))</f>
        <v>66.377708978328172</v>
      </c>
      <c r="C43" s="41">
        <f t="shared" si="11"/>
        <v>66.674441205053455</v>
      </c>
      <c r="D43" s="41">
        <f t="shared" si="10"/>
        <v>33.939393939393938</v>
      </c>
      <c r="E43" s="41">
        <f t="shared" si="10"/>
        <v>15.333333333333334</v>
      </c>
      <c r="F43" s="41">
        <f t="shared" si="10"/>
        <v>22.821705426356591</v>
      </c>
    </row>
    <row r="44" spans="1:7" x14ac:dyDescent="0.2">
      <c r="A44" s="23">
        <f t="shared" ref="A44:A55" si="12">+A43+0.1</f>
        <v>0.6</v>
      </c>
      <c r="B44" s="41">
        <f t="shared" si="11"/>
        <v>64.822463077125036</v>
      </c>
      <c r="C44" s="41">
        <f t="shared" si="11"/>
        <v>65.353469016759206</v>
      </c>
      <c r="D44" s="41">
        <f t="shared" si="10"/>
        <v>32.87002253944403</v>
      </c>
      <c r="E44" s="41">
        <f t="shared" si="10"/>
        <v>13.372093023255815</v>
      </c>
      <c r="F44" s="41">
        <f t="shared" si="10"/>
        <v>22.252487324983221</v>
      </c>
    </row>
    <row r="45" spans="1:7" x14ac:dyDescent="0.2">
      <c r="A45" s="23">
        <f t="shared" si="12"/>
        <v>0.7</v>
      </c>
      <c r="B45" s="41">
        <f t="shared" si="11"/>
        <v>60.974213586445373</v>
      </c>
      <c r="C45" s="41">
        <f t="shared" si="11"/>
        <v>60.860180486724168</v>
      </c>
      <c r="D45" s="41">
        <f t="shared" si="10"/>
        <v>31.248604972992279</v>
      </c>
      <c r="E45" s="41">
        <f t="shared" si="10"/>
        <v>11.616161616161616</v>
      </c>
      <c r="F45" s="41">
        <f t="shared" si="10"/>
        <v>20.622327693772277</v>
      </c>
    </row>
    <row r="46" spans="1:7" x14ac:dyDescent="0.2">
      <c r="A46" s="23">
        <f t="shared" si="12"/>
        <v>0.79999999999999993</v>
      </c>
      <c r="B46" s="41">
        <f t="shared" si="11"/>
        <v>53.528988871594862</v>
      </c>
      <c r="C46" s="41">
        <f t="shared" si="11"/>
        <v>50.166811386686156</v>
      </c>
      <c r="D46" s="41">
        <f t="shared" si="10"/>
        <v>29.050464807436921</v>
      </c>
      <c r="E46" s="41">
        <f t="shared" si="10"/>
        <v>10.087719298245615</v>
      </c>
      <c r="F46" s="41">
        <f t="shared" si="10"/>
        <v>17.221442714832559</v>
      </c>
    </row>
    <row r="47" spans="1:7" x14ac:dyDescent="0.2">
      <c r="A47" s="23">
        <f t="shared" si="12"/>
        <v>0.89999999999999991</v>
      </c>
      <c r="B47" s="41">
        <f t="shared" si="11"/>
        <v>42.567891402930215</v>
      </c>
      <c r="C47" s="41">
        <f t="shared" si="11"/>
        <v>34.035182439861572</v>
      </c>
      <c r="D47" s="41">
        <f t="shared" si="10"/>
        <v>26.35442942660292</v>
      </c>
      <c r="E47" s="41">
        <f t="shared" si="10"/>
        <v>8.7786259541984748</v>
      </c>
      <c r="F47" s="41">
        <f t="shared" si="10"/>
        <v>12.359382336536077</v>
      </c>
    </row>
    <row r="48" spans="1:7" x14ac:dyDescent="0.2">
      <c r="A48" s="23">
        <f t="shared" si="12"/>
        <v>0.99999999999999989</v>
      </c>
      <c r="B48" s="41">
        <f t="shared" si="11"/>
        <v>30.454545454545464</v>
      </c>
      <c r="C48" s="41">
        <f t="shared" si="11"/>
        <v>19.142857142857157</v>
      </c>
      <c r="D48" s="41">
        <f t="shared" si="10"/>
        <v>23.333333333333336</v>
      </c>
      <c r="E48" s="41">
        <f t="shared" si="10"/>
        <v>7.6666666666666679</v>
      </c>
      <c r="F48" s="41">
        <f t="shared" si="10"/>
        <v>7.6666666666666714</v>
      </c>
    </row>
    <row r="49" spans="1:6" x14ac:dyDescent="0.2">
      <c r="A49" s="23">
        <f t="shared" si="12"/>
        <v>1.0999999999999999</v>
      </c>
      <c r="B49" s="41">
        <f t="shared" si="11"/>
        <v>20.069130546435233</v>
      </c>
      <c r="C49" s="41">
        <f t="shared" si="11"/>
        <v>9.7173706693047013</v>
      </c>
      <c r="D49" s="41">
        <f t="shared" si="10"/>
        <v>20.2072688432782</v>
      </c>
      <c r="E49" s="41">
        <f t="shared" si="10"/>
        <v>6.7251461988304104</v>
      </c>
      <c r="F49" s="41">
        <f t="shared" si="10"/>
        <v>4.3501470260800543</v>
      </c>
    </row>
    <row r="50" spans="1:6" x14ac:dyDescent="0.2">
      <c r="A50" s="23">
        <f t="shared" si="12"/>
        <v>1.2</v>
      </c>
      <c r="B50" s="41">
        <f t="shared" si="11"/>
        <v>12.641946034302288</v>
      </c>
      <c r="C50" s="41">
        <f t="shared" si="11"/>
        <v>4.8203343123724904</v>
      </c>
      <c r="D50" s="41">
        <f t="shared" si="10"/>
        <v>17.18381775333857</v>
      </c>
      <c r="E50" s="41">
        <f t="shared" si="10"/>
        <v>5.927835051546392</v>
      </c>
      <c r="F50" s="41">
        <f t="shared" si="10"/>
        <v>2.3959246979284812</v>
      </c>
    </row>
    <row r="51" spans="1:6" x14ac:dyDescent="0.2">
      <c r="A51" s="23">
        <f t="shared" si="12"/>
        <v>1.3</v>
      </c>
      <c r="B51" s="41">
        <f t="shared" si="11"/>
        <v>7.8547945884226182</v>
      </c>
      <c r="C51" s="41">
        <f t="shared" si="11"/>
        <v>2.4353674884797498</v>
      </c>
      <c r="D51" s="41">
        <f t="shared" si="10"/>
        <v>14.41485966104487</v>
      </c>
      <c r="E51" s="41">
        <f t="shared" si="10"/>
        <v>5.2511415525114149</v>
      </c>
      <c r="F51" s="41">
        <f t="shared" si="10"/>
        <v>1.3283576198747367</v>
      </c>
    </row>
    <row r="52" spans="1:6" x14ac:dyDescent="0.2">
      <c r="A52" s="23">
        <f t="shared" si="12"/>
        <v>1.4000000000000001</v>
      </c>
      <c r="B52" s="41">
        <f t="shared" si="11"/>
        <v>4.9085613844114713</v>
      </c>
      <c r="C52" s="41">
        <f t="shared" si="11"/>
        <v>1.2724913569044365</v>
      </c>
      <c r="D52" s="41">
        <f t="shared" si="10"/>
        <v>11.983018351136671</v>
      </c>
      <c r="E52" s="41">
        <f t="shared" si="10"/>
        <v>4.6747967479674788</v>
      </c>
      <c r="F52" s="41">
        <f t="shared" si="10"/>
        <v>0.75370838156018283</v>
      </c>
    </row>
    <row r="53" spans="1:6" x14ac:dyDescent="0.2">
      <c r="A53" s="23">
        <f t="shared" si="12"/>
        <v>1.5000000000000002</v>
      </c>
      <c r="B53" s="41">
        <f t="shared" si="11"/>
        <v>3.1158261880540583</v>
      </c>
      <c r="C53" s="41">
        <f t="shared" si="11"/>
        <v>0.68995062299500098</v>
      </c>
      <c r="D53" s="41">
        <f t="shared" si="10"/>
        <v>9.9115044247787569</v>
      </c>
      <c r="E53" s="41">
        <f t="shared" si="10"/>
        <v>4.1818181818181808</v>
      </c>
      <c r="F53" s="41">
        <f t="shared" si="10"/>
        <v>0.44012557930931318</v>
      </c>
    </row>
    <row r="54" spans="1:6" x14ac:dyDescent="0.2">
      <c r="A54" s="23">
        <f t="shared" si="12"/>
        <v>1.6000000000000003</v>
      </c>
      <c r="B54" s="41">
        <f t="shared" si="11"/>
        <v>2.0173276570606746</v>
      </c>
      <c r="C54" s="41">
        <f t="shared" si="11"/>
        <v>0.38773441677462117</v>
      </c>
      <c r="D54" s="41">
        <f t="shared" si="10"/>
        <v>8.1836887392442907</v>
      </c>
      <c r="E54" s="41">
        <f t="shared" si="10"/>
        <v>3.7581699346405215</v>
      </c>
      <c r="F54" s="41">
        <f t="shared" si="10"/>
        <v>0.26467402897570586</v>
      </c>
    </row>
    <row r="55" spans="1:6" x14ac:dyDescent="0.2">
      <c r="A55" s="23">
        <f t="shared" si="12"/>
        <v>1.7000000000000004</v>
      </c>
      <c r="B55" s="41">
        <f t="shared" si="11"/>
        <v>1.3335817176389029</v>
      </c>
      <c r="C55" s="41">
        <f t="shared" si="11"/>
        <v>0.22523303036402736</v>
      </c>
      <c r="D55" s="41">
        <f t="shared" si="10"/>
        <v>6.7619130417982767</v>
      </c>
      <c r="E55" s="41">
        <f t="shared" si="10"/>
        <v>3.3923303834808247</v>
      </c>
      <c r="F55" s="41">
        <f t="shared" si="10"/>
        <v>0.1636834191412555</v>
      </c>
    </row>
    <row r="57" spans="1:6" x14ac:dyDescent="0.2">
      <c r="A57" s="23" t="s">
        <v>252</v>
      </c>
    </row>
    <row r="58" spans="1:6" x14ac:dyDescent="0.2">
      <c r="A58" s="64" t="s">
        <v>251</v>
      </c>
      <c r="B58">
        <v>1</v>
      </c>
      <c r="C58">
        <v>1</v>
      </c>
      <c r="D58">
        <v>1</v>
      </c>
      <c r="E58">
        <v>1</v>
      </c>
      <c r="F58">
        <v>0.33</v>
      </c>
    </row>
    <row r="59" spans="1:6" ht="38.25" x14ac:dyDescent="0.2">
      <c r="A59" s="55" t="s">
        <v>176</v>
      </c>
      <c r="B59" s="38" t="str">
        <f>B41</f>
        <v>Fwy (X=1.2, Y=7)</v>
      </c>
      <c r="C59" s="38" t="str">
        <f>C41</f>
        <v>Bng (X=2.5, Y=9)</v>
      </c>
      <c r="D59" s="38" t="str">
        <f>D41</f>
        <v>Art (X=0.5, Y=4)</v>
      </c>
      <c r="E59" s="38" t="str">
        <f>E41</f>
        <v>Coll (X=2, Y=2)</v>
      </c>
      <c r="F59" s="38" t="str">
        <f>F41</f>
        <v>Ramp (X=2, Y=8)</v>
      </c>
    </row>
    <row r="60" spans="1:6" x14ac:dyDescent="0.2">
      <c r="A60" s="23">
        <v>0.1</v>
      </c>
      <c r="B60" s="41">
        <f t="shared" ref="B60:F73" si="13">B$58/B42*60</f>
        <v>0.89552249552238805</v>
      </c>
      <c r="C60" s="41">
        <f t="shared" si="13"/>
        <v>0.89552239029850744</v>
      </c>
      <c r="D60" s="41">
        <f t="shared" si="13"/>
        <v>1.7143714285714289</v>
      </c>
      <c r="E60" s="41">
        <f t="shared" si="13"/>
        <v>2.6608695652173915</v>
      </c>
      <c r="F60" s="41">
        <f t="shared" si="13"/>
        <v>0.86086958243478273</v>
      </c>
    </row>
    <row r="61" spans="1:6" x14ac:dyDescent="0.2">
      <c r="A61" s="23">
        <v>0.5</v>
      </c>
      <c r="B61" s="41">
        <f t="shared" si="13"/>
        <v>0.90391791044776115</v>
      </c>
      <c r="C61" s="41">
        <f t="shared" si="13"/>
        <v>0.89989505597014918</v>
      </c>
      <c r="D61" s="41">
        <f t="shared" si="13"/>
        <v>1.767857142857143</v>
      </c>
      <c r="E61" s="41">
        <f t="shared" si="13"/>
        <v>3.9130434782608696</v>
      </c>
      <c r="F61" s="41">
        <f t="shared" si="13"/>
        <v>0.86759510869565215</v>
      </c>
    </row>
    <row r="62" spans="1:6" x14ac:dyDescent="0.2">
      <c r="A62" s="23">
        <f t="shared" ref="A62:A73" si="14">+A61+0.1</f>
        <v>0.6</v>
      </c>
      <c r="B62" s="41">
        <f t="shared" si="13"/>
        <v>0.92560506268656706</v>
      </c>
      <c r="C62" s="41">
        <f t="shared" si="13"/>
        <v>0.91808439402985076</v>
      </c>
      <c r="D62" s="41">
        <f t="shared" si="13"/>
        <v>1.8253714285714284</v>
      </c>
      <c r="E62" s="41">
        <f t="shared" si="13"/>
        <v>4.4869565217391303</v>
      </c>
      <c r="F62" s="41">
        <f t="shared" si="13"/>
        <v>0.88978817113043474</v>
      </c>
    </row>
    <row r="63" spans="1:6" x14ac:dyDescent="0.2">
      <c r="A63" s="23">
        <f t="shared" si="14"/>
        <v>0.7</v>
      </c>
      <c r="B63" s="41">
        <f t="shared" si="13"/>
        <v>0.98402253134328355</v>
      </c>
      <c r="C63" s="41">
        <f t="shared" si="13"/>
        <v>0.98586628432835821</v>
      </c>
      <c r="D63" s="41">
        <f t="shared" si="13"/>
        <v>1.9200857142857142</v>
      </c>
      <c r="E63" s="41">
        <f t="shared" si="13"/>
        <v>5.1652173913043482</v>
      </c>
      <c r="F63" s="41">
        <f t="shared" si="13"/>
        <v>0.96012439982608688</v>
      </c>
    </row>
    <row r="64" spans="1:6" x14ac:dyDescent="0.2">
      <c r="A64" s="23">
        <f t="shared" si="14"/>
        <v>0.79999999999999993</v>
      </c>
      <c r="B64" s="41">
        <f t="shared" si="13"/>
        <v>1.1208879761194028</v>
      </c>
      <c r="C64" s="41">
        <f t="shared" si="13"/>
        <v>1.1960098388059697</v>
      </c>
      <c r="D64" s="41">
        <f t="shared" si="13"/>
        <v>2.0653714285714289</v>
      </c>
      <c r="E64" s="41">
        <f t="shared" si="13"/>
        <v>5.9478260869565212</v>
      </c>
      <c r="F64" s="41">
        <f t="shared" si="13"/>
        <v>1.1497294580869564</v>
      </c>
    </row>
    <row r="65" spans="1:6" x14ac:dyDescent="0.2">
      <c r="A65" s="23">
        <f t="shared" si="14"/>
        <v>0.89999999999999991</v>
      </c>
      <c r="B65" s="41">
        <f t="shared" si="13"/>
        <v>1.4095130865671637</v>
      </c>
      <c r="C65" s="41">
        <f t="shared" si="13"/>
        <v>1.7628816917910441</v>
      </c>
      <c r="D65" s="41">
        <f t="shared" si="13"/>
        <v>2.2766571428571423</v>
      </c>
      <c r="E65" s="41">
        <f t="shared" si="13"/>
        <v>6.8347826086956509</v>
      </c>
      <c r="F65" s="41">
        <f t="shared" si="13"/>
        <v>1.6020218050434776</v>
      </c>
    </row>
    <row r="66" spans="1:6" x14ac:dyDescent="0.2">
      <c r="A66" s="23">
        <f t="shared" si="14"/>
        <v>0.99999999999999989</v>
      </c>
      <c r="B66" s="41">
        <f t="shared" si="13"/>
        <v>1.9701492537313428</v>
      </c>
      <c r="C66" s="41">
        <f t="shared" si="13"/>
        <v>3.1343283582089532</v>
      </c>
      <c r="D66" s="41">
        <f t="shared" si="13"/>
        <v>2.5714285714285712</v>
      </c>
      <c r="E66" s="41">
        <f t="shared" si="13"/>
        <v>7.8260869565217375</v>
      </c>
      <c r="F66" s="41">
        <f t="shared" si="13"/>
        <v>2.5826086956521723</v>
      </c>
    </row>
    <row r="67" spans="1:6" x14ac:dyDescent="0.2">
      <c r="A67" s="23">
        <f t="shared" si="14"/>
        <v>1.0999999999999999</v>
      </c>
      <c r="B67" s="41">
        <f t="shared" si="13"/>
        <v>2.9896661373134306</v>
      </c>
      <c r="C67" s="41">
        <f t="shared" si="13"/>
        <v>6.1745097559701438</v>
      </c>
      <c r="D67" s="41">
        <f t="shared" si="13"/>
        <v>2.9692285714285709</v>
      </c>
      <c r="E67" s="41">
        <f t="shared" si="13"/>
        <v>8.92173913043478</v>
      </c>
      <c r="F67" s="41">
        <f t="shared" si="13"/>
        <v>4.5515702989565181</v>
      </c>
    </row>
    <row r="68" spans="1:6" x14ac:dyDescent="0.2">
      <c r="A68" s="23">
        <f t="shared" si="14"/>
        <v>1.2</v>
      </c>
      <c r="B68" s="41">
        <f t="shared" si="13"/>
        <v>4.7461047402985068</v>
      </c>
      <c r="C68" s="41">
        <f t="shared" si="13"/>
        <v>12.447269444776117</v>
      </c>
      <c r="D68" s="41">
        <f t="shared" si="13"/>
        <v>3.491657142857143</v>
      </c>
      <c r="E68" s="41">
        <f t="shared" si="13"/>
        <v>10.121739130434781</v>
      </c>
      <c r="F68" s="41">
        <f t="shared" si="13"/>
        <v>8.2640326789565215</v>
      </c>
    </row>
    <row r="69" spans="1:6" x14ac:dyDescent="0.2">
      <c r="A69" s="23">
        <f t="shared" si="14"/>
        <v>1.3</v>
      </c>
      <c r="B69" s="41">
        <f t="shared" si="13"/>
        <v>7.6386466029850766</v>
      </c>
      <c r="C69" s="41">
        <f t="shared" si="13"/>
        <v>24.636938894776126</v>
      </c>
      <c r="D69" s="41">
        <f t="shared" si="13"/>
        <v>4.1623714285714293</v>
      </c>
      <c r="E69" s="41">
        <f t="shared" si="13"/>
        <v>11.42608695652174</v>
      </c>
      <c r="F69" s="41">
        <f t="shared" si="13"/>
        <v>14.905624587652179</v>
      </c>
    </row>
    <row r="70" spans="1:6" x14ac:dyDescent="0.2">
      <c r="A70" s="23">
        <f t="shared" si="14"/>
        <v>1.4000000000000001</v>
      </c>
      <c r="B70" s="41">
        <f t="shared" si="13"/>
        <v>12.223540728358214</v>
      </c>
      <c r="C70" s="41">
        <f t="shared" si="13"/>
        <v>47.151597277611977</v>
      </c>
      <c r="D70" s="41">
        <f t="shared" si="13"/>
        <v>5.0070857142857159</v>
      </c>
      <c r="E70" s="41">
        <f t="shared" si="13"/>
        <v>12.834782608695654</v>
      </c>
      <c r="F70" s="41">
        <f t="shared" si="13"/>
        <v>26.2701072250435</v>
      </c>
    </row>
    <row r="71" spans="1:6" x14ac:dyDescent="0.2">
      <c r="A71" s="23">
        <f t="shared" si="14"/>
        <v>1.5000000000000002</v>
      </c>
      <c r="B71" s="41">
        <f t="shared" si="13"/>
        <v>19.256529850746293</v>
      </c>
      <c r="C71" s="41">
        <f t="shared" si="13"/>
        <v>86.96274486940311</v>
      </c>
      <c r="D71" s="41">
        <f t="shared" si="13"/>
        <v>6.0535714285714315</v>
      </c>
      <c r="E71" s="41">
        <f t="shared" si="13"/>
        <v>14.347826086956525</v>
      </c>
      <c r="F71" s="41">
        <f t="shared" si="13"/>
        <v>44.987160326087022</v>
      </c>
    </row>
    <row r="72" spans="1:6" x14ac:dyDescent="0.2">
      <c r="A72" s="23">
        <f t="shared" si="14"/>
        <v>1.6000000000000003</v>
      </c>
      <c r="B72" s="41">
        <f t="shared" si="13"/>
        <v>29.74231765970152</v>
      </c>
      <c r="C72" s="41">
        <f t="shared" si="13"/>
        <v>154.74509717014951</v>
      </c>
      <c r="D72" s="41">
        <f t="shared" si="13"/>
        <v>7.3316571428571464</v>
      </c>
      <c r="E72" s="41">
        <f t="shared" si="13"/>
        <v>15.965217391304355</v>
      </c>
      <c r="F72" s="41">
        <f t="shared" si="13"/>
        <v>74.809002139826191</v>
      </c>
    </row>
    <row r="73" spans="1:6" x14ac:dyDescent="0.2">
      <c r="A73" s="23">
        <f t="shared" si="14"/>
        <v>1.7000000000000004</v>
      </c>
      <c r="B73" s="41">
        <f t="shared" si="13"/>
        <v>44.991618591044862</v>
      </c>
      <c r="C73" s="41">
        <f t="shared" si="13"/>
        <v>266.39076827686631</v>
      </c>
      <c r="D73" s="41">
        <f t="shared" si="13"/>
        <v>8.8732285714285801</v>
      </c>
      <c r="E73" s="41">
        <f t="shared" si="13"/>
        <v>17.686956521739134</v>
      </c>
      <c r="F73" s="41">
        <f t="shared" si="13"/>
        <v>120.96521507113067</v>
      </c>
    </row>
  </sheetData>
  <phoneticPr fontId="0" type="noConversion"/>
  <pageMargins left="0.75" right="0.75" top="1" bottom="1" header="0.5" footer="0.5"/>
  <pageSetup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499984740745262"/>
    <pageSetUpPr fitToPage="1"/>
  </sheetPr>
  <dimension ref="A1:D84"/>
  <sheetViews>
    <sheetView view="pageBreakPreview" zoomScale="75" zoomScaleNormal="100" workbookViewId="0">
      <selection activeCell="I53" sqref="I53"/>
    </sheetView>
  </sheetViews>
  <sheetFormatPr defaultRowHeight="12.75" x14ac:dyDescent="0.2"/>
  <cols>
    <col min="1" max="1" width="13" bestFit="1" customWidth="1"/>
    <col min="2" max="2" width="56.42578125" customWidth="1"/>
    <col min="3" max="3" width="14.7109375" customWidth="1"/>
    <col min="4" max="4" width="28.42578125" bestFit="1" customWidth="1"/>
  </cols>
  <sheetData>
    <row r="1" spans="1:4" x14ac:dyDescent="0.2">
      <c r="A1" s="24" t="s">
        <v>108</v>
      </c>
      <c r="C1" t="s">
        <v>212</v>
      </c>
    </row>
    <row r="2" spans="1:4" x14ac:dyDescent="0.2">
      <c r="A2" s="24"/>
    </row>
    <row r="3" spans="1:4" x14ac:dyDescent="0.2">
      <c r="A3" s="24"/>
    </row>
    <row r="4" spans="1:4" x14ac:dyDescent="0.2">
      <c r="A4" s="24">
        <v>3400</v>
      </c>
    </row>
    <row r="5" spans="1:4" x14ac:dyDescent="0.2">
      <c r="A5" s="24">
        <v>20000</v>
      </c>
      <c r="B5" s="64" t="s">
        <v>246</v>
      </c>
    </row>
    <row r="6" spans="1:4" x14ac:dyDescent="0.2">
      <c r="A6" s="24">
        <v>21000</v>
      </c>
      <c r="B6" s="64" t="s">
        <v>247</v>
      </c>
    </row>
    <row r="7" spans="1:4" x14ac:dyDescent="0.2">
      <c r="A7" s="24">
        <v>22000</v>
      </c>
    </row>
    <row r="8" spans="1:4" x14ac:dyDescent="0.2">
      <c r="A8" s="24"/>
    </row>
    <row r="9" spans="1:4" x14ac:dyDescent="0.2">
      <c r="A9" s="24"/>
    </row>
    <row r="10" spans="1:4" x14ac:dyDescent="0.2">
      <c r="A10" s="24"/>
    </row>
    <row r="11" spans="1:4" x14ac:dyDescent="0.2">
      <c r="A11" s="24"/>
    </row>
    <row r="12" spans="1:4" x14ac:dyDescent="0.2">
      <c r="A12" s="24"/>
    </row>
    <row r="13" spans="1:4" x14ac:dyDescent="0.2">
      <c r="A13" s="24"/>
    </row>
    <row r="14" spans="1:4" x14ac:dyDescent="0.2">
      <c r="A14" s="24"/>
    </row>
    <row r="15" spans="1:4" x14ac:dyDescent="0.2">
      <c r="A15" s="24" t="s">
        <v>10</v>
      </c>
      <c r="B15" s="23" t="s">
        <v>19</v>
      </c>
    </row>
    <row r="16" spans="1:4" x14ac:dyDescent="0.2">
      <c r="A16" s="25" t="s">
        <v>11</v>
      </c>
      <c r="B16" t="s">
        <v>26</v>
      </c>
      <c r="C16" s="26"/>
      <c r="D16" t="s">
        <v>48</v>
      </c>
    </row>
    <row r="17" spans="1:4" x14ac:dyDescent="0.2">
      <c r="A17" s="27" t="s">
        <v>12</v>
      </c>
      <c r="B17" t="s">
        <v>27</v>
      </c>
      <c r="C17" s="28"/>
      <c r="D17" t="s">
        <v>49</v>
      </c>
    </row>
    <row r="18" spans="1:4" x14ac:dyDescent="0.2">
      <c r="A18" s="32">
        <v>194</v>
      </c>
      <c r="B18" t="s">
        <v>13</v>
      </c>
      <c r="C18" s="29"/>
      <c r="D18" t="s">
        <v>50</v>
      </c>
    </row>
    <row r="19" spans="1:4" x14ac:dyDescent="0.2">
      <c r="A19" s="39">
        <v>195</v>
      </c>
      <c r="B19" t="s">
        <v>66</v>
      </c>
      <c r="C19" s="31"/>
      <c r="D19" t="s">
        <v>67</v>
      </c>
    </row>
    <row r="20" spans="1:4" x14ac:dyDescent="0.2">
      <c r="A20" s="32">
        <v>196</v>
      </c>
      <c r="B20" t="s">
        <v>14</v>
      </c>
      <c r="C20" s="33"/>
      <c r="D20" t="s">
        <v>51</v>
      </c>
    </row>
    <row r="21" spans="1:4" x14ac:dyDescent="0.2">
      <c r="A21" s="35">
        <v>197</v>
      </c>
      <c r="B21" t="s">
        <v>23</v>
      </c>
      <c r="C21" s="34"/>
      <c r="D21" t="s">
        <v>52</v>
      </c>
    </row>
    <row r="22" spans="1:4" x14ac:dyDescent="0.2">
      <c r="A22" s="32">
        <v>198</v>
      </c>
      <c r="B22" t="s">
        <v>15</v>
      </c>
      <c r="C22" s="36"/>
      <c r="D22" t="s">
        <v>53</v>
      </c>
    </row>
    <row r="23" spans="1:4" x14ac:dyDescent="0.2">
      <c r="A23" s="30">
        <v>199</v>
      </c>
      <c r="B23" t="s">
        <v>16</v>
      </c>
    </row>
    <row r="24" spans="1:4" x14ac:dyDescent="0.2">
      <c r="A24" s="37">
        <v>200</v>
      </c>
      <c r="B24" t="s">
        <v>71</v>
      </c>
    </row>
    <row r="25" spans="1:4" x14ac:dyDescent="0.2">
      <c r="A25" s="15"/>
      <c r="C25" s="23" t="s">
        <v>59</v>
      </c>
    </row>
    <row r="26" spans="1:4" x14ac:dyDescent="0.2">
      <c r="A26" s="24" t="s">
        <v>69</v>
      </c>
      <c r="B26" s="23" t="s">
        <v>20</v>
      </c>
      <c r="C26" s="23"/>
    </row>
    <row r="27" spans="1:4" x14ac:dyDescent="0.2">
      <c r="A27" s="25" t="s">
        <v>68</v>
      </c>
      <c r="B27" t="s">
        <v>26</v>
      </c>
      <c r="C27" t="s">
        <v>104</v>
      </c>
      <c r="D27" t="s">
        <v>105</v>
      </c>
    </row>
    <row r="28" spans="1:4" x14ac:dyDescent="0.2">
      <c r="A28" s="27" t="s">
        <v>70</v>
      </c>
      <c r="B28" t="s">
        <v>27</v>
      </c>
      <c r="C28" t="s">
        <v>60</v>
      </c>
      <c r="D28" t="s">
        <v>61</v>
      </c>
    </row>
    <row r="29" spans="1:4" x14ac:dyDescent="0.2">
      <c r="A29" s="37">
        <v>300</v>
      </c>
      <c r="B29" t="s">
        <v>71</v>
      </c>
      <c r="C29" t="s">
        <v>106</v>
      </c>
      <c r="D29" t="s">
        <v>107</v>
      </c>
    </row>
    <row r="30" spans="1:4" x14ac:dyDescent="0.2">
      <c r="A30" s="15"/>
      <c r="C30" t="s">
        <v>63</v>
      </c>
      <c r="D30" t="s">
        <v>62</v>
      </c>
    </row>
    <row r="31" spans="1:4" x14ac:dyDescent="0.2">
      <c r="A31" s="24" t="s">
        <v>72</v>
      </c>
      <c r="B31" s="23" t="s">
        <v>21</v>
      </c>
      <c r="C31" t="s">
        <v>64</v>
      </c>
      <c r="D31" t="s">
        <v>65</v>
      </c>
    </row>
    <row r="32" spans="1:4" x14ac:dyDescent="0.2">
      <c r="A32" s="25" t="s">
        <v>18</v>
      </c>
      <c r="B32" t="s">
        <v>26</v>
      </c>
    </row>
    <row r="33" spans="1:4" x14ac:dyDescent="0.2">
      <c r="A33" s="27" t="s">
        <v>73</v>
      </c>
      <c r="B33" t="s">
        <v>27</v>
      </c>
    </row>
    <row r="34" spans="1:4" x14ac:dyDescent="0.2">
      <c r="A34" s="37">
        <v>350</v>
      </c>
      <c r="B34" t="s">
        <v>71</v>
      </c>
      <c r="C34" s="23" t="s">
        <v>89</v>
      </c>
    </row>
    <row r="35" spans="1:4" x14ac:dyDescent="0.2">
      <c r="A35" s="15"/>
      <c r="D35" s="23" t="s">
        <v>184</v>
      </c>
    </row>
    <row r="36" spans="1:4" x14ac:dyDescent="0.2">
      <c r="A36" s="24" t="s">
        <v>74</v>
      </c>
      <c r="B36" s="23" t="s">
        <v>22</v>
      </c>
      <c r="C36">
        <v>141</v>
      </c>
      <c r="D36" t="s">
        <v>90</v>
      </c>
    </row>
    <row r="37" spans="1:4" x14ac:dyDescent="0.2">
      <c r="A37" s="25" t="s">
        <v>103</v>
      </c>
      <c r="B37" t="s">
        <v>26</v>
      </c>
      <c r="C37" s="57">
        <v>449438</v>
      </c>
      <c r="D37" t="s">
        <v>196</v>
      </c>
    </row>
    <row r="38" spans="1:4" x14ac:dyDescent="0.2">
      <c r="A38" t="s">
        <v>102</v>
      </c>
      <c r="B38" t="s">
        <v>100</v>
      </c>
      <c r="C38">
        <v>581</v>
      </c>
      <c r="D38" t="s">
        <v>91</v>
      </c>
    </row>
    <row r="39" spans="1:4" x14ac:dyDescent="0.2">
      <c r="A39" t="s">
        <v>101</v>
      </c>
      <c r="B39" t="s">
        <v>100</v>
      </c>
      <c r="C39">
        <v>707</v>
      </c>
      <c r="D39" t="s">
        <v>93</v>
      </c>
    </row>
    <row r="40" spans="1:4" x14ac:dyDescent="0.2">
      <c r="A40" s="15" t="s">
        <v>38</v>
      </c>
      <c r="B40" t="s">
        <v>54</v>
      </c>
      <c r="C40">
        <v>383</v>
      </c>
      <c r="D40" t="s">
        <v>92</v>
      </c>
    </row>
    <row r="41" spans="1:4" x14ac:dyDescent="0.2">
      <c r="A41" s="15" t="s">
        <v>42</v>
      </c>
      <c r="B41" t="s">
        <v>55</v>
      </c>
      <c r="C41">
        <v>1196</v>
      </c>
      <c r="D41" t="s">
        <v>94</v>
      </c>
    </row>
    <row r="42" spans="1:4" x14ac:dyDescent="0.2">
      <c r="A42" s="15" t="s">
        <v>39</v>
      </c>
      <c r="B42" t="s">
        <v>56</v>
      </c>
      <c r="C42">
        <v>1136</v>
      </c>
      <c r="D42" t="s">
        <v>95</v>
      </c>
    </row>
    <row r="43" spans="1:4" x14ac:dyDescent="0.2">
      <c r="A43" s="15" t="s">
        <v>40</v>
      </c>
      <c r="B43" t="s">
        <v>57</v>
      </c>
    </row>
    <row r="44" spans="1:4" x14ac:dyDescent="0.2">
      <c r="A44" s="15" t="s">
        <v>41</v>
      </c>
      <c r="B44" t="s">
        <v>58</v>
      </c>
      <c r="D44" s="23" t="s">
        <v>185</v>
      </c>
    </row>
    <row r="45" spans="1:4" x14ac:dyDescent="0.2">
      <c r="A45" s="27" t="s">
        <v>75</v>
      </c>
      <c r="B45" t="s">
        <v>27</v>
      </c>
      <c r="C45">
        <v>76</v>
      </c>
      <c r="D45" t="s">
        <v>186</v>
      </c>
    </row>
    <row r="46" spans="1:4" x14ac:dyDescent="0.2">
      <c r="A46" s="30">
        <v>991</v>
      </c>
      <c r="B46" t="s">
        <v>76</v>
      </c>
      <c r="C46">
        <v>135</v>
      </c>
      <c r="D46" t="s">
        <v>187</v>
      </c>
    </row>
    <row r="47" spans="1:4" x14ac:dyDescent="0.2">
      <c r="A47" s="32">
        <v>992</v>
      </c>
      <c r="B47" t="s">
        <v>77</v>
      </c>
      <c r="C47" s="14" t="s">
        <v>192</v>
      </c>
      <c r="D47" t="s">
        <v>193</v>
      </c>
    </row>
    <row r="48" spans="1:4" x14ac:dyDescent="0.2">
      <c r="A48" s="15">
        <v>993</v>
      </c>
      <c r="C48">
        <v>374</v>
      </c>
      <c r="D48" t="s">
        <v>205</v>
      </c>
    </row>
    <row r="49" spans="1:4" x14ac:dyDescent="0.2">
      <c r="A49" s="25">
        <v>994</v>
      </c>
      <c r="B49" t="s">
        <v>31</v>
      </c>
      <c r="C49">
        <v>455</v>
      </c>
      <c r="D49" t="s">
        <v>195</v>
      </c>
    </row>
    <row r="50" spans="1:4" x14ac:dyDescent="0.2">
      <c r="A50" s="32">
        <v>995</v>
      </c>
      <c r="B50" t="s">
        <v>32</v>
      </c>
      <c r="C50">
        <v>501</v>
      </c>
      <c r="D50" t="s">
        <v>198</v>
      </c>
    </row>
    <row r="51" spans="1:4" x14ac:dyDescent="0.2">
      <c r="A51" s="30">
        <v>996</v>
      </c>
      <c r="B51" t="s">
        <v>33</v>
      </c>
      <c r="C51">
        <v>607</v>
      </c>
      <c r="D51" t="s">
        <v>197</v>
      </c>
    </row>
    <row r="52" spans="1:4" x14ac:dyDescent="0.2">
      <c r="A52" s="32">
        <v>997</v>
      </c>
      <c r="B52" t="s">
        <v>34</v>
      </c>
      <c r="C52">
        <v>682</v>
      </c>
      <c r="D52" t="s">
        <v>203</v>
      </c>
    </row>
    <row r="53" spans="1:4" x14ac:dyDescent="0.2">
      <c r="A53" s="32">
        <v>998</v>
      </c>
      <c r="B53" t="s">
        <v>35</v>
      </c>
      <c r="C53">
        <v>750</v>
      </c>
      <c r="D53" t="s">
        <v>199</v>
      </c>
    </row>
    <row r="54" spans="1:4" x14ac:dyDescent="0.2">
      <c r="A54" s="32">
        <v>999</v>
      </c>
      <c r="B54" t="s">
        <v>36</v>
      </c>
      <c r="C54">
        <v>761</v>
      </c>
      <c r="D54" t="s">
        <v>204</v>
      </c>
    </row>
    <row r="55" spans="1:4" x14ac:dyDescent="0.2">
      <c r="A55" s="37">
        <v>1000</v>
      </c>
      <c r="B55" t="s">
        <v>17</v>
      </c>
      <c r="C55">
        <v>770</v>
      </c>
      <c r="D55" t="s">
        <v>200</v>
      </c>
    </row>
    <row r="56" spans="1:4" x14ac:dyDescent="0.2">
      <c r="C56">
        <v>795</v>
      </c>
      <c r="D56" t="s">
        <v>201</v>
      </c>
    </row>
    <row r="57" spans="1:4" x14ac:dyDescent="0.2">
      <c r="A57" s="15"/>
      <c r="C57">
        <v>870</v>
      </c>
      <c r="D57" t="s">
        <v>202</v>
      </c>
    </row>
    <row r="58" spans="1:4" x14ac:dyDescent="0.2">
      <c r="A58" s="24" t="s">
        <v>121</v>
      </c>
      <c r="B58" s="23" t="s">
        <v>37</v>
      </c>
    </row>
    <row r="59" spans="1:4" x14ac:dyDescent="0.2">
      <c r="A59" s="25" t="s">
        <v>78</v>
      </c>
      <c r="B59" t="s">
        <v>26</v>
      </c>
      <c r="D59" s="23" t="s">
        <v>188</v>
      </c>
    </row>
    <row r="60" spans="1:4" x14ac:dyDescent="0.2">
      <c r="A60" s="27" t="s">
        <v>79</v>
      </c>
      <c r="B60" t="s">
        <v>27</v>
      </c>
      <c r="C60" s="14" t="s">
        <v>189</v>
      </c>
      <c r="D60" t="s">
        <v>190</v>
      </c>
    </row>
    <row r="61" spans="1:4" x14ac:dyDescent="0.2">
      <c r="A61" s="25" t="s">
        <v>80</v>
      </c>
      <c r="B61" t="s">
        <v>26</v>
      </c>
      <c r="C61" s="56">
        <v>226230</v>
      </c>
      <c r="D61" t="s">
        <v>191</v>
      </c>
    </row>
    <row r="62" spans="1:4" x14ac:dyDescent="0.2">
      <c r="A62" s="27" t="s">
        <v>81</v>
      </c>
      <c r="B62" t="s">
        <v>27</v>
      </c>
      <c r="C62">
        <v>305</v>
      </c>
      <c r="D62" t="s">
        <v>194</v>
      </c>
    </row>
    <row r="63" spans="1:4" x14ac:dyDescent="0.2">
      <c r="A63" s="25" t="s">
        <v>82</v>
      </c>
      <c r="B63" t="s">
        <v>26</v>
      </c>
      <c r="C63">
        <v>425</v>
      </c>
      <c r="D63" t="s">
        <v>97</v>
      </c>
    </row>
    <row r="64" spans="1:4" x14ac:dyDescent="0.2">
      <c r="A64" s="27" t="s">
        <v>83</v>
      </c>
      <c r="B64" t="s">
        <v>27</v>
      </c>
      <c r="C64">
        <v>459</v>
      </c>
      <c r="D64" t="s">
        <v>96</v>
      </c>
    </row>
    <row r="65" spans="1:4" x14ac:dyDescent="0.2">
      <c r="A65" s="25" t="s">
        <v>84</v>
      </c>
      <c r="B65" t="s">
        <v>26</v>
      </c>
      <c r="C65">
        <v>12642</v>
      </c>
      <c r="D65" t="s">
        <v>98</v>
      </c>
    </row>
    <row r="66" spans="1:4" x14ac:dyDescent="0.2">
      <c r="A66" s="27" t="s">
        <v>85</v>
      </c>
      <c r="B66" t="s">
        <v>27</v>
      </c>
      <c r="C66">
        <v>12629</v>
      </c>
      <c r="D66" t="s">
        <v>99</v>
      </c>
    </row>
    <row r="67" spans="1:4" x14ac:dyDescent="0.2">
      <c r="A67" s="30">
        <v>1480</v>
      </c>
      <c r="B67" t="s">
        <v>43</v>
      </c>
    </row>
    <row r="68" spans="1:4" x14ac:dyDescent="0.2">
      <c r="A68" s="32">
        <v>1481</v>
      </c>
      <c r="B68" t="s">
        <v>44</v>
      </c>
    </row>
    <row r="69" spans="1:4" x14ac:dyDescent="0.2">
      <c r="A69" s="32">
        <v>1482</v>
      </c>
      <c r="B69" t="s">
        <v>122</v>
      </c>
    </row>
    <row r="70" spans="1:4" x14ac:dyDescent="0.2">
      <c r="A70" s="30">
        <v>1483</v>
      </c>
      <c r="B70" t="s">
        <v>45</v>
      </c>
    </row>
    <row r="71" spans="1:4" x14ac:dyDescent="0.2">
      <c r="A71" s="32">
        <v>1484</v>
      </c>
      <c r="B71" t="s">
        <v>123</v>
      </c>
    </row>
    <row r="72" spans="1:4" x14ac:dyDescent="0.2">
      <c r="A72" s="30">
        <v>1485</v>
      </c>
      <c r="B72" t="s">
        <v>46</v>
      </c>
    </row>
    <row r="73" spans="1:4" x14ac:dyDescent="0.2">
      <c r="A73" s="32">
        <v>1486</v>
      </c>
      <c r="B73" t="s">
        <v>47</v>
      </c>
      <c r="C73" s="23" t="s">
        <v>117</v>
      </c>
    </row>
    <row r="74" spans="1:4" x14ac:dyDescent="0.2">
      <c r="A74" s="32">
        <v>1487</v>
      </c>
      <c r="B74" t="s">
        <v>124</v>
      </c>
      <c r="C74">
        <v>1</v>
      </c>
      <c r="D74" t="s">
        <v>109</v>
      </c>
    </row>
    <row r="75" spans="1:4" x14ac:dyDescent="0.2">
      <c r="A75" s="37" t="s">
        <v>86</v>
      </c>
      <c r="B75" t="s">
        <v>17</v>
      </c>
      <c r="C75">
        <v>2</v>
      </c>
      <c r="D75" t="s">
        <v>110</v>
      </c>
    </row>
    <row r="76" spans="1:4" x14ac:dyDescent="0.2">
      <c r="A76" s="35" t="s">
        <v>87</v>
      </c>
      <c r="B76" t="s">
        <v>88</v>
      </c>
      <c r="C76">
        <v>3</v>
      </c>
      <c r="D76" t="s">
        <v>111</v>
      </c>
    </row>
    <row r="77" spans="1:4" x14ac:dyDescent="0.2">
      <c r="B77" t="s">
        <v>118</v>
      </c>
      <c r="C77">
        <v>4</v>
      </c>
      <c r="D77" t="s">
        <v>112</v>
      </c>
    </row>
    <row r="78" spans="1:4" x14ac:dyDescent="0.2">
      <c r="C78">
        <v>5</v>
      </c>
      <c r="D78" t="s">
        <v>113</v>
      </c>
    </row>
    <row r="79" spans="1:4" x14ac:dyDescent="0.2">
      <c r="C79">
        <v>6</v>
      </c>
      <c r="D79" t="s">
        <v>114</v>
      </c>
    </row>
    <row r="80" spans="1:4" x14ac:dyDescent="0.2">
      <c r="A80" s="35">
        <v>398</v>
      </c>
      <c r="B80" t="s">
        <v>24</v>
      </c>
      <c r="C80">
        <v>7</v>
      </c>
      <c r="D80" t="s">
        <v>115</v>
      </c>
    </row>
    <row r="81" spans="1:4" x14ac:dyDescent="0.2">
      <c r="A81" s="35">
        <v>399</v>
      </c>
      <c r="B81" t="s">
        <v>25</v>
      </c>
      <c r="C81">
        <v>8</v>
      </c>
      <c r="D81" t="s">
        <v>116</v>
      </c>
    </row>
    <row r="83" spans="1:4" x14ac:dyDescent="0.2">
      <c r="A83" s="35" t="s">
        <v>28</v>
      </c>
      <c r="B83" t="s">
        <v>29</v>
      </c>
      <c r="C83">
        <f>173+(269-201)+(967-361-7)+(1438-1001-42)</f>
        <v>1235</v>
      </c>
      <c r="D83" t="s">
        <v>119</v>
      </c>
    </row>
    <row r="84" spans="1:4" x14ac:dyDescent="0.2">
      <c r="A84" s="35">
        <v>993</v>
      </c>
      <c r="B84" t="s">
        <v>30</v>
      </c>
      <c r="C84">
        <v>20</v>
      </c>
      <c r="D84" t="s">
        <v>120</v>
      </c>
    </row>
  </sheetData>
  <phoneticPr fontId="0" type="noConversion"/>
  <printOptions horizontalCentered="1" verticalCentered="1"/>
  <pageMargins left="0.75" right="0.75" top="0.5" bottom="0.5" header="0.5" footer="0.5"/>
  <pageSetup scale="66" orientation="portrait" r:id="rId1"/>
  <headerFooter alignWithMargins="0">
    <oddFooter>&amp;L&amp;F    &amp;A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18</vt:i4>
      </vt:variant>
    </vt:vector>
  </HeadingPairs>
  <TitlesOfParts>
    <vt:vector size="37" baseType="lpstr">
      <vt:lpstr>Export</vt:lpstr>
      <vt:lpstr>SFF 8.3</vt:lpstr>
      <vt:lpstr>Cap1hr1ln V8.32b</vt:lpstr>
      <vt:lpstr>VDF V8.3x</vt:lpstr>
      <vt:lpstr>Cap1hr1ln V8.3x</vt:lpstr>
      <vt:lpstr>SFF 8.1</vt:lpstr>
      <vt:lpstr>Cap1hr1ln V8.1</vt:lpstr>
      <vt:lpstr>VDF V8.1</vt:lpstr>
      <vt:lpstr>VDF V8</vt:lpstr>
      <vt:lpstr>Cap1hr1ln V8</vt:lpstr>
      <vt:lpstr>SFF 8</vt:lpstr>
      <vt:lpstr>SFF 7.0</vt:lpstr>
      <vt:lpstr>Cap1hr1ln V7.0</vt:lpstr>
      <vt:lpstr>VDF V7.0</vt:lpstr>
      <vt:lpstr>Zones-V7</vt:lpstr>
      <vt:lpstr>SFF V6.1</vt:lpstr>
      <vt:lpstr>Cap1hr1ln V6.0</vt:lpstr>
      <vt:lpstr>VDF V6.x</vt:lpstr>
      <vt:lpstr>Zones-V3.x</vt:lpstr>
      <vt:lpstr>'Cap1hr1ln V8'!ArtExpFactors</vt:lpstr>
      <vt:lpstr>'Cap1hr1ln V8.3x'!ArtExpFactors</vt:lpstr>
      <vt:lpstr>'Cap1hr1ln V8'!ATypeCap</vt:lpstr>
      <vt:lpstr>'Cap1hr1ln V8.3x'!ATypeCap</vt:lpstr>
      <vt:lpstr>Export_SpdCap</vt:lpstr>
      <vt:lpstr>Export_VDF</vt:lpstr>
      <vt:lpstr>'Cap1hr1ln V8'!FwyCapFactors</vt:lpstr>
      <vt:lpstr>'Cap1hr1ln V8.3x'!FwyCapFactors</vt:lpstr>
      <vt:lpstr>'Cap1hr1ln V8'!FwyFleLookup</vt:lpstr>
      <vt:lpstr>'Cap1hr1ln V8.3x'!FwyFleLookup</vt:lpstr>
      <vt:lpstr>'Cap1hr1ln V8.1'!Print_Area</vt:lpstr>
      <vt:lpstr>'Cap1hr1ln V8.3x'!Print_Area</vt:lpstr>
      <vt:lpstr>'SFF 8.1'!Print_Area</vt:lpstr>
      <vt:lpstr>'SFF 8.3'!Print_Area</vt:lpstr>
      <vt:lpstr>'Cap1hr1ln V8.1'!Print_Titles</vt:lpstr>
      <vt:lpstr>'Cap1hr1ln V8.3x'!Print_Titles</vt:lpstr>
      <vt:lpstr>'SFF 8.1'!Print_Titles</vt:lpstr>
      <vt:lpstr>'SFF 8.3'!Print_Titles</vt:lpstr>
    </vt:vector>
  </TitlesOfParts>
  <Company>WFRC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Brown</dc:creator>
  <cp:lastModifiedBy>Chad Worthen</cp:lastModifiedBy>
  <cp:lastPrinted>2015-10-02T21:42:07Z</cp:lastPrinted>
  <dcterms:created xsi:type="dcterms:W3CDTF">1999-12-15T20:56:47Z</dcterms:created>
  <dcterms:modified xsi:type="dcterms:W3CDTF">2022-12-21T20:28:26Z</dcterms:modified>
</cp:coreProperties>
</file>