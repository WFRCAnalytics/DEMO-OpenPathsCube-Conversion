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orthen\Desktop\WF TDM v9.1 - Task 1 - 2024-02-21\1_Inputs\0_GlobalData\0_SpeedCap\"/>
    </mc:Choice>
  </mc:AlternateContent>
  <xr:revisionPtr revIDLastSave="0" documentId="13_ncr:1_{2749BD98-D4F7-4593-A1A2-CCD1A26403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_CAV" sheetId="2" r:id="rId1"/>
    <sheet name="checkModelLookup" sheetId="4" r:id="rId2"/>
    <sheet name="CAVCapMultiplier" sheetId="3" r:id="rId3"/>
  </sheets>
  <externalReferences>
    <externalReference r:id="rId4"/>
  </externalReferences>
  <definedNames>
    <definedName name="ArtExpFactors">'[1]TDM_Cap1hr1ln V8.3'!$B$55:$E$64</definedName>
    <definedName name="ATypeCap">'[1]TDM_Cap1hr1ln V8.3'!$B$77:$G$78</definedName>
    <definedName name="FwyCapFactors">'[1]TDM_Cap1hr1ln V8.3'!$B$85:$D$97</definedName>
    <definedName name="FwyFleLookup">'[1]TDM_Cap1hr1ln V8.3'!$F$85:$G$92</definedName>
  </definedNames>
  <calcPr calcId="191029"/>
</workbook>
</file>

<file path=xl/calcChain.xml><?xml version="1.0" encoding="utf-8"?>
<calcChain xmlns="http://schemas.openxmlformats.org/spreadsheetml/2006/main">
  <c r="AY5" i="4" l="1"/>
  <c r="AX5" i="4"/>
  <c r="AW5" i="4"/>
  <c r="AV5" i="4"/>
  <c r="X12" i="4"/>
  <c r="Y12" i="4" s="1"/>
  <c r="AJ12" i="4" s="1"/>
  <c r="AC4" i="4"/>
  <c r="AC5" i="4" s="1"/>
  <c r="AD4" i="4"/>
  <c r="AD5" i="4" s="1"/>
  <c r="AE4" i="4"/>
  <c r="AE5" i="4" s="1"/>
  <c r="AB4" i="4"/>
  <c r="AB5" i="4" s="1"/>
  <c r="AO5" i="4"/>
  <c r="AG4" i="4" s="1"/>
  <c r="AG5" i="4" s="1"/>
  <c r="AP5" i="4"/>
  <c r="AH4" i="4" s="1"/>
  <c r="AH5" i="4" s="1"/>
  <c r="AQ5" i="4"/>
  <c r="AI4" i="4" s="1"/>
  <c r="AI5" i="4" s="1"/>
  <c r="AN5" i="4"/>
  <c r="AF4" i="4" s="1"/>
  <c r="AF5" i="4" s="1"/>
  <c r="X22" i="4"/>
  <c r="Y22" i="4" s="1"/>
  <c r="AR22" i="4" s="1"/>
  <c r="X23" i="4"/>
  <c r="Y23" i="4" s="1"/>
  <c r="Z23" i="4" s="1"/>
  <c r="X24" i="4"/>
  <c r="Y24" i="4" s="1"/>
  <c r="Z24" i="4" s="1"/>
  <c r="X25" i="4"/>
  <c r="Y25" i="4" s="1"/>
  <c r="X26" i="4"/>
  <c r="Y26" i="4" s="1"/>
  <c r="X27" i="4"/>
  <c r="Y27" i="4" s="1"/>
  <c r="AS27" i="4" s="1"/>
  <c r="X28" i="4"/>
  <c r="Y28" i="4" s="1"/>
  <c r="AR28" i="4" s="1"/>
  <c r="X29" i="4"/>
  <c r="Y29" i="4" s="1"/>
  <c r="AS29" i="4" s="1"/>
  <c r="X30" i="4"/>
  <c r="Y30" i="4" s="1"/>
  <c r="AR30" i="4" s="1"/>
  <c r="X31" i="4"/>
  <c r="Y31" i="4" s="1"/>
  <c r="AS31" i="4" s="1"/>
  <c r="X32" i="4"/>
  <c r="Y32" i="4" s="1"/>
  <c r="AR32" i="4" s="1"/>
  <c r="X33" i="4"/>
  <c r="Y33" i="4" s="1"/>
  <c r="X34" i="4"/>
  <c r="Y34" i="4" s="1"/>
  <c r="X35" i="4"/>
  <c r="Y35" i="4" s="1"/>
  <c r="AS35" i="4" s="1"/>
  <c r="X36" i="4"/>
  <c r="Y36" i="4" s="1"/>
  <c r="AR36" i="4" s="1"/>
  <c r="X37" i="4"/>
  <c r="Y37" i="4" s="1"/>
  <c r="AS37" i="4" s="1"/>
  <c r="X38" i="4"/>
  <c r="Y38" i="4" s="1"/>
  <c r="AR38" i="4" s="1"/>
  <c r="X39" i="4"/>
  <c r="Y39" i="4" s="1"/>
  <c r="AS39" i="4" s="1"/>
  <c r="X40" i="4"/>
  <c r="Y40" i="4" s="1"/>
  <c r="AR40" i="4" s="1"/>
  <c r="X41" i="4"/>
  <c r="Y41" i="4" s="1"/>
  <c r="X42" i="4"/>
  <c r="Y42" i="4" s="1"/>
  <c r="X43" i="4"/>
  <c r="Y43" i="4" s="1"/>
  <c r="AS43" i="4" s="1"/>
  <c r="X44" i="4"/>
  <c r="Y44" i="4" s="1"/>
  <c r="AR44" i="4" s="1"/>
  <c r="X45" i="4"/>
  <c r="Y45" i="4" s="1"/>
  <c r="AS45" i="4" s="1"/>
  <c r="X46" i="4"/>
  <c r="Y46" i="4" s="1"/>
  <c r="AR46" i="4" s="1"/>
  <c r="X47" i="4"/>
  <c r="Y47" i="4" s="1"/>
  <c r="AS47" i="4" s="1"/>
  <c r="X48" i="4"/>
  <c r="Y48" i="4" s="1"/>
  <c r="AR48" i="4" s="1"/>
  <c r="X49" i="4"/>
  <c r="Y49" i="4" s="1"/>
  <c r="X50" i="4"/>
  <c r="Y50" i="4" s="1"/>
  <c r="X51" i="4"/>
  <c r="Y51" i="4" s="1"/>
  <c r="AS51" i="4" s="1"/>
  <c r="X52" i="4"/>
  <c r="Y52" i="4" s="1"/>
  <c r="AR52" i="4" s="1"/>
  <c r="X53" i="4"/>
  <c r="Y53" i="4" s="1"/>
  <c r="AS53" i="4" s="1"/>
  <c r="X54" i="4"/>
  <c r="Y54" i="4" s="1"/>
  <c r="AR54" i="4" s="1"/>
  <c r="X55" i="4"/>
  <c r="Y55" i="4" s="1"/>
  <c r="AS55" i="4" s="1"/>
  <c r="X56" i="4"/>
  <c r="Y56" i="4" s="1"/>
  <c r="AM56" i="4" s="1"/>
  <c r="X57" i="4"/>
  <c r="Y57" i="4" s="1"/>
  <c r="X58" i="4"/>
  <c r="Y58" i="4" s="1"/>
  <c r="X59" i="4"/>
  <c r="Y59" i="4" s="1"/>
  <c r="AS59" i="4" s="1"/>
  <c r="X60" i="4"/>
  <c r="Y60" i="4" s="1"/>
  <c r="AR60" i="4" s="1"/>
  <c r="X61" i="4"/>
  <c r="Y61" i="4" s="1"/>
  <c r="AS61" i="4" s="1"/>
  <c r="X62" i="4"/>
  <c r="Y62" i="4" s="1"/>
  <c r="AR62" i="4" s="1"/>
  <c r="X63" i="4"/>
  <c r="Y63" i="4" s="1"/>
  <c r="AS63" i="4" s="1"/>
  <c r="X64" i="4"/>
  <c r="Y64" i="4" s="1"/>
  <c r="AR64" i="4" s="1"/>
  <c r="X65" i="4"/>
  <c r="Y65" i="4" s="1"/>
  <c r="X66" i="4"/>
  <c r="Y66" i="4" s="1"/>
  <c r="AT66" i="4" s="1"/>
  <c r="X67" i="4"/>
  <c r="Y67" i="4" s="1"/>
  <c r="AS67" i="4" s="1"/>
  <c r="X68" i="4"/>
  <c r="Y68" i="4" s="1"/>
  <c r="AR68" i="4" s="1"/>
  <c r="X69" i="4"/>
  <c r="Y69" i="4" s="1"/>
  <c r="AS69" i="4" s="1"/>
  <c r="X70" i="4"/>
  <c r="Y70" i="4" s="1"/>
  <c r="AR70" i="4" s="1"/>
  <c r="X71" i="4"/>
  <c r="Y71" i="4" s="1"/>
  <c r="AS71" i="4" s="1"/>
  <c r="X72" i="4"/>
  <c r="Y72" i="4" s="1"/>
  <c r="AR72" i="4" s="1"/>
  <c r="X73" i="4"/>
  <c r="Y73" i="4" s="1"/>
  <c r="X74" i="4"/>
  <c r="Y74" i="4" s="1"/>
  <c r="AT74" i="4" s="1"/>
  <c r="X75" i="4"/>
  <c r="Y75" i="4" s="1"/>
  <c r="AS75" i="4" s="1"/>
  <c r="X76" i="4"/>
  <c r="Y76" i="4" s="1"/>
  <c r="AR76" i="4" s="1"/>
  <c r="X77" i="4"/>
  <c r="Y77" i="4" s="1"/>
  <c r="AS77" i="4" s="1"/>
  <c r="X78" i="4"/>
  <c r="Y78" i="4" s="1"/>
  <c r="AR78" i="4" s="1"/>
  <c r="X79" i="4"/>
  <c r="Y79" i="4" s="1"/>
  <c r="AS79" i="4" s="1"/>
  <c r="X80" i="4"/>
  <c r="Y80" i="4" s="1"/>
  <c r="AR80" i="4" s="1"/>
  <c r="X81" i="4"/>
  <c r="Y81" i="4" s="1"/>
  <c r="X82" i="4"/>
  <c r="Y82" i="4" s="1"/>
  <c r="AT82" i="4" s="1"/>
  <c r="X83" i="4"/>
  <c r="Y83" i="4" s="1"/>
  <c r="AS83" i="4" s="1"/>
  <c r="X84" i="4"/>
  <c r="Y84" i="4" s="1"/>
  <c r="AR84" i="4" s="1"/>
  <c r="X85" i="4"/>
  <c r="Y85" i="4" s="1"/>
  <c r="AS85" i="4" s="1"/>
  <c r="X86" i="4"/>
  <c r="Y86" i="4" s="1"/>
  <c r="AR86" i="4" s="1"/>
  <c r="X87" i="4"/>
  <c r="Y87" i="4" s="1"/>
  <c r="AS87" i="4" s="1"/>
  <c r="X88" i="4"/>
  <c r="Y88" i="4" s="1"/>
  <c r="AR88" i="4" s="1"/>
  <c r="X89" i="4"/>
  <c r="Y89" i="4" s="1"/>
  <c r="X90" i="4"/>
  <c r="Y90" i="4" s="1"/>
  <c r="X91" i="4"/>
  <c r="Y91" i="4" s="1"/>
  <c r="AS91" i="4" s="1"/>
  <c r="X92" i="4"/>
  <c r="Y92" i="4" s="1"/>
  <c r="AR92" i="4" s="1"/>
  <c r="X93" i="4"/>
  <c r="Y93" i="4" s="1"/>
  <c r="AS93" i="4" s="1"/>
  <c r="X94" i="4"/>
  <c r="Y94" i="4" s="1"/>
  <c r="AR94" i="4" s="1"/>
  <c r="X95" i="4"/>
  <c r="Y95" i="4" s="1"/>
  <c r="AS95" i="4" s="1"/>
  <c r="X96" i="4"/>
  <c r="Y96" i="4" s="1"/>
  <c r="AR96" i="4" s="1"/>
  <c r="X97" i="4"/>
  <c r="Y97" i="4" s="1"/>
  <c r="X98" i="4"/>
  <c r="Y98" i="4" s="1"/>
  <c r="X99" i="4"/>
  <c r="Y99" i="4" s="1"/>
  <c r="AS99" i="4" s="1"/>
  <c r="X100" i="4"/>
  <c r="Y100" i="4" s="1"/>
  <c r="AR100" i="4" s="1"/>
  <c r="X101" i="4"/>
  <c r="Y101" i="4" s="1"/>
  <c r="AS101" i="4" s="1"/>
  <c r="X102" i="4"/>
  <c r="Y102" i="4" s="1"/>
  <c r="AR102" i="4" s="1"/>
  <c r="X103" i="4"/>
  <c r="Y103" i="4" s="1"/>
  <c r="AS103" i="4" s="1"/>
  <c r="X104" i="4"/>
  <c r="Y104" i="4" s="1"/>
  <c r="AR104" i="4" s="1"/>
  <c r="X105" i="4"/>
  <c r="Y105" i="4" s="1"/>
  <c r="X106" i="4"/>
  <c r="Y106" i="4" s="1"/>
  <c r="X7" i="4"/>
  <c r="Y7" i="4" s="1"/>
  <c r="AK7" i="4" s="1"/>
  <c r="X8" i="4"/>
  <c r="Y8" i="4" s="1"/>
  <c r="AJ8" i="4" s="1"/>
  <c r="X9" i="4"/>
  <c r="Y9" i="4" s="1"/>
  <c r="AM9" i="4" s="1"/>
  <c r="X10" i="4"/>
  <c r="Y10" i="4" s="1"/>
  <c r="AR10" i="4" s="1"/>
  <c r="X11" i="4"/>
  <c r="Y11" i="4" s="1"/>
  <c r="AS11" i="4" s="1"/>
  <c r="X13" i="4"/>
  <c r="Y13" i="4" s="1"/>
  <c r="X14" i="4"/>
  <c r="Y14" i="4" s="1"/>
  <c r="X15" i="4"/>
  <c r="Y15" i="4" s="1"/>
  <c r="Z15" i="4" s="1"/>
  <c r="X16" i="4"/>
  <c r="Y16" i="4" s="1"/>
  <c r="AJ16" i="4" s="1"/>
  <c r="X17" i="4"/>
  <c r="Y17" i="4" s="1"/>
  <c r="AM17" i="4" s="1"/>
  <c r="X18" i="4"/>
  <c r="Y18" i="4" s="1"/>
  <c r="AK18" i="4" s="1"/>
  <c r="X19" i="4"/>
  <c r="Y19" i="4" s="1"/>
  <c r="Z19" i="4" s="1"/>
  <c r="X20" i="4"/>
  <c r="Y20" i="4" s="1"/>
  <c r="AR20" i="4" s="1"/>
  <c r="X21" i="4"/>
  <c r="Y21" i="4" s="1"/>
  <c r="X6" i="4"/>
  <c r="Y6" i="4" s="1"/>
  <c r="BE12" i="3"/>
  <c r="Y12" i="3"/>
  <c r="BE11" i="3"/>
  <c r="Y11" i="3"/>
  <c r="BE10" i="3"/>
  <c r="AC10" i="3"/>
  <c r="N7" i="3" s="1"/>
  <c r="Y10" i="3"/>
  <c r="V10" i="3"/>
  <c r="V10" i="2" s="1"/>
  <c r="R10" i="3"/>
  <c r="Q10" i="3" s="1"/>
  <c r="Q10" i="2" s="1"/>
  <c r="N10" i="3"/>
  <c r="K10" i="3" s="1"/>
  <c r="K10" i="2" s="1"/>
  <c r="J10" i="3"/>
  <c r="I10" i="3" s="1"/>
  <c r="I10" i="2" s="1"/>
  <c r="F10" i="3"/>
  <c r="B10" i="3"/>
  <c r="BE9" i="3"/>
  <c r="Y9" i="3"/>
  <c r="V9" i="3"/>
  <c r="V9" i="2" s="1"/>
  <c r="R9" i="3"/>
  <c r="P9" i="3" s="1"/>
  <c r="P9" i="2" s="1"/>
  <c r="N9" i="3"/>
  <c r="J9" i="3"/>
  <c r="F9" i="3"/>
  <c r="B9" i="3"/>
  <c r="BE8" i="3"/>
  <c r="Y8" i="3"/>
  <c r="V8" i="3"/>
  <c r="R8" i="3"/>
  <c r="N8" i="3"/>
  <c r="J8" i="3"/>
  <c r="I8" i="3" s="1"/>
  <c r="I8" i="2" s="1"/>
  <c r="F8" i="3"/>
  <c r="B8" i="3"/>
  <c r="B8" i="2" s="1"/>
  <c r="BE7" i="3"/>
  <c r="AC7" i="3"/>
  <c r="B7" i="3" s="1"/>
  <c r="B7" i="2" s="1"/>
  <c r="Y7" i="3"/>
  <c r="V7" i="3"/>
  <c r="R7" i="3"/>
  <c r="J7" i="3"/>
  <c r="J7" i="2" s="1"/>
  <c r="F7" i="3"/>
  <c r="BE35" i="3"/>
  <c r="Y35" i="3"/>
  <c r="BE34" i="3"/>
  <c r="AC34" i="3"/>
  <c r="R30" i="3" s="1"/>
  <c r="R14" i="2" s="1"/>
  <c r="Y34" i="3"/>
  <c r="BE33" i="3"/>
  <c r="AC33" i="3"/>
  <c r="N30" i="3" s="1"/>
  <c r="Y33" i="3"/>
  <c r="V33" i="3"/>
  <c r="R33" i="3"/>
  <c r="R17" i="2" s="1"/>
  <c r="N33" i="3"/>
  <c r="N17" i="2" s="1"/>
  <c r="J33" i="3"/>
  <c r="J17" i="2" s="1"/>
  <c r="F33" i="3"/>
  <c r="B33" i="3"/>
  <c r="B17" i="2" s="1"/>
  <c r="BE32" i="3"/>
  <c r="Y32" i="3"/>
  <c r="V32" i="3"/>
  <c r="R32" i="3"/>
  <c r="N32" i="3"/>
  <c r="J32" i="3"/>
  <c r="J16" i="2" s="1"/>
  <c r="F32" i="3"/>
  <c r="B32" i="3"/>
  <c r="B16" i="2" s="1"/>
  <c r="BE31" i="3"/>
  <c r="Y31" i="3"/>
  <c r="V31" i="3"/>
  <c r="R31" i="3"/>
  <c r="N31" i="3"/>
  <c r="J31" i="3"/>
  <c r="J15" i="2" s="1"/>
  <c r="F31" i="3"/>
  <c r="B31" i="3"/>
  <c r="B15" i="2" s="1"/>
  <c r="BE30" i="3"/>
  <c r="AC30" i="3"/>
  <c r="B30" i="3" s="1"/>
  <c r="B14" i="2" s="1"/>
  <c r="Y30" i="3"/>
  <c r="V30" i="3"/>
  <c r="V14" i="2" s="1"/>
  <c r="J30" i="3"/>
  <c r="J14" i="2" s="1"/>
  <c r="F30" i="3"/>
  <c r="D30" i="3" s="1"/>
  <c r="D14" i="2" s="1"/>
  <c r="A10" i="2"/>
  <c r="R10" i="2"/>
  <c r="N10" i="2"/>
  <c r="F10" i="2"/>
  <c r="B10" i="2"/>
  <c r="A9" i="2"/>
  <c r="R9" i="2"/>
  <c r="N9" i="2"/>
  <c r="F9" i="2"/>
  <c r="B9" i="2"/>
  <c r="A8" i="2"/>
  <c r="R8" i="2"/>
  <c r="J8" i="2"/>
  <c r="A7" i="2"/>
  <c r="R7" i="2"/>
  <c r="A17" i="2"/>
  <c r="F17" i="2"/>
  <c r="A16" i="2"/>
  <c r="V16" i="2"/>
  <c r="R16" i="2"/>
  <c r="A15" i="2"/>
  <c r="V15" i="2"/>
  <c r="R15" i="2"/>
  <c r="A14" i="2"/>
  <c r="AT86" i="4" l="1"/>
  <c r="AS78" i="4"/>
  <c r="AS70" i="4"/>
  <c r="AT54" i="4"/>
  <c r="AT46" i="4"/>
  <c r="AT38" i="4"/>
  <c r="AT22" i="4"/>
  <c r="AT94" i="4"/>
  <c r="AS22" i="4"/>
  <c r="AT96" i="4"/>
  <c r="AS68" i="4"/>
  <c r="AT56" i="4"/>
  <c r="AT36" i="4"/>
  <c r="AT24" i="4"/>
  <c r="AT16" i="4"/>
  <c r="AS96" i="4"/>
  <c r="AS86" i="4"/>
  <c r="AT76" i="4"/>
  <c r="AS56" i="4"/>
  <c r="AS46" i="4"/>
  <c r="AS36" i="4"/>
  <c r="AS24" i="4"/>
  <c r="AS16" i="4"/>
  <c r="AT104" i="4"/>
  <c r="AT84" i="4"/>
  <c r="AS76" i="4"/>
  <c r="AT64" i="4"/>
  <c r="AT44" i="4"/>
  <c r="AT32" i="4"/>
  <c r="AT12" i="4"/>
  <c r="AS104" i="4"/>
  <c r="AS94" i="4"/>
  <c r="AS84" i="4"/>
  <c r="AT72" i="4"/>
  <c r="AS64" i="4"/>
  <c r="AS54" i="4"/>
  <c r="AS44" i="4"/>
  <c r="AS32" i="4"/>
  <c r="AS12" i="4"/>
  <c r="AT102" i="4"/>
  <c r="AT92" i="4"/>
  <c r="AS72" i="4"/>
  <c r="AT62" i="4"/>
  <c r="AT52" i="4"/>
  <c r="AT40" i="4"/>
  <c r="AT30" i="4"/>
  <c r="AT20" i="4"/>
  <c r="AT10" i="4"/>
  <c r="AS102" i="4"/>
  <c r="AS92" i="4"/>
  <c r="AT80" i="4"/>
  <c r="AT70" i="4"/>
  <c r="AS62" i="4"/>
  <c r="AS52" i="4"/>
  <c r="AS40" i="4"/>
  <c r="AS30" i="4"/>
  <c r="AS20" i="4"/>
  <c r="AS10" i="4"/>
  <c r="AT100" i="4"/>
  <c r="AT88" i="4"/>
  <c r="AS80" i="4"/>
  <c r="AT60" i="4"/>
  <c r="AT48" i="4"/>
  <c r="AT28" i="4"/>
  <c r="AT18" i="4"/>
  <c r="AT8" i="4"/>
  <c r="AS100" i="4"/>
  <c r="AS88" i="4"/>
  <c r="AT78" i="4"/>
  <c r="AT68" i="4"/>
  <c r="AS60" i="4"/>
  <c r="AS48" i="4"/>
  <c r="AS38" i="4"/>
  <c r="AS28" i="4"/>
  <c r="AS18" i="4"/>
  <c r="AS8" i="4"/>
  <c r="AS106" i="4"/>
  <c r="AR106" i="4"/>
  <c r="AU106" i="4"/>
  <c r="AR98" i="4"/>
  <c r="AU98" i="4"/>
  <c r="AS98" i="4"/>
  <c r="AS90" i="4"/>
  <c r="AR90" i="4"/>
  <c r="AU90" i="4"/>
  <c r="AR82" i="4"/>
  <c r="AU82" i="4"/>
  <c r="AS82" i="4"/>
  <c r="AR74" i="4"/>
  <c r="AU74" i="4"/>
  <c r="AS74" i="4"/>
  <c r="AR66" i="4"/>
  <c r="AS66" i="4"/>
  <c r="AU66" i="4"/>
  <c r="AS58" i="4"/>
  <c r="AR58" i="4"/>
  <c r="AU58" i="4"/>
  <c r="AS50" i="4"/>
  <c r="AR50" i="4"/>
  <c r="AU50" i="4"/>
  <c r="AR42" i="4"/>
  <c r="AU42" i="4"/>
  <c r="AS42" i="4"/>
  <c r="AS34" i="4"/>
  <c r="AR34" i="4"/>
  <c r="AU34" i="4"/>
  <c r="AK26" i="4"/>
  <c r="AS26" i="4"/>
  <c r="AR26" i="4"/>
  <c r="AU26" i="4"/>
  <c r="AX15" i="4"/>
  <c r="AX19" i="4"/>
  <c r="AX23" i="4"/>
  <c r="AX24" i="4"/>
  <c r="AT90" i="4"/>
  <c r="AT26" i="4"/>
  <c r="AJ6" i="4"/>
  <c r="AT6" i="4"/>
  <c r="AS6" i="4"/>
  <c r="AR6" i="4"/>
  <c r="AU6" i="4"/>
  <c r="Z14" i="4"/>
  <c r="AX14" i="4" s="1"/>
  <c r="AR14" i="4"/>
  <c r="AU14" i="4"/>
  <c r="AS14" i="4"/>
  <c r="AS21" i="4"/>
  <c r="AT21" i="4"/>
  <c r="AU21" i="4"/>
  <c r="AR21" i="4"/>
  <c r="Z13" i="4"/>
  <c r="AW13" i="4" s="1"/>
  <c r="AS13" i="4"/>
  <c r="AT13" i="4"/>
  <c r="AU13" i="4"/>
  <c r="AR13" i="4"/>
  <c r="AS105" i="4"/>
  <c r="AT105" i="4"/>
  <c r="AU105" i="4"/>
  <c r="AR105" i="4"/>
  <c r="AS97" i="4"/>
  <c r="AT97" i="4"/>
  <c r="AU97" i="4"/>
  <c r="AR97" i="4"/>
  <c r="AS89" i="4"/>
  <c r="AT89" i="4"/>
  <c r="AU89" i="4"/>
  <c r="AR89" i="4"/>
  <c r="AS81" i="4"/>
  <c r="AT81" i="4"/>
  <c r="AU81" i="4"/>
  <c r="AR81" i="4"/>
  <c r="AS73" i="4"/>
  <c r="AT73" i="4"/>
  <c r="AU73" i="4"/>
  <c r="AR73" i="4"/>
  <c r="AS65" i="4"/>
  <c r="AT65" i="4"/>
  <c r="AU65" i="4"/>
  <c r="AR65" i="4"/>
  <c r="AS57" i="4"/>
  <c r="AT57" i="4"/>
  <c r="AU57" i="4"/>
  <c r="AR57" i="4"/>
  <c r="AS49" i="4"/>
  <c r="AT49" i="4"/>
  <c r="AU49" i="4"/>
  <c r="AR49" i="4"/>
  <c r="AS41" i="4"/>
  <c r="AT41" i="4"/>
  <c r="AU41" i="4"/>
  <c r="AR41" i="4"/>
  <c r="AS33" i="4"/>
  <c r="AT33" i="4"/>
  <c r="AU33" i="4"/>
  <c r="AR33" i="4"/>
  <c r="AS25" i="4"/>
  <c r="AT25" i="4"/>
  <c r="AU25" i="4"/>
  <c r="AR25" i="4"/>
  <c r="AT98" i="4"/>
  <c r="AT34" i="4"/>
  <c r="AT106" i="4"/>
  <c r="AT42" i="4"/>
  <c r="AT50" i="4"/>
  <c r="AT14" i="4"/>
  <c r="AT58" i="4"/>
  <c r="AV14" i="4"/>
  <c r="AV24" i="4"/>
  <c r="AV13" i="4"/>
  <c r="AV15" i="4"/>
  <c r="AV19" i="4"/>
  <c r="AV23" i="4"/>
  <c r="AR103" i="4"/>
  <c r="AR101" i="4"/>
  <c r="AR99" i="4"/>
  <c r="AR95" i="4"/>
  <c r="AR93" i="4"/>
  <c r="AR91" i="4"/>
  <c r="AR87" i="4"/>
  <c r="AR85" i="4"/>
  <c r="AR83" i="4"/>
  <c r="AR79" i="4"/>
  <c r="AR77" i="4"/>
  <c r="AR75" i="4"/>
  <c r="AR71" i="4"/>
  <c r="AR69" i="4"/>
  <c r="AR67" i="4"/>
  <c r="AR63" i="4"/>
  <c r="AR61" i="4"/>
  <c r="AR59" i="4"/>
  <c r="AR55" i="4"/>
  <c r="AR53" i="4"/>
  <c r="AR51" i="4"/>
  <c r="AR47" i="4"/>
  <c r="AR45" i="4"/>
  <c r="AR43" i="4"/>
  <c r="AR39" i="4"/>
  <c r="AR37" i="4"/>
  <c r="AR35" i="4"/>
  <c r="AR31" i="4"/>
  <c r="AR29" i="4"/>
  <c r="AR27" i="4"/>
  <c r="AR23" i="4"/>
  <c r="AR19" i="4"/>
  <c r="AR17" i="4"/>
  <c r="AR15" i="4"/>
  <c r="AR11" i="4"/>
  <c r="AR9" i="4"/>
  <c r="AR7" i="4"/>
  <c r="AW14" i="4"/>
  <c r="AW24" i="4"/>
  <c r="AU104" i="4"/>
  <c r="AU102" i="4"/>
  <c r="AU100" i="4"/>
  <c r="AU96" i="4"/>
  <c r="AU94" i="4"/>
  <c r="AU92" i="4"/>
  <c r="AU88" i="4"/>
  <c r="AU86" i="4"/>
  <c r="AU84" i="4"/>
  <c r="AU80" i="4"/>
  <c r="AU78" i="4"/>
  <c r="AU76" i="4"/>
  <c r="AU72" i="4"/>
  <c r="AU70" i="4"/>
  <c r="AU68" i="4"/>
  <c r="AU64" i="4"/>
  <c r="AU62" i="4"/>
  <c r="AU60" i="4"/>
  <c r="AU56" i="4"/>
  <c r="AU54" i="4"/>
  <c r="AU52" i="4"/>
  <c r="AU48" i="4"/>
  <c r="AU46" i="4"/>
  <c r="AU44" i="4"/>
  <c r="AU40" i="4"/>
  <c r="AU38" i="4"/>
  <c r="AU36" i="4"/>
  <c r="AU32" i="4"/>
  <c r="AU30" i="4"/>
  <c r="AU28" i="4"/>
  <c r="AU24" i="4"/>
  <c r="AU22" i="4"/>
  <c r="AU20" i="4"/>
  <c r="AU18" i="4"/>
  <c r="AU16" i="4"/>
  <c r="AU12" i="4"/>
  <c r="AU10" i="4"/>
  <c r="AU8" i="4"/>
  <c r="AW15" i="4"/>
  <c r="AR56" i="4"/>
  <c r="AR24" i="4"/>
  <c r="AR18" i="4"/>
  <c r="AR16" i="4"/>
  <c r="AR12" i="4"/>
  <c r="AR8" i="4"/>
  <c r="AU103" i="4"/>
  <c r="AU101" i="4"/>
  <c r="AU99" i="4"/>
  <c r="AU95" i="4"/>
  <c r="AU93" i="4"/>
  <c r="AU91" i="4"/>
  <c r="AU87" i="4"/>
  <c r="AU85" i="4"/>
  <c r="AU83" i="4"/>
  <c r="AU79" i="4"/>
  <c r="AU77" i="4"/>
  <c r="AU75" i="4"/>
  <c r="AU71" i="4"/>
  <c r="AU69" i="4"/>
  <c r="AU67" i="4"/>
  <c r="AU63" i="4"/>
  <c r="AU61" i="4"/>
  <c r="AU59" i="4"/>
  <c r="AU55" i="4"/>
  <c r="AU53" i="4"/>
  <c r="AU51" i="4"/>
  <c r="AU47" i="4"/>
  <c r="AU45" i="4"/>
  <c r="AU43" i="4"/>
  <c r="AU39" i="4"/>
  <c r="AU37" i="4"/>
  <c r="AU35" i="4"/>
  <c r="AU31" i="4"/>
  <c r="AU29" i="4"/>
  <c r="AU27" i="4"/>
  <c r="AU23" i="4"/>
  <c r="AU19" i="4"/>
  <c r="AU17" i="4"/>
  <c r="AU15" i="4"/>
  <c r="AU11" i="4"/>
  <c r="AU9" i="4"/>
  <c r="AU7" i="4"/>
  <c r="AW23" i="4"/>
  <c r="AT103" i="4"/>
  <c r="AT101" i="4"/>
  <c r="AT99" i="4"/>
  <c r="AT95" i="4"/>
  <c r="AT93" i="4"/>
  <c r="AT91" i="4"/>
  <c r="AT87" i="4"/>
  <c r="AT85" i="4"/>
  <c r="AT83" i="4"/>
  <c r="AT79" i="4"/>
  <c r="AT77" i="4"/>
  <c r="AT75" i="4"/>
  <c r="AT71" i="4"/>
  <c r="AT69" i="4"/>
  <c r="AT67" i="4"/>
  <c r="AT63" i="4"/>
  <c r="AT61" i="4"/>
  <c r="AT59" i="4"/>
  <c r="AT55" i="4"/>
  <c r="AT53" i="4"/>
  <c r="AT51" i="4"/>
  <c r="AT47" i="4"/>
  <c r="AT45" i="4"/>
  <c r="AT43" i="4"/>
  <c r="AT39" i="4"/>
  <c r="AT37" i="4"/>
  <c r="AT35" i="4"/>
  <c r="AT31" i="4"/>
  <c r="AT29" i="4"/>
  <c r="AT27" i="4"/>
  <c r="AT23" i="4"/>
  <c r="AT19" i="4"/>
  <c r="AT17" i="4"/>
  <c r="AT15" i="4"/>
  <c r="AT11" i="4"/>
  <c r="AT9" i="4"/>
  <c r="AT7" i="4"/>
  <c r="AY13" i="4"/>
  <c r="AY15" i="4"/>
  <c r="AY19" i="4"/>
  <c r="AY23" i="4"/>
  <c r="AY14" i="4"/>
  <c r="AY24" i="4"/>
  <c r="AS23" i="4"/>
  <c r="AS19" i="4"/>
  <c r="AS17" i="4"/>
  <c r="AS15" i="4"/>
  <c r="AS9" i="4"/>
  <c r="AS7" i="4"/>
  <c r="AW19" i="4"/>
  <c r="AP24" i="4"/>
  <c r="AM25" i="4"/>
  <c r="Z21" i="4"/>
  <c r="AN21" i="4" s="1"/>
  <c r="Z11" i="4"/>
  <c r="AW11" i="4" s="1"/>
  <c r="Z22" i="4"/>
  <c r="AQ22" i="4" s="1"/>
  <c r="AK10" i="4"/>
  <c r="Z20" i="4"/>
  <c r="AX20" i="4" s="1"/>
  <c r="Z100" i="4"/>
  <c r="AO100" i="4" s="1"/>
  <c r="Z92" i="4"/>
  <c r="AN92" i="4" s="1"/>
  <c r="Z84" i="4"/>
  <c r="AY84" i="4" s="1"/>
  <c r="Z76" i="4"/>
  <c r="AO76" i="4" s="1"/>
  <c r="Z68" i="4"/>
  <c r="AO68" i="4" s="1"/>
  <c r="Z60" i="4"/>
  <c r="AV60" i="4" s="1"/>
  <c r="Z52" i="4"/>
  <c r="AX52" i="4" s="1"/>
  <c r="Z44" i="4"/>
  <c r="AV44" i="4" s="1"/>
  <c r="Z36" i="4"/>
  <c r="AX36" i="4" s="1"/>
  <c r="Z28" i="4"/>
  <c r="AN28" i="4" s="1"/>
  <c r="AK100" i="4"/>
  <c r="Z99" i="4"/>
  <c r="AY99" i="4" s="1"/>
  <c r="Z91" i="4"/>
  <c r="AY91" i="4" s="1"/>
  <c r="Z83" i="4"/>
  <c r="AY83" i="4" s="1"/>
  <c r="Z75" i="4"/>
  <c r="AO75" i="4" s="1"/>
  <c r="Z67" i="4"/>
  <c r="AO67" i="4" s="1"/>
  <c r="Z59" i="4"/>
  <c r="AW59" i="4" s="1"/>
  <c r="Z51" i="4"/>
  <c r="AN51" i="4" s="1"/>
  <c r="Z43" i="4"/>
  <c r="Z35" i="4"/>
  <c r="AO35" i="4" s="1"/>
  <c r="Z27" i="4"/>
  <c r="AW27" i="4" s="1"/>
  <c r="AK98" i="4"/>
  <c r="AK66" i="4"/>
  <c r="AK42" i="4"/>
  <c r="AM16" i="4"/>
  <c r="AM81" i="4"/>
  <c r="AJ104" i="4"/>
  <c r="Z96" i="4"/>
  <c r="AY96" i="4" s="1"/>
  <c r="Z80" i="4"/>
  <c r="AY80" i="4" s="1"/>
  <c r="AJ72" i="4"/>
  <c r="AJ64" i="4"/>
  <c r="AJ56" i="4"/>
  <c r="AJ48" i="4"/>
  <c r="AJ40" i="4"/>
  <c r="Z32" i="4"/>
  <c r="AV32" i="4" s="1"/>
  <c r="AK82" i="4"/>
  <c r="AM97" i="4"/>
  <c r="AM57" i="4"/>
  <c r="Z88" i="4"/>
  <c r="AV88" i="4" s="1"/>
  <c r="AK103" i="4"/>
  <c r="Z95" i="4"/>
  <c r="AY95" i="4" s="1"/>
  <c r="Z87" i="4"/>
  <c r="AX87" i="4" s="1"/>
  <c r="Z79" i="4"/>
  <c r="AY79" i="4" s="1"/>
  <c r="Z71" i="4"/>
  <c r="AX71" i="4" s="1"/>
  <c r="Z63" i="4"/>
  <c r="AY63" i="4" s="1"/>
  <c r="Z55" i="4"/>
  <c r="AX55" i="4" s="1"/>
  <c r="Z47" i="4"/>
  <c r="AX47" i="4" s="1"/>
  <c r="AK39" i="4"/>
  <c r="Z31" i="4"/>
  <c r="AP31" i="4" s="1"/>
  <c r="AK106" i="4"/>
  <c r="AK74" i="4"/>
  <c r="AK50" i="4"/>
  <c r="AK34" i="4"/>
  <c r="AM105" i="4"/>
  <c r="AM73" i="4"/>
  <c r="AM49" i="4"/>
  <c r="AM41" i="4"/>
  <c r="Z102" i="4"/>
  <c r="AX102" i="4" s="1"/>
  <c r="Z94" i="4"/>
  <c r="AV94" i="4" s="1"/>
  <c r="Z86" i="4"/>
  <c r="AO86" i="4" s="1"/>
  <c r="Z78" i="4"/>
  <c r="AO78" i="4" s="1"/>
  <c r="Z70" i="4"/>
  <c r="AW70" i="4" s="1"/>
  <c r="Z62" i="4"/>
  <c r="AV62" i="4" s="1"/>
  <c r="Z54" i="4"/>
  <c r="AN54" i="4" s="1"/>
  <c r="Z46" i="4"/>
  <c r="AX46" i="4" s="1"/>
  <c r="Z38" i="4"/>
  <c r="AP38" i="4" s="1"/>
  <c r="Z30" i="4"/>
  <c r="AV30" i="4" s="1"/>
  <c r="AK90" i="4"/>
  <c r="AK58" i="4"/>
  <c r="AM89" i="4"/>
  <c r="AM65" i="4"/>
  <c r="AM33" i="4"/>
  <c r="Z101" i="4"/>
  <c r="AK93" i="4"/>
  <c r="Z85" i="4"/>
  <c r="Z77" i="4"/>
  <c r="AV77" i="4" s="1"/>
  <c r="Z69" i="4"/>
  <c r="AY69" i="4" s="1"/>
  <c r="Z61" i="4"/>
  <c r="AW61" i="4" s="1"/>
  <c r="Z53" i="4"/>
  <c r="AN53" i="4" s="1"/>
  <c r="AK45" i="4"/>
  <c r="Z37" i="4"/>
  <c r="AY37" i="4" s="1"/>
  <c r="Z29" i="4"/>
  <c r="AW29" i="4" s="1"/>
  <c r="AJ95" i="4"/>
  <c r="AJ87" i="4"/>
  <c r="AM94" i="4"/>
  <c r="AM54" i="4"/>
  <c r="AM8" i="4"/>
  <c r="AJ85" i="4"/>
  <c r="AK94" i="4"/>
  <c r="AM46" i="4"/>
  <c r="AN19" i="4"/>
  <c r="AJ63" i="4"/>
  <c r="AK86" i="4"/>
  <c r="AK44" i="4"/>
  <c r="AJ55" i="4"/>
  <c r="AM72" i="4"/>
  <c r="AM30" i="4"/>
  <c r="AJ53" i="4"/>
  <c r="AK70" i="4"/>
  <c r="AK30" i="4"/>
  <c r="AO13" i="4"/>
  <c r="AJ31" i="4"/>
  <c r="AK68" i="4"/>
  <c r="AK22" i="4"/>
  <c r="Z7" i="4"/>
  <c r="AX7" i="4" s="1"/>
  <c r="AJ23" i="4"/>
  <c r="AK60" i="4"/>
  <c r="AL17" i="4"/>
  <c r="AO84" i="4"/>
  <c r="AA7" i="4"/>
  <c r="AL35" i="4"/>
  <c r="AQ13" i="4"/>
  <c r="Z6" i="4"/>
  <c r="AO6" i="4" s="1"/>
  <c r="AJ93" i="4"/>
  <c r="AJ61" i="4"/>
  <c r="AJ29" i="4"/>
  <c r="AL99" i="4"/>
  <c r="AK84" i="4"/>
  <c r="AM70" i="4"/>
  <c r="AL59" i="4"/>
  <c r="AK46" i="4"/>
  <c r="AM32" i="4"/>
  <c r="AK20" i="4"/>
  <c r="AN14" i="4"/>
  <c r="AN15" i="4"/>
  <c r="AN23" i="4"/>
  <c r="AN63" i="4"/>
  <c r="AN79" i="4"/>
  <c r="AN24" i="4"/>
  <c r="AN96" i="4"/>
  <c r="AN68" i="4"/>
  <c r="AQ23" i="4"/>
  <c r="AJ79" i="4"/>
  <c r="AJ47" i="4"/>
  <c r="AJ7" i="4"/>
  <c r="AK92" i="4"/>
  <c r="AM78" i="4"/>
  <c r="AL67" i="4"/>
  <c r="AK54" i="4"/>
  <c r="AM40" i="4"/>
  <c r="AK28" i="4"/>
  <c r="AM14" i="4"/>
  <c r="AO14" i="4"/>
  <c r="AO30" i="4"/>
  <c r="AO15" i="4"/>
  <c r="AO23" i="4"/>
  <c r="AO63" i="4"/>
  <c r="AO24" i="4"/>
  <c r="AO19" i="4"/>
  <c r="AN13" i="4"/>
  <c r="AQ88" i="4"/>
  <c r="AM80" i="4"/>
  <c r="AJ77" i="4"/>
  <c r="AJ45" i="4"/>
  <c r="AK6" i="4"/>
  <c r="AL91" i="4"/>
  <c r="AK78" i="4"/>
  <c r="AM64" i="4"/>
  <c r="AK52" i="4"/>
  <c r="AM38" i="4"/>
  <c r="AL27" i="4"/>
  <c r="AK14" i="4"/>
  <c r="AO77" i="4"/>
  <c r="AJ15" i="4"/>
  <c r="AP19" i="4"/>
  <c r="AP14" i="4"/>
  <c r="AP15" i="4"/>
  <c r="AP23" i="4"/>
  <c r="AP13" i="4"/>
  <c r="AJ103" i="4"/>
  <c r="AJ71" i="4"/>
  <c r="AJ39" i="4"/>
  <c r="AM102" i="4"/>
  <c r="AM88" i="4"/>
  <c r="AK76" i="4"/>
  <c r="AM62" i="4"/>
  <c r="AL51" i="4"/>
  <c r="AK38" i="4"/>
  <c r="AM24" i="4"/>
  <c r="AK12" i="4"/>
  <c r="AQ84" i="4"/>
  <c r="AQ76" i="4"/>
  <c r="AQ68" i="4"/>
  <c r="AO27" i="4"/>
  <c r="Z12" i="4"/>
  <c r="AP12" i="4" s="1"/>
  <c r="AL83" i="4"/>
  <c r="AQ24" i="4"/>
  <c r="AQ19" i="4"/>
  <c r="AQ14" i="4"/>
  <c r="AL43" i="4"/>
  <c r="AJ101" i="4"/>
  <c r="AJ69" i="4"/>
  <c r="AJ37" i="4"/>
  <c r="AK102" i="4"/>
  <c r="AM86" i="4"/>
  <c r="AL75" i="4"/>
  <c r="AK62" i="4"/>
  <c r="AM48" i="4"/>
  <c r="AK36" i="4"/>
  <c r="AM22" i="4"/>
  <c r="AL9" i="4"/>
  <c r="AO87" i="4"/>
  <c r="AO79" i="4"/>
  <c r="AQ15" i="4"/>
  <c r="AJ102" i="4"/>
  <c r="AJ94" i="4"/>
  <c r="AJ86" i="4"/>
  <c r="AJ78" i="4"/>
  <c r="AJ70" i="4"/>
  <c r="AJ62" i="4"/>
  <c r="AJ54" i="4"/>
  <c r="AJ46" i="4"/>
  <c r="AJ38" i="4"/>
  <c r="AJ30" i="4"/>
  <c r="AJ22" i="4"/>
  <c r="AJ14" i="4"/>
  <c r="AL6" i="4"/>
  <c r="AK105" i="4"/>
  <c r="AL102" i="4"/>
  <c r="AM99" i="4"/>
  <c r="AK97" i="4"/>
  <c r="AL94" i="4"/>
  <c r="AM91" i="4"/>
  <c r="AK89" i="4"/>
  <c r="AL86" i="4"/>
  <c r="AM83" i="4"/>
  <c r="AK81" i="4"/>
  <c r="AL78" i="4"/>
  <c r="AM75" i="4"/>
  <c r="AK73" i="4"/>
  <c r="AL70" i="4"/>
  <c r="AM67" i="4"/>
  <c r="AK65" i="4"/>
  <c r="AL62" i="4"/>
  <c r="AM59" i="4"/>
  <c r="AK57" i="4"/>
  <c r="AL54" i="4"/>
  <c r="AM51" i="4"/>
  <c r="AK49" i="4"/>
  <c r="AL46" i="4"/>
  <c r="AM43" i="4"/>
  <c r="AK41" i="4"/>
  <c r="AL38" i="4"/>
  <c r="AM35" i="4"/>
  <c r="AK33" i="4"/>
  <c r="AL30" i="4"/>
  <c r="AM27" i="4"/>
  <c r="AK25" i="4"/>
  <c r="AL22" i="4"/>
  <c r="AM19" i="4"/>
  <c r="AK17" i="4"/>
  <c r="AL14" i="4"/>
  <c r="AM11" i="4"/>
  <c r="AK9" i="4"/>
  <c r="AL49" i="4"/>
  <c r="AL11" i="4"/>
  <c r="AJ100" i="4"/>
  <c r="AJ92" i="4"/>
  <c r="AJ84" i="4"/>
  <c r="AJ76" i="4"/>
  <c r="AJ68" i="4"/>
  <c r="AJ60" i="4"/>
  <c r="AJ52" i="4"/>
  <c r="AJ44" i="4"/>
  <c r="AJ36" i="4"/>
  <c r="AJ28" i="4"/>
  <c r="AJ20" i="4"/>
  <c r="AM6" i="4"/>
  <c r="AL104" i="4"/>
  <c r="AM101" i="4"/>
  <c r="AK99" i="4"/>
  <c r="AL96" i="4"/>
  <c r="AM93" i="4"/>
  <c r="AK91" i="4"/>
  <c r="AL88" i="4"/>
  <c r="AM85" i="4"/>
  <c r="AK83" i="4"/>
  <c r="AL80" i="4"/>
  <c r="AM77" i="4"/>
  <c r="AK75" i="4"/>
  <c r="AL72" i="4"/>
  <c r="AM69" i="4"/>
  <c r="AK67" i="4"/>
  <c r="AL64" i="4"/>
  <c r="AM61" i="4"/>
  <c r="AK59" i="4"/>
  <c r="AL56" i="4"/>
  <c r="AM53" i="4"/>
  <c r="AK51" i="4"/>
  <c r="AL48" i="4"/>
  <c r="AM45" i="4"/>
  <c r="AK43" i="4"/>
  <c r="AL40" i="4"/>
  <c r="AM37" i="4"/>
  <c r="AK35" i="4"/>
  <c r="AL32" i="4"/>
  <c r="AM29" i="4"/>
  <c r="AK27" i="4"/>
  <c r="AL24" i="4"/>
  <c r="AM21" i="4"/>
  <c r="AK19" i="4"/>
  <c r="AL16" i="4"/>
  <c r="AM13" i="4"/>
  <c r="AK11" i="4"/>
  <c r="AL8" i="4"/>
  <c r="AJ99" i="4"/>
  <c r="AJ91" i="4"/>
  <c r="AJ83" i="4"/>
  <c r="AJ75" i="4"/>
  <c r="AJ67" i="4"/>
  <c r="AJ59" i="4"/>
  <c r="AJ51" i="4"/>
  <c r="AJ43" i="4"/>
  <c r="AJ35" i="4"/>
  <c r="AJ27" i="4"/>
  <c r="AJ19" i="4"/>
  <c r="AJ11" i="4"/>
  <c r="AM106" i="4"/>
  <c r="AK104" i="4"/>
  <c r="AL101" i="4"/>
  <c r="AM98" i="4"/>
  <c r="AK96" i="4"/>
  <c r="AL93" i="4"/>
  <c r="AM90" i="4"/>
  <c r="AK88" i="4"/>
  <c r="AL85" i="4"/>
  <c r="AM82" i="4"/>
  <c r="AK80" i="4"/>
  <c r="AL77" i="4"/>
  <c r="AM74" i="4"/>
  <c r="AK72" i="4"/>
  <c r="AL69" i="4"/>
  <c r="AM66" i="4"/>
  <c r="AK64" i="4"/>
  <c r="AL61" i="4"/>
  <c r="AM58" i="4"/>
  <c r="AK56" i="4"/>
  <c r="AL53" i="4"/>
  <c r="AM50" i="4"/>
  <c r="AK48" i="4"/>
  <c r="AL45" i="4"/>
  <c r="AM42" i="4"/>
  <c r="AK40" i="4"/>
  <c r="AL37" i="4"/>
  <c r="AM34" i="4"/>
  <c r="AK32" i="4"/>
  <c r="AL29" i="4"/>
  <c r="AM26" i="4"/>
  <c r="AK24" i="4"/>
  <c r="AL21" i="4"/>
  <c r="AM18" i="4"/>
  <c r="AK16" i="4"/>
  <c r="AL13" i="4"/>
  <c r="AM10" i="4"/>
  <c r="AK8" i="4"/>
  <c r="AL89" i="4"/>
  <c r="AL81" i="4"/>
  <c r="AL73" i="4"/>
  <c r="AL65" i="4"/>
  <c r="AL57" i="4"/>
  <c r="AJ21" i="4"/>
  <c r="AM104" i="4"/>
  <c r="AM96" i="4"/>
  <c r="AL19" i="4"/>
  <c r="AJ106" i="4"/>
  <c r="AJ98" i="4"/>
  <c r="AJ90" i="4"/>
  <c r="AJ82" i="4"/>
  <c r="AJ74" i="4"/>
  <c r="AJ66" i="4"/>
  <c r="AJ58" i="4"/>
  <c r="AJ50" i="4"/>
  <c r="AJ42" i="4"/>
  <c r="AJ34" i="4"/>
  <c r="AJ26" i="4"/>
  <c r="AJ18" i="4"/>
  <c r="AJ10" i="4"/>
  <c r="AL106" i="4"/>
  <c r="AM103" i="4"/>
  <c r="AK101" i="4"/>
  <c r="AL98" i="4"/>
  <c r="AM95" i="4"/>
  <c r="AL90" i="4"/>
  <c r="AM87" i="4"/>
  <c r="AK85" i="4"/>
  <c r="AL82" i="4"/>
  <c r="AM79" i="4"/>
  <c r="AK77" i="4"/>
  <c r="AL74" i="4"/>
  <c r="AM71" i="4"/>
  <c r="AK69" i="4"/>
  <c r="AL66" i="4"/>
  <c r="AM63" i="4"/>
  <c r="AK61" i="4"/>
  <c r="AL58" i="4"/>
  <c r="AM55" i="4"/>
  <c r="AK53" i="4"/>
  <c r="AL50" i="4"/>
  <c r="AM47" i="4"/>
  <c r="AL42" i="4"/>
  <c r="AM39" i="4"/>
  <c r="AK37" i="4"/>
  <c r="AL34" i="4"/>
  <c r="AM31" i="4"/>
  <c r="AK29" i="4"/>
  <c r="AL26" i="4"/>
  <c r="AM23" i="4"/>
  <c r="AK21" i="4"/>
  <c r="AL18" i="4"/>
  <c r="AM15" i="4"/>
  <c r="AK13" i="4"/>
  <c r="AL10" i="4"/>
  <c r="AM7" i="4"/>
  <c r="AL105" i="4"/>
  <c r="AL97" i="4"/>
  <c r="AL41" i="4"/>
  <c r="AJ105" i="4"/>
  <c r="AJ97" i="4"/>
  <c r="AJ89" i="4"/>
  <c r="AJ81" i="4"/>
  <c r="AJ73" i="4"/>
  <c r="AJ65" i="4"/>
  <c r="AJ57" i="4"/>
  <c r="AJ49" i="4"/>
  <c r="AJ41" i="4"/>
  <c r="AJ33" i="4"/>
  <c r="AJ25" i="4"/>
  <c r="AJ17" i="4"/>
  <c r="AJ9" i="4"/>
  <c r="AL103" i="4"/>
  <c r="AM100" i="4"/>
  <c r="AL95" i="4"/>
  <c r="AM92" i="4"/>
  <c r="AL87" i="4"/>
  <c r="AM84" i="4"/>
  <c r="AL79" i="4"/>
  <c r="AM76" i="4"/>
  <c r="AL71" i="4"/>
  <c r="AM68" i="4"/>
  <c r="AL63" i="4"/>
  <c r="AM60" i="4"/>
  <c r="AL55" i="4"/>
  <c r="AM52" i="4"/>
  <c r="AL47" i="4"/>
  <c r="AM44" i="4"/>
  <c r="AL39" i="4"/>
  <c r="AM36" i="4"/>
  <c r="AL31" i="4"/>
  <c r="AM28" i="4"/>
  <c r="AL23" i="4"/>
  <c r="AM20" i="4"/>
  <c r="AL15" i="4"/>
  <c r="AM12" i="4"/>
  <c r="AL7" i="4"/>
  <c r="AL33" i="4"/>
  <c r="AL25" i="4"/>
  <c r="AJ13" i="4"/>
  <c r="AJ96" i="4"/>
  <c r="AJ88" i="4"/>
  <c r="AJ80" i="4"/>
  <c r="AJ32" i="4"/>
  <c r="AJ24" i="4"/>
  <c r="AL100" i="4"/>
  <c r="AK95" i="4"/>
  <c r="AL92" i="4"/>
  <c r="AK87" i="4"/>
  <c r="AL84" i="4"/>
  <c r="AK79" i="4"/>
  <c r="AL76" i="4"/>
  <c r="AK71" i="4"/>
  <c r="AL68" i="4"/>
  <c r="AK63" i="4"/>
  <c r="AL60" i="4"/>
  <c r="AK55" i="4"/>
  <c r="AL52" i="4"/>
  <c r="AK47" i="4"/>
  <c r="AL44" i="4"/>
  <c r="AL36" i="4"/>
  <c r="AK31" i="4"/>
  <c r="AL28" i="4"/>
  <c r="AK23" i="4"/>
  <c r="AL20" i="4"/>
  <c r="AK15" i="4"/>
  <c r="AL12" i="4"/>
  <c r="AA6" i="4"/>
  <c r="Z104" i="4"/>
  <c r="AN104" i="4" s="1"/>
  <c r="Z40" i="4"/>
  <c r="AN40" i="4" s="1"/>
  <c r="AA95" i="4"/>
  <c r="AA62" i="4"/>
  <c r="AA30" i="4"/>
  <c r="AA105" i="4"/>
  <c r="Z103" i="4"/>
  <c r="AX103" i="4" s="1"/>
  <c r="Z39" i="4"/>
  <c r="AQ39" i="4" s="1"/>
  <c r="AA94" i="4"/>
  <c r="AA55" i="4"/>
  <c r="AA23" i="4"/>
  <c r="AA87" i="4"/>
  <c r="AA54" i="4"/>
  <c r="AA22" i="4"/>
  <c r="AA73" i="4"/>
  <c r="AA86" i="4"/>
  <c r="AA47" i="4"/>
  <c r="AA15" i="4"/>
  <c r="AA41" i="4"/>
  <c r="AA79" i="4"/>
  <c r="AA46" i="4"/>
  <c r="AA14" i="4"/>
  <c r="AA71" i="4"/>
  <c r="AA39" i="4"/>
  <c r="AA77" i="4"/>
  <c r="AA103" i="4"/>
  <c r="AA70" i="4"/>
  <c r="AA38" i="4"/>
  <c r="AA102" i="4"/>
  <c r="AA63" i="4"/>
  <c r="AA31" i="4"/>
  <c r="Z45" i="4"/>
  <c r="AY45" i="4" s="1"/>
  <c r="Z81" i="4"/>
  <c r="AY81" i="4" s="1"/>
  <c r="Z106" i="4"/>
  <c r="AQ106" i="4" s="1"/>
  <c r="Z98" i="4"/>
  <c r="AN98" i="4" s="1"/>
  <c r="Z90" i="4"/>
  <c r="AN90" i="4" s="1"/>
  <c r="Z82" i="4"/>
  <c r="AP82" i="4" s="1"/>
  <c r="Z74" i="4"/>
  <c r="AP74" i="4" s="1"/>
  <c r="Z66" i="4"/>
  <c r="AO66" i="4" s="1"/>
  <c r="Z58" i="4"/>
  <c r="AQ58" i="4" s="1"/>
  <c r="Z50" i="4"/>
  <c r="AP50" i="4" s="1"/>
  <c r="Z42" i="4"/>
  <c r="AN42" i="4" s="1"/>
  <c r="Z34" i="4"/>
  <c r="AN34" i="4" s="1"/>
  <c r="Z26" i="4"/>
  <c r="AN26" i="4" s="1"/>
  <c r="Z18" i="4"/>
  <c r="AP18" i="4" s="1"/>
  <c r="Z10" i="4"/>
  <c r="AP10" i="4" s="1"/>
  <c r="AA97" i="4"/>
  <c r="AA89" i="4"/>
  <c r="AA81" i="4"/>
  <c r="AA65" i="4"/>
  <c r="AA57" i="4"/>
  <c r="AA49" i="4"/>
  <c r="AA33" i="4"/>
  <c r="AA25" i="4"/>
  <c r="AA17" i="4"/>
  <c r="AA9" i="4"/>
  <c r="Z72" i="4"/>
  <c r="AP72" i="4" s="1"/>
  <c r="Z48" i="4"/>
  <c r="AN48" i="4" s="1"/>
  <c r="Z16" i="4"/>
  <c r="AN16" i="4" s="1"/>
  <c r="Z105" i="4"/>
  <c r="Z97" i="4"/>
  <c r="AX97" i="4" s="1"/>
  <c r="Z89" i="4"/>
  <c r="Z73" i="4"/>
  <c r="Z65" i="4"/>
  <c r="AO65" i="4" s="1"/>
  <c r="Z57" i="4"/>
  <c r="AP57" i="4" s="1"/>
  <c r="Z49" i="4"/>
  <c r="AP49" i="4" s="1"/>
  <c r="Z41" i="4"/>
  <c r="AO41" i="4" s="1"/>
  <c r="Z33" i="4"/>
  <c r="AQ33" i="4" s="1"/>
  <c r="Z25" i="4"/>
  <c r="AQ25" i="4" s="1"/>
  <c r="Z17" i="4"/>
  <c r="AN17" i="4" s="1"/>
  <c r="Z9" i="4"/>
  <c r="AP9" i="4" s="1"/>
  <c r="AA104" i="4"/>
  <c r="AA96" i="4"/>
  <c r="AA88" i="4"/>
  <c r="AA80" i="4"/>
  <c r="AA72" i="4"/>
  <c r="AA64" i="4"/>
  <c r="AA56" i="4"/>
  <c r="AA48" i="4"/>
  <c r="AA40" i="4"/>
  <c r="AA32" i="4"/>
  <c r="AA24" i="4"/>
  <c r="AA16" i="4"/>
  <c r="AA8" i="4"/>
  <c r="Z64" i="4"/>
  <c r="AP64" i="4" s="1"/>
  <c r="Z8" i="4"/>
  <c r="AN8" i="4" s="1"/>
  <c r="AA101" i="4"/>
  <c r="AA93" i="4"/>
  <c r="AA85" i="4"/>
  <c r="AA69" i="4"/>
  <c r="AA61" i="4"/>
  <c r="AA53" i="4"/>
  <c r="AA45" i="4"/>
  <c r="AA37" i="4"/>
  <c r="AA29" i="4"/>
  <c r="AA21" i="4"/>
  <c r="AA13" i="4"/>
  <c r="Z93" i="4"/>
  <c r="AY93" i="4" s="1"/>
  <c r="AA100" i="4"/>
  <c r="AA92" i="4"/>
  <c r="AA84" i="4"/>
  <c r="AA76" i="4"/>
  <c r="AA68" i="4"/>
  <c r="AA60" i="4"/>
  <c r="AA52" i="4"/>
  <c r="AA44" i="4"/>
  <c r="AA36" i="4"/>
  <c r="AA28" i="4"/>
  <c r="AA20" i="4"/>
  <c r="AA12" i="4"/>
  <c r="AA99" i="4"/>
  <c r="AA91" i="4"/>
  <c r="AA83" i="4"/>
  <c r="AA75" i="4"/>
  <c r="AA67" i="4"/>
  <c r="AA59" i="4"/>
  <c r="AA51" i="4"/>
  <c r="AA43" i="4"/>
  <c r="AA35" i="4"/>
  <c r="AA27" i="4"/>
  <c r="AA19" i="4"/>
  <c r="AA11" i="4"/>
  <c r="Z56" i="4"/>
  <c r="AP56" i="4" s="1"/>
  <c r="AA78" i="4"/>
  <c r="AA106" i="4"/>
  <c r="AA98" i="4"/>
  <c r="AA90" i="4"/>
  <c r="AA82" i="4"/>
  <c r="AA74" i="4"/>
  <c r="AA66" i="4"/>
  <c r="AA58" i="4"/>
  <c r="AA50" i="4"/>
  <c r="AA42" i="4"/>
  <c r="AA34" i="4"/>
  <c r="AA26" i="4"/>
  <c r="AA18" i="4"/>
  <c r="AA10" i="4"/>
  <c r="M31" i="3"/>
  <c r="M15" i="2" s="1"/>
  <c r="U31" i="3"/>
  <c r="U15" i="2" s="1"/>
  <c r="U32" i="3"/>
  <c r="U16" i="2" s="1"/>
  <c r="U33" i="3"/>
  <c r="U17" i="2" s="1"/>
  <c r="G8" i="3"/>
  <c r="G8" i="2" s="1"/>
  <c r="E31" i="3"/>
  <c r="E15" i="2" s="1"/>
  <c r="D32" i="3"/>
  <c r="D16" i="2" s="1"/>
  <c r="E33" i="3"/>
  <c r="E17" i="2" s="1"/>
  <c r="S31" i="3"/>
  <c r="S15" i="2" s="1"/>
  <c r="H8" i="3"/>
  <c r="H8" i="2" s="1"/>
  <c r="S30" i="3"/>
  <c r="S14" i="2" s="1"/>
  <c r="C31" i="3"/>
  <c r="C15" i="2" s="1"/>
  <c r="T31" i="3"/>
  <c r="T15" i="2" s="1"/>
  <c r="O32" i="3"/>
  <c r="O16" i="2" s="1"/>
  <c r="F15" i="2"/>
  <c r="F16" i="2"/>
  <c r="T30" i="3"/>
  <c r="T14" i="2" s="1"/>
  <c r="D31" i="3"/>
  <c r="D15" i="2" s="1"/>
  <c r="I9" i="3"/>
  <c r="I9" i="2" s="1"/>
  <c r="N15" i="2"/>
  <c r="U30" i="3"/>
  <c r="U14" i="2" s="1"/>
  <c r="T32" i="3"/>
  <c r="T16" i="2" s="1"/>
  <c r="O9" i="3"/>
  <c r="O9" i="2" s="1"/>
  <c r="E30" i="3"/>
  <c r="E14" i="2" s="1"/>
  <c r="Q9" i="3"/>
  <c r="Q9" i="2" s="1"/>
  <c r="E32" i="3"/>
  <c r="E16" i="2" s="1"/>
  <c r="M30" i="3"/>
  <c r="M14" i="2" s="1"/>
  <c r="K30" i="3"/>
  <c r="K14" i="2" s="1"/>
  <c r="L30" i="3"/>
  <c r="L14" i="2" s="1"/>
  <c r="N16" i="2"/>
  <c r="P10" i="3"/>
  <c r="P10" i="2" s="1"/>
  <c r="V17" i="2"/>
  <c r="S32" i="3"/>
  <c r="S16" i="2" s="1"/>
  <c r="J10" i="2"/>
  <c r="G32" i="3"/>
  <c r="G16" i="2" s="1"/>
  <c r="S10" i="3"/>
  <c r="S10" i="2" s="1"/>
  <c r="M32" i="3"/>
  <c r="M16" i="2" s="1"/>
  <c r="I7" i="3"/>
  <c r="I7" i="2" s="1"/>
  <c r="H10" i="3"/>
  <c r="H10" i="2" s="1"/>
  <c r="M7" i="3"/>
  <c r="M7" i="2" s="1"/>
  <c r="K7" i="3"/>
  <c r="K7" i="2" s="1"/>
  <c r="L7" i="3"/>
  <c r="L7" i="2" s="1"/>
  <c r="P7" i="3"/>
  <c r="P7" i="2" s="1"/>
  <c r="N7" i="2"/>
  <c r="Q7" i="3"/>
  <c r="Q7" i="2" s="1"/>
  <c r="O7" i="3"/>
  <c r="O7" i="2" s="1"/>
  <c r="L33" i="3"/>
  <c r="L17" i="2" s="1"/>
  <c r="K33" i="3"/>
  <c r="K17" i="2" s="1"/>
  <c r="Q33" i="3"/>
  <c r="Q17" i="2" s="1"/>
  <c r="Q31" i="3"/>
  <c r="Q15" i="2" s="1"/>
  <c r="P31" i="3"/>
  <c r="P15" i="2" s="1"/>
  <c r="O31" i="3"/>
  <c r="O15" i="2" s="1"/>
  <c r="L9" i="3"/>
  <c r="L9" i="2" s="1"/>
  <c r="K9" i="3"/>
  <c r="K9" i="2" s="1"/>
  <c r="M9" i="3"/>
  <c r="M9" i="2" s="1"/>
  <c r="H30" i="3"/>
  <c r="H14" i="2" s="1"/>
  <c r="F14" i="2"/>
  <c r="G30" i="3"/>
  <c r="G14" i="2" s="1"/>
  <c r="I30" i="3"/>
  <c r="I14" i="2" s="1"/>
  <c r="P33" i="3"/>
  <c r="P17" i="2" s="1"/>
  <c r="H7" i="3"/>
  <c r="H7" i="2" s="1"/>
  <c r="D33" i="3"/>
  <c r="D17" i="2" s="1"/>
  <c r="I33" i="3"/>
  <c r="I17" i="2" s="1"/>
  <c r="C33" i="3"/>
  <c r="C17" i="2" s="1"/>
  <c r="G31" i="3"/>
  <c r="G15" i="2" s="1"/>
  <c r="I31" i="3"/>
  <c r="I15" i="2" s="1"/>
  <c r="H31" i="3"/>
  <c r="H15" i="2" s="1"/>
  <c r="G33" i="3"/>
  <c r="G17" i="2" s="1"/>
  <c r="M8" i="3"/>
  <c r="M8" i="2" s="1"/>
  <c r="N8" i="2"/>
  <c r="K8" i="3"/>
  <c r="K8" i="2" s="1"/>
  <c r="L8" i="3"/>
  <c r="L8" i="2" s="1"/>
  <c r="T33" i="3"/>
  <c r="T17" i="2" s="1"/>
  <c r="S33" i="3"/>
  <c r="S17" i="2" s="1"/>
  <c r="O8" i="3"/>
  <c r="O8" i="2" s="1"/>
  <c r="K31" i="3"/>
  <c r="K15" i="2" s="1"/>
  <c r="P8" i="3"/>
  <c r="P8" i="2" s="1"/>
  <c r="G9" i="3"/>
  <c r="G9" i="2" s="1"/>
  <c r="T9" i="3"/>
  <c r="T9" i="2" s="1"/>
  <c r="S9" i="3"/>
  <c r="S9" i="2" s="1"/>
  <c r="U9" i="3"/>
  <c r="U9" i="2" s="1"/>
  <c r="E7" i="3"/>
  <c r="E7" i="2" s="1"/>
  <c r="C7" i="3"/>
  <c r="C7" i="2" s="1"/>
  <c r="D7" i="3"/>
  <c r="D7" i="2" s="1"/>
  <c r="F7" i="2"/>
  <c r="K32" i="3"/>
  <c r="K16" i="2" s="1"/>
  <c r="Q32" i="3"/>
  <c r="Q16" i="2" s="1"/>
  <c r="P32" i="3"/>
  <c r="P16" i="2" s="1"/>
  <c r="O33" i="3"/>
  <c r="O17" i="2" s="1"/>
  <c r="G7" i="3"/>
  <c r="G7" i="2" s="1"/>
  <c r="U8" i="3"/>
  <c r="U8" i="2" s="1"/>
  <c r="V8" i="2"/>
  <c r="S8" i="3"/>
  <c r="S8" i="2" s="1"/>
  <c r="T8" i="3"/>
  <c r="T8" i="2" s="1"/>
  <c r="U7" i="3"/>
  <c r="U7" i="2" s="1"/>
  <c r="T7" i="3"/>
  <c r="T7" i="2" s="1"/>
  <c r="S7" i="3"/>
  <c r="S7" i="2" s="1"/>
  <c r="E10" i="3"/>
  <c r="E10" i="2" s="1"/>
  <c r="D10" i="3"/>
  <c r="D10" i="2" s="1"/>
  <c r="V7" i="2"/>
  <c r="C10" i="3"/>
  <c r="C10" i="2" s="1"/>
  <c r="C32" i="3"/>
  <c r="C16" i="2" s="1"/>
  <c r="I32" i="3"/>
  <c r="I16" i="2" s="1"/>
  <c r="H32" i="3"/>
  <c r="H16" i="2" s="1"/>
  <c r="D9" i="3"/>
  <c r="D9" i="2" s="1"/>
  <c r="E9" i="3"/>
  <c r="E9" i="2" s="1"/>
  <c r="C9" i="3"/>
  <c r="C9" i="2" s="1"/>
  <c r="O10" i="3"/>
  <c r="O10" i="2" s="1"/>
  <c r="U10" i="3"/>
  <c r="U10" i="2" s="1"/>
  <c r="T10" i="3"/>
  <c r="T10" i="2" s="1"/>
  <c r="H33" i="3"/>
  <c r="H17" i="2" s="1"/>
  <c r="J9" i="2"/>
  <c r="C30" i="3"/>
  <c r="C14" i="2" s="1"/>
  <c r="O30" i="3"/>
  <c r="O14" i="2" s="1"/>
  <c r="Q30" i="3"/>
  <c r="Q14" i="2" s="1"/>
  <c r="P30" i="3"/>
  <c r="P14" i="2" s="1"/>
  <c r="N14" i="2"/>
  <c r="L31" i="3"/>
  <c r="L15" i="2" s="1"/>
  <c r="L32" i="3"/>
  <c r="L16" i="2" s="1"/>
  <c r="M33" i="3"/>
  <c r="M17" i="2" s="1"/>
  <c r="E8" i="3"/>
  <c r="E8" i="2" s="1"/>
  <c r="F8" i="2"/>
  <c r="C8" i="3"/>
  <c r="C8" i="2" s="1"/>
  <c r="D8" i="3"/>
  <c r="D8" i="2" s="1"/>
  <c r="Q8" i="3"/>
  <c r="Q8" i="2" s="1"/>
  <c r="H9" i="3"/>
  <c r="H9" i="2" s="1"/>
  <c r="G10" i="3"/>
  <c r="G10" i="2" s="1"/>
  <c r="M10" i="3"/>
  <c r="M10" i="2" s="1"/>
  <c r="L10" i="3"/>
  <c r="L10" i="2" s="1"/>
  <c r="AP55" i="4" l="1"/>
  <c r="AP84" i="4"/>
  <c r="AP79" i="4"/>
  <c r="AQ79" i="4"/>
  <c r="AN77" i="4"/>
  <c r="AN35" i="4"/>
  <c r="AB35" i="4" s="1"/>
  <c r="AO21" i="4"/>
  <c r="AO94" i="4"/>
  <c r="AC94" i="4" s="1"/>
  <c r="AP77" i="4"/>
  <c r="AD77" i="4" s="1"/>
  <c r="AQ77" i="4"/>
  <c r="AP6" i="4"/>
  <c r="AQ94" i="4"/>
  <c r="AO71" i="4"/>
  <c r="AP21" i="4"/>
  <c r="AQ21" i="4"/>
  <c r="AE21" i="4" s="1"/>
  <c r="AN84" i="4"/>
  <c r="AB84" i="4" s="1"/>
  <c r="AN71" i="4"/>
  <c r="AB71" i="4" s="1"/>
  <c r="AP76" i="4"/>
  <c r="AQ60" i="4"/>
  <c r="AP71" i="4"/>
  <c r="AQ71" i="4"/>
  <c r="AN30" i="4"/>
  <c r="AX17" i="4"/>
  <c r="AH17" i="4" s="1"/>
  <c r="AH24" i="4"/>
  <c r="AO29" i="4"/>
  <c r="AC29" i="4" s="1"/>
  <c r="AY61" i="4"/>
  <c r="AQ87" i="4"/>
  <c r="AE87" i="4" s="1"/>
  <c r="AP87" i="4"/>
  <c r="AD87" i="4" s="1"/>
  <c r="AP29" i="4"/>
  <c r="AQ29" i="4"/>
  <c r="AE29" i="4" s="1"/>
  <c r="AN87" i="4"/>
  <c r="AB87" i="4" s="1"/>
  <c r="AQ11" i="4"/>
  <c r="AE11" i="4" s="1"/>
  <c r="AP61" i="4"/>
  <c r="AD61" i="4" s="1"/>
  <c r="AP91" i="4"/>
  <c r="AO47" i="4"/>
  <c r="AN11" i="4"/>
  <c r="AB11" i="4" s="1"/>
  <c r="AN55" i="4"/>
  <c r="AV22" i="4"/>
  <c r="AF22" i="4" s="1"/>
  <c r="AP47" i="4"/>
  <c r="AD47" i="4" s="1"/>
  <c r="AP52" i="4"/>
  <c r="AD52" i="4" s="1"/>
  <c r="AN91" i="4"/>
  <c r="AB91" i="4" s="1"/>
  <c r="AN47" i="4"/>
  <c r="AX98" i="4"/>
  <c r="AH98" i="4" s="1"/>
  <c r="AQ52" i="4"/>
  <c r="AQ47" i="4"/>
  <c r="AP11" i="4"/>
  <c r="AD11" i="4" s="1"/>
  <c r="AO61" i="4"/>
  <c r="AC61" i="4" s="1"/>
  <c r="AQ61" i="4"/>
  <c r="AE61" i="4" s="1"/>
  <c r="AN88" i="4"/>
  <c r="AB88" i="4" s="1"/>
  <c r="AQ78" i="4"/>
  <c r="AY44" i="4"/>
  <c r="AI44" i="4" s="1"/>
  <c r="AW69" i="4"/>
  <c r="AG69" i="4" s="1"/>
  <c r="AN52" i="4"/>
  <c r="AG27" i="4"/>
  <c r="AP68" i="4"/>
  <c r="AD68" i="4" s="1"/>
  <c r="AP22" i="4"/>
  <c r="AD22" i="4" s="1"/>
  <c r="AP88" i="4"/>
  <c r="AD88" i="4" s="1"/>
  <c r="AO52" i="4"/>
  <c r="AQ55" i="4"/>
  <c r="AH46" i="4"/>
  <c r="AG59" i="4"/>
  <c r="AH36" i="4"/>
  <c r="AO55" i="4"/>
  <c r="AQ63" i="4"/>
  <c r="AE63" i="4" s="1"/>
  <c r="AP63" i="4"/>
  <c r="AD63" i="4" s="1"/>
  <c r="AO88" i="4"/>
  <c r="AO11" i="4"/>
  <c r="AC11" i="4" s="1"/>
  <c r="AW16" i="4"/>
  <c r="AG16" i="4" s="1"/>
  <c r="AN29" i="4"/>
  <c r="AF44" i="4"/>
  <c r="AH20" i="4"/>
  <c r="AW35" i="4"/>
  <c r="AG35" i="4" s="1"/>
  <c r="AY28" i="4"/>
  <c r="AI28" i="4" s="1"/>
  <c r="AY47" i="4"/>
  <c r="AV76" i="4"/>
  <c r="AF76" i="4" s="1"/>
  <c r="AW41" i="4"/>
  <c r="AG41" i="4" s="1"/>
  <c r="AV65" i="4"/>
  <c r="AX84" i="4"/>
  <c r="AH84" i="4" s="1"/>
  <c r="AX12" i="4"/>
  <c r="AH12" i="4" s="1"/>
  <c r="AQ31" i="4"/>
  <c r="AE31" i="4" s="1"/>
  <c r="AF62" i="4"/>
  <c r="AF88" i="4"/>
  <c r="AH52" i="4"/>
  <c r="AY75" i="4"/>
  <c r="AI75" i="4" s="1"/>
  <c r="AY26" i="4"/>
  <c r="AW90" i="4"/>
  <c r="AG90" i="4" s="1"/>
  <c r="AW71" i="4"/>
  <c r="AG71" i="4" s="1"/>
  <c r="AI23" i="4"/>
  <c r="AI45" i="4"/>
  <c r="AY90" i="4"/>
  <c r="AV63" i="4"/>
  <c r="AF63" i="4" s="1"/>
  <c r="AV70" i="4"/>
  <c r="AF70" i="4" s="1"/>
  <c r="AH97" i="4"/>
  <c r="AI14" i="4"/>
  <c r="AX82" i="4"/>
  <c r="AH82" i="4" s="1"/>
  <c r="AX65" i="4"/>
  <c r="AH65" i="4" s="1"/>
  <c r="AN36" i="4"/>
  <c r="AB36" i="4" s="1"/>
  <c r="AG61" i="4"/>
  <c r="AG70" i="4"/>
  <c r="AF60" i="4"/>
  <c r="AV84" i="4"/>
  <c r="AF84" i="4" s="1"/>
  <c r="AG23" i="4"/>
  <c r="AY29" i="4"/>
  <c r="AI29" i="4" s="1"/>
  <c r="AW92" i="4"/>
  <c r="AG92" i="4" s="1"/>
  <c r="AH47" i="4"/>
  <c r="AW76" i="4"/>
  <c r="AG76" i="4" s="1"/>
  <c r="AY92" i="4"/>
  <c r="AI92" i="4" s="1"/>
  <c r="AW47" i="4"/>
  <c r="AG47" i="4" s="1"/>
  <c r="AW64" i="4"/>
  <c r="AG64" i="4" s="1"/>
  <c r="AY97" i="4"/>
  <c r="AI97" i="4" s="1"/>
  <c r="AV47" i="4"/>
  <c r="AF47" i="4" s="1"/>
  <c r="AV68" i="4"/>
  <c r="AF68" i="4" s="1"/>
  <c r="AW17" i="4"/>
  <c r="AG17" i="4" s="1"/>
  <c r="AY6" i="4"/>
  <c r="AI6" i="4" s="1"/>
  <c r="AF14" i="4"/>
  <c r="AX62" i="4"/>
  <c r="AH62" i="4" s="1"/>
  <c r="AX63" i="4"/>
  <c r="AH63" i="4" s="1"/>
  <c r="AG11" i="4"/>
  <c r="AV86" i="4"/>
  <c r="AF86" i="4" s="1"/>
  <c r="AW63" i="4"/>
  <c r="AG63" i="4" s="1"/>
  <c r="AW62" i="4"/>
  <c r="AG62" i="4" s="1"/>
  <c r="AV33" i="4"/>
  <c r="AF33" i="4" s="1"/>
  <c r="AV54" i="4"/>
  <c r="AF54" i="4" s="1"/>
  <c r="AX60" i="4"/>
  <c r="AH60" i="4" s="1"/>
  <c r="AV102" i="4"/>
  <c r="AF102" i="4" s="1"/>
  <c r="AY74" i="4"/>
  <c r="AI74" i="4" s="1"/>
  <c r="AY12" i="4"/>
  <c r="AW32" i="4"/>
  <c r="AG32" i="4" s="1"/>
  <c r="AV52" i="4"/>
  <c r="AF52" i="4" s="1"/>
  <c r="AX99" i="4"/>
  <c r="AX30" i="4"/>
  <c r="AH30" i="4" s="1"/>
  <c r="AX33" i="4"/>
  <c r="AH33" i="4" s="1"/>
  <c r="AF30" i="4"/>
  <c r="AF94" i="4"/>
  <c r="AF32" i="4"/>
  <c r="AY60" i="4"/>
  <c r="AI60" i="4" s="1"/>
  <c r="AY10" i="4"/>
  <c r="AI10" i="4" s="1"/>
  <c r="AW30" i="4"/>
  <c r="AG30" i="4" s="1"/>
  <c r="AF77" i="4"/>
  <c r="AV38" i="4"/>
  <c r="AF38" i="4" s="1"/>
  <c r="AX28" i="4"/>
  <c r="AH28" i="4" s="1"/>
  <c r="AG29" i="4"/>
  <c r="AH102" i="4"/>
  <c r="AY58" i="4"/>
  <c r="AI58" i="4" s="1"/>
  <c r="AV17" i="4"/>
  <c r="AF17" i="4" s="1"/>
  <c r="AX83" i="4"/>
  <c r="AH83" i="4" s="1"/>
  <c r="AV101" i="4"/>
  <c r="AW101" i="4"/>
  <c r="AG101" i="4" s="1"/>
  <c r="AV100" i="4"/>
  <c r="AF100" i="4" s="1"/>
  <c r="AW106" i="4"/>
  <c r="AG106" i="4" s="1"/>
  <c r="AW48" i="4"/>
  <c r="AG48" i="4" s="1"/>
  <c r="AI90" i="4"/>
  <c r="AY42" i="4"/>
  <c r="AI42" i="4" s="1"/>
  <c r="AH71" i="4"/>
  <c r="AI47" i="4"/>
  <c r="AV36" i="4"/>
  <c r="AF36" i="4" s="1"/>
  <c r="AV20" i="4"/>
  <c r="AF20" i="4" s="1"/>
  <c r="AP105" i="4"/>
  <c r="AD105" i="4" s="1"/>
  <c r="AV105" i="4"/>
  <c r="AW105" i="4"/>
  <c r="AG105" i="4" s="1"/>
  <c r="AO31" i="4"/>
  <c r="AC31" i="4" s="1"/>
  <c r="AV85" i="4"/>
  <c r="AW85" i="4"/>
  <c r="AG85" i="4" s="1"/>
  <c r="AV79" i="4"/>
  <c r="AF79" i="4" s="1"/>
  <c r="AW79" i="4"/>
  <c r="AG79" i="4" s="1"/>
  <c r="AO43" i="4"/>
  <c r="AC43" i="4" s="1"/>
  <c r="AW43" i="4"/>
  <c r="AG43" i="4" s="1"/>
  <c r="AV80" i="4"/>
  <c r="AF80" i="4" s="1"/>
  <c r="AV96" i="4"/>
  <c r="AF96" i="4" s="1"/>
  <c r="AG15" i="4"/>
  <c r="AY64" i="4"/>
  <c r="AI64" i="4" s="1"/>
  <c r="AY48" i="4"/>
  <c r="AI48" i="4" s="1"/>
  <c r="AY32" i="4"/>
  <c r="AI32" i="4" s="1"/>
  <c r="AY16" i="4"/>
  <c r="AY67" i="4"/>
  <c r="AY51" i="4"/>
  <c r="AI51" i="4" s="1"/>
  <c r="AY35" i="4"/>
  <c r="AI35" i="4" s="1"/>
  <c r="AW37" i="4"/>
  <c r="AG37" i="4" s="1"/>
  <c r="AW86" i="4"/>
  <c r="AG86" i="4" s="1"/>
  <c r="AW102" i="4"/>
  <c r="AG102" i="4" s="1"/>
  <c r="AH19" i="4"/>
  <c r="AW39" i="4"/>
  <c r="AG39" i="4" s="1"/>
  <c r="AI61" i="4"/>
  <c r="AI83" i="4"/>
  <c r="AW9" i="4"/>
  <c r="AG9" i="4" s="1"/>
  <c r="AY86" i="4"/>
  <c r="AI86" i="4" s="1"/>
  <c r="AY102" i="4"/>
  <c r="AW68" i="4"/>
  <c r="AG68" i="4" s="1"/>
  <c r="AW52" i="4"/>
  <c r="AG52" i="4" s="1"/>
  <c r="AW36" i="4"/>
  <c r="AG36" i="4" s="1"/>
  <c r="AW20" i="4"/>
  <c r="AG20" i="4" s="1"/>
  <c r="AW65" i="4"/>
  <c r="AG65" i="4" s="1"/>
  <c r="AV69" i="4"/>
  <c r="AF69" i="4" s="1"/>
  <c r="AV53" i="4"/>
  <c r="AF53" i="4" s="1"/>
  <c r="AV37" i="4"/>
  <c r="AF37" i="4" s="1"/>
  <c r="AV21" i="4"/>
  <c r="AF21" i="4" s="1"/>
  <c r="AV74" i="4"/>
  <c r="AF74" i="4" s="1"/>
  <c r="AV58" i="4"/>
  <c r="AF58" i="4" s="1"/>
  <c r="AV42" i="4"/>
  <c r="AF42" i="4" s="1"/>
  <c r="AV26" i="4"/>
  <c r="AF26" i="4" s="1"/>
  <c r="AV10" i="4"/>
  <c r="AF10" i="4" s="1"/>
  <c r="AH14" i="4"/>
  <c r="AF65" i="4"/>
  <c r="AF13" i="4"/>
  <c r="AX104" i="4"/>
  <c r="AH104" i="4" s="1"/>
  <c r="AX88" i="4"/>
  <c r="AH88" i="4" s="1"/>
  <c r="AX66" i="4"/>
  <c r="AH66" i="4" s="1"/>
  <c r="AX50" i="4"/>
  <c r="AH50" i="4" s="1"/>
  <c r="AX34" i="4"/>
  <c r="AH34" i="4" s="1"/>
  <c r="AX18" i="4"/>
  <c r="AH18" i="4" s="1"/>
  <c r="AX69" i="4"/>
  <c r="AH69" i="4" s="1"/>
  <c r="AX53" i="4"/>
  <c r="AH53" i="4" s="1"/>
  <c r="AX37" i="4"/>
  <c r="AH37" i="4" s="1"/>
  <c r="AX21" i="4"/>
  <c r="AX77" i="4"/>
  <c r="AH77" i="4" s="1"/>
  <c r="AI67" i="4"/>
  <c r="AY106" i="4"/>
  <c r="AI106" i="4" s="1"/>
  <c r="AF15" i="4"/>
  <c r="AC100" i="4"/>
  <c r="AN46" i="4"/>
  <c r="AB46" i="4" s="1"/>
  <c r="AV87" i="4"/>
  <c r="AF87" i="4" s="1"/>
  <c r="AW87" i="4"/>
  <c r="AG87" i="4" s="1"/>
  <c r="AV82" i="4"/>
  <c r="AF82" i="4" s="1"/>
  <c r="AV98" i="4"/>
  <c r="AF98" i="4" s="1"/>
  <c r="AY62" i="4"/>
  <c r="AI62" i="4" s="1"/>
  <c r="AY46" i="4"/>
  <c r="AY30" i="4"/>
  <c r="AI30" i="4" s="1"/>
  <c r="AY65" i="4"/>
  <c r="AY49" i="4"/>
  <c r="AI49" i="4" s="1"/>
  <c r="AY33" i="4"/>
  <c r="AI33" i="4" s="1"/>
  <c r="AY17" i="4"/>
  <c r="AI17" i="4" s="1"/>
  <c r="AW53" i="4"/>
  <c r="AG53" i="4" s="1"/>
  <c r="AW88" i="4"/>
  <c r="AG88" i="4" s="1"/>
  <c r="AW104" i="4"/>
  <c r="AG104" i="4" s="1"/>
  <c r="AH23" i="4"/>
  <c r="AH87" i="4"/>
  <c r="AW55" i="4"/>
  <c r="AG55" i="4" s="1"/>
  <c r="AI19" i="4"/>
  <c r="AI63" i="4"/>
  <c r="AV6" i="4"/>
  <c r="AF6" i="4" s="1"/>
  <c r="AW25" i="4"/>
  <c r="AG25" i="4" s="1"/>
  <c r="AY88" i="4"/>
  <c r="AI88" i="4" s="1"/>
  <c r="AY104" i="4"/>
  <c r="AI104" i="4" s="1"/>
  <c r="AW31" i="4"/>
  <c r="AG31" i="4" s="1"/>
  <c r="AI12" i="4"/>
  <c r="AI96" i="4"/>
  <c r="AW66" i="4"/>
  <c r="AG66" i="4" s="1"/>
  <c r="AW50" i="4"/>
  <c r="AG50" i="4" s="1"/>
  <c r="AW34" i="4"/>
  <c r="AG34" i="4" s="1"/>
  <c r="AW18" i="4"/>
  <c r="AG18" i="4" s="1"/>
  <c r="AY77" i="4"/>
  <c r="AV67" i="4"/>
  <c r="AF67" i="4" s="1"/>
  <c r="AV51" i="4"/>
  <c r="AF51" i="4" s="1"/>
  <c r="AV35" i="4"/>
  <c r="AF35" i="4" s="1"/>
  <c r="AV72" i="4"/>
  <c r="AF72" i="4" s="1"/>
  <c r="AV56" i="4"/>
  <c r="AF56" i="4" s="1"/>
  <c r="AV40" i="4"/>
  <c r="AF40" i="4" s="1"/>
  <c r="AV8" i="4"/>
  <c r="AF8" i="4" s="1"/>
  <c r="AI65" i="4"/>
  <c r="AI81" i="4"/>
  <c r="AI13" i="4"/>
  <c r="AG14" i="4"/>
  <c r="AX101" i="4"/>
  <c r="AX85" i="4"/>
  <c r="AH85" i="4" s="1"/>
  <c r="AX86" i="4"/>
  <c r="AH86" i="4" s="1"/>
  <c r="AX64" i="4"/>
  <c r="AH64" i="4" s="1"/>
  <c r="AX48" i="4"/>
  <c r="AH48" i="4" s="1"/>
  <c r="AX32" i="4"/>
  <c r="AH32" i="4" s="1"/>
  <c r="AX16" i="4"/>
  <c r="AH16" i="4" s="1"/>
  <c r="AX67" i="4"/>
  <c r="AH67" i="4" s="1"/>
  <c r="AX51" i="4"/>
  <c r="AH51" i="4" s="1"/>
  <c r="AX35" i="4"/>
  <c r="AH35" i="4" s="1"/>
  <c r="AI26" i="4"/>
  <c r="AV95" i="4"/>
  <c r="AF95" i="4" s="1"/>
  <c r="AW95" i="4"/>
  <c r="AG95" i="4" s="1"/>
  <c r="AY31" i="4"/>
  <c r="AI31" i="4" s="1"/>
  <c r="AI16" i="4"/>
  <c r="AI69" i="4"/>
  <c r="AW57" i="4"/>
  <c r="AN45" i="4"/>
  <c r="AW45" i="4"/>
  <c r="AG45" i="4" s="1"/>
  <c r="AP37" i="4"/>
  <c r="AD37" i="4" s="1"/>
  <c r="AO36" i="4"/>
  <c r="AC36" i="4" s="1"/>
  <c r="AW51" i="4"/>
  <c r="AG51" i="4" s="1"/>
  <c r="AV104" i="4"/>
  <c r="AF104" i="4" s="1"/>
  <c r="AY72" i="4"/>
  <c r="AI72" i="4" s="1"/>
  <c r="AY56" i="4"/>
  <c r="AI56" i="4" s="1"/>
  <c r="AY40" i="4"/>
  <c r="AI40" i="4" s="1"/>
  <c r="AY8" i="4"/>
  <c r="AI8" i="4" s="1"/>
  <c r="AY59" i="4"/>
  <c r="AI59" i="4" s="1"/>
  <c r="AY43" i="4"/>
  <c r="AI43" i="4" s="1"/>
  <c r="AY27" i="4"/>
  <c r="AI27" i="4" s="1"/>
  <c r="AY11" i="4"/>
  <c r="AW78" i="4"/>
  <c r="AG78" i="4" s="1"/>
  <c r="AW94" i="4"/>
  <c r="AG94" i="4" s="1"/>
  <c r="AI93" i="4"/>
  <c r="AY78" i="4"/>
  <c r="AI78" i="4" s="1"/>
  <c r="AY94" i="4"/>
  <c r="AI94" i="4" s="1"/>
  <c r="AW75" i="4"/>
  <c r="AG75" i="4" s="1"/>
  <c r="AI84" i="4"/>
  <c r="AW60" i="4"/>
  <c r="AG60" i="4" s="1"/>
  <c r="AW44" i="4"/>
  <c r="AG44" i="4" s="1"/>
  <c r="AW28" i="4"/>
  <c r="AG28" i="4" s="1"/>
  <c r="AW12" i="4"/>
  <c r="AG12" i="4" s="1"/>
  <c r="AV61" i="4"/>
  <c r="AF61" i="4" s="1"/>
  <c r="AV45" i="4"/>
  <c r="AV29" i="4"/>
  <c r="AF29" i="4" s="1"/>
  <c r="AV66" i="4"/>
  <c r="AF66" i="4" s="1"/>
  <c r="AV50" i="4"/>
  <c r="AF50" i="4" s="1"/>
  <c r="AV34" i="4"/>
  <c r="AF34" i="4" s="1"/>
  <c r="AV18" i="4"/>
  <c r="AF18" i="4" s="1"/>
  <c r="AX74" i="4"/>
  <c r="AH74" i="4" s="1"/>
  <c r="AF105" i="4"/>
  <c r="AX95" i="4"/>
  <c r="AH95" i="4" s="1"/>
  <c r="AX79" i="4"/>
  <c r="AH79" i="4" s="1"/>
  <c r="AX96" i="4"/>
  <c r="AH96" i="4" s="1"/>
  <c r="AX80" i="4"/>
  <c r="AH80" i="4" s="1"/>
  <c r="AX58" i="4"/>
  <c r="AH58" i="4" s="1"/>
  <c r="AX42" i="4"/>
  <c r="AH42" i="4" s="1"/>
  <c r="AX26" i="4"/>
  <c r="AH26" i="4" s="1"/>
  <c r="AX10" i="4"/>
  <c r="AH10" i="4" s="1"/>
  <c r="AX61" i="4"/>
  <c r="AH61" i="4" s="1"/>
  <c r="AX45" i="4"/>
  <c r="AH45" i="4" s="1"/>
  <c r="AX29" i="4"/>
  <c r="AH29" i="4" s="1"/>
  <c r="AX13" i="4"/>
  <c r="AN93" i="4"/>
  <c r="AB93" i="4" s="1"/>
  <c r="AV93" i="4"/>
  <c r="AF93" i="4" s="1"/>
  <c r="AW93" i="4"/>
  <c r="AG93" i="4" s="1"/>
  <c r="AV49" i="4"/>
  <c r="AF49" i="4" s="1"/>
  <c r="AX100" i="4"/>
  <c r="AH100" i="4" s="1"/>
  <c r="AX49" i="4"/>
  <c r="AH49" i="4" s="1"/>
  <c r="AI80" i="4"/>
  <c r="AW46" i="4"/>
  <c r="AG46" i="4" s="1"/>
  <c r="AF101" i="4"/>
  <c r="AV31" i="4"/>
  <c r="AF31" i="4" s="1"/>
  <c r="AX31" i="4"/>
  <c r="AH31" i="4" s="1"/>
  <c r="AP73" i="4"/>
  <c r="AD73" i="4" s="1"/>
  <c r="AW73" i="4"/>
  <c r="AQ103" i="4"/>
  <c r="AE103" i="4" s="1"/>
  <c r="AV103" i="4"/>
  <c r="AF103" i="4" s="1"/>
  <c r="AW103" i="4"/>
  <c r="AG103" i="4" s="1"/>
  <c r="AC47" i="4"/>
  <c r="AP95" i="4"/>
  <c r="AD95" i="4" s="1"/>
  <c r="AQ95" i="4"/>
  <c r="AE95" i="4" s="1"/>
  <c r="AO83" i="4"/>
  <c r="AC83" i="4" s="1"/>
  <c r="AV83" i="4"/>
  <c r="AF83" i="4" s="1"/>
  <c r="AW83" i="4"/>
  <c r="AG83" i="4" s="1"/>
  <c r="AW67" i="4"/>
  <c r="AG67" i="4" s="1"/>
  <c r="AV90" i="4"/>
  <c r="AF90" i="4" s="1"/>
  <c r="AV106" i="4"/>
  <c r="AF106" i="4" s="1"/>
  <c r="AG24" i="4"/>
  <c r="AY70" i="4"/>
  <c r="AI70" i="4" s="1"/>
  <c r="AY54" i="4"/>
  <c r="AI54" i="4" s="1"/>
  <c r="AY38" i="4"/>
  <c r="AI38" i="4" s="1"/>
  <c r="AY22" i="4"/>
  <c r="AI22" i="4" s="1"/>
  <c r="AY73" i="4"/>
  <c r="AI73" i="4" s="1"/>
  <c r="AY57" i="4"/>
  <c r="AI57" i="4" s="1"/>
  <c r="AY41" i="4"/>
  <c r="AI41" i="4" s="1"/>
  <c r="AY25" i="4"/>
  <c r="AI25" i="4" s="1"/>
  <c r="AY9" i="4"/>
  <c r="AI9" i="4" s="1"/>
  <c r="AW80" i="4"/>
  <c r="AG80" i="4" s="1"/>
  <c r="AW96" i="4"/>
  <c r="AG96" i="4" s="1"/>
  <c r="AH55" i="4"/>
  <c r="AH99" i="4"/>
  <c r="AI95" i="4"/>
  <c r="AW77" i="4"/>
  <c r="AG77" i="4" s="1"/>
  <c r="AW74" i="4"/>
  <c r="AG74" i="4" s="1"/>
  <c r="AW58" i="4"/>
  <c r="AG58" i="4" s="1"/>
  <c r="AW42" i="4"/>
  <c r="AG42" i="4" s="1"/>
  <c r="AW26" i="4"/>
  <c r="AG26" i="4" s="1"/>
  <c r="AW10" i="4"/>
  <c r="AG10" i="4" s="1"/>
  <c r="AY85" i="4"/>
  <c r="AI85" i="4" s="1"/>
  <c r="AY101" i="4"/>
  <c r="AI101" i="4" s="1"/>
  <c r="AF19" i="4"/>
  <c r="AF85" i="4"/>
  <c r="AV75" i="4"/>
  <c r="AF75" i="4" s="1"/>
  <c r="AV59" i="4"/>
  <c r="AF59" i="4" s="1"/>
  <c r="AV43" i="4"/>
  <c r="AF43" i="4" s="1"/>
  <c r="AV27" i="4"/>
  <c r="AF27" i="4" s="1"/>
  <c r="AV11" i="4"/>
  <c r="AF11" i="4" s="1"/>
  <c r="AV64" i="4"/>
  <c r="AF64" i="4" s="1"/>
  <c r="AV48" i="4"/>
  <c r="AF48" i="4" s="1"/>
  <c r="AV16" i="4"/>
  <c r="AF16" i="4" s="1"/>
  <c r="AX6" i="4"/>
  <c r="AH6" i="4" s="1"/>
  <c r="AX93" i="4"/>
  <c r="AH93" i="4" s="1"/>
  <c r="AX76" i="4"/>
  <c r="AH76" i="4" s="1"/>
  <c r="AX94" i="4"/>
  <c r="AH94" i="4" s="1"/>
  <c r="AX78" i="4"/>
  <c r="AH78" i="4" s="1"/>
  <c r="AX56" i="4"/>
  <c r="AH56" i="4" s="1"/>
  <c r="AX40" i="4"/>
  <c r="AH40" i="4" s="1"/>
  <c r="AX8" i="4"/>
  <c r="AH8" i="4" s="1"/>
  <c r="AX59" i="4"/>
  <c r="AH59" i="4" s="1"/>
  <c r="AX43" i="4"/>
  <c r="AH43" i="4" s="1"/>
  <c r="AX27" i="4"/>
  <c r="AH27" i="4" s="1"/>
  <c r="AX11" i="4"/>
  <c r="AH11" i="4" s="1"/>
  <c r="AP81" i="4"/>
  <c r="AD81" i="4" s="1"/>
  <c r="AV81" i="4"/>
  <c r="AF81" i="4" s="1"/>
  <c r="AW81" i="4"/>
  <c r="AG81" i="4" s="1"/>
  <c r="AI102" i="4"/>
  <c r="AX81" i="4"/>
  <c r="AH81" i="4" s="1"/>
  <c r="AX44" i="4"/>
  <c r="AH44" i="4" s="1"/>
  <c r="AP89" i="4"/>
  <c r="AD89" i="4" s="1"/>
  <c r="AV89" i="4"/>
  <c r="AF89" i="4" s="1"/>
  <c r="AW89" i="4"/>
  <c r="AG89" i="4" s="1"/>
  <c r="AO95" i="4"/>
  <c r="AC95" i="4" s="1"/>
  <c r="AQ100" i="4"/>
  <c r="AN100" i="4"/>
  <c r="AB100" i="4" s="1"/>
  <c r="AN31" i="4"/>
  <c r="AB31" i="4" s="1"/>
  <c r="AO91" i="4"/>
  <c r="AC91" i="4" s="1"/>
  <c r="AV91" i="4"/>
  <c r="AF91" i="4" s="1"/>
  <c r="AW91" i="4"/>
  <c r="AG91" i="4" s="1"/>
  <c r="AV92" i="4"/>
  <c r="AF92" i="4" s="1"/>
  <c r="AY68" i="4"/>
  <c r="AI68" i="4" s="1"/>
  <c r="AY52" i="4"/>
  <c r="AI52" i="4" s="1"/>
  <c r="AY36" i="4"/>
  <c r="AI36" i="4" s="1"/>
  <c r="AY20" i="4"/>
  <c r="AI20" i="4" s="1"/>
  <c r="AY71" i="4"/>
  <c r="AI71" i="4" s="1"/>
  <c r="AY55" i="4"/>
  <c r="AI55" i="4" s="1"/>
  <c r="AY39" i="4"/>
  <c r="AI39" i="4" s="1"/>
  <c r="AY7" i="4"/>
  <c r="AI7" i="4" s="1"/>
  <c r="AW82" i="4"/>
  <c r="AG82" i="4" s="1"/>
  <c r="AW98" i="4"/>
  <c r="AG98" i="4" s="1"/>
  <c r="AH15" i="4"/>
  <c r="AH101" i="4"/>
  <c r="AW7" i="4"/>
  <c r="AG7" i="4" s="1"/>
  <c r="AI11" i="4"/>
  <c r="AI77" i="4"/>
  <c r="AI99" i="4"/>
  <c r="AY82" i="4"/>
  <c r="AI82" i="4" s="1"/>
  <c r="AY98" i="4"/>
  <c r="AI98" i="4" s="1"/>
  <c r="AW6" i="4"/>
  <c r="AG6" i="4" s="1"/>
  <c r="AI24" i="4"/>
  <c r="AI46" i="4"/>
  <c r="AW72" i="4"/>
  <c r="AG72" i="4" s="1"/>
  <c r="AW56" i="4"/>
  <c r="AG56" i="4" s="1"/>
  <c r="AW40" i="4"/>
  <c r="AG40" i="4" s="1"/>
  <c r="AW8" i="4"/>
  <c r="AG8" i="4" s="1"/>
  <c r="AW33" i="4"/>
  <c r="AG33" i="4" s="1"/>
  <c r="AY87" i="4"/>
  <c r="AI87" i="4" s="1"/>
  <c r="AY103" i="4"/>
  <c r="AI103" i="4" s="1"/>
  <c r="AF23" i="4"/>
  <c r="AF45" i="4"/>
  <c r="AV73" i="4"/>
  <c r="AF73" i="4" s="1"/>
  <c r="AV57" i="4"/>
  <c r="AF57" i="4" s="1"/>
  <c r="AV41" i="4"/>
  <c r="AF41" i="4" s="1"/>
  <c r="AV25" i="4"/>
  <c r="AF25" i="4" s="1"/>
  <c r="AV9" i="4"/>
  <c r="AF9" i="4" s="1"/>
  <c r="AV46" i="4"/>
  <c r="AF46" i="4" s="1"/>
  <c r="AX75" i="4"/>
  <c r="AH75" i="4" s="1"/>
  <c r="AX91" i="4"/>
  <c r="AH91" i="4" s="1"/>
  <c r="AX72" i="4"/>
  <c r="AH72" i="4" s="1"/>
  <c r="AX92" i="4"/>
  <c r="AH92" i="4" s="1"/>
  <c r="AX70" i="4"/>
  <c r="AH70" i="4" s="1"/>
  <c r="AX54" i="4"/>
  <c r="AH54" i="4" s="1"/>
  <c r="AX38" i="4"/>
  <c r="AH38" i="4" s="1"/>
  <c r="AX22" i="4"/>
  <c r="AH22" i="4" s="1"/>
  <c r="AX73" i="4"/>
  <c r="AH73" i="4" s="1"/>
  <c r="AX57" i="4"/>
  <c r="AH57" i="4" s="1"/>
  <c r="AX41" i="4"/>
  <c r="AH41" i="4" s="1"/>
  <c r="AX25" i="4"/>
  <c r="AH25" i="4" s="1"/>
  <c r="AX9" i="4"/>
  <c r="AH9" i="4" s="1"/>
  <c r="AG19" i="4"/>
  <c r="AH13" i="4"/>
  <c r="AH7" i="4"/>
  <c r="AI91" i="4"/>
  <c r="AG13" i="4"/>
  <c r="AP97" i="4"/>
  <c r="AD97" i="4" s="1"/>
  <c r="AV97" i="4"/>
  <c r="AF97" i="4" s="1"/>
  <c r="AW97" i="4"/>
  <c r="AG97" i="4" s="1"/>
  <c r="AP100" i="4"/>
  <c r="AD100" i="4" s="1"/>
  <c r="AQ36" i="4"/>
  <c r="AE36" i="4" s="1"/>
  <c r="AP36" i="4"/>
  <c r="AD36" i="4" s="1"/>
  <c r="AN95" i="4"/>
  <c r="AO99" i="4"/>
  <c r="AC99" i="4" s="1"/>
  <c r="AV99" i="4"/>
  <c r="AF99" i="4" s="1"/>
  <c r="AW99" i="4"/>
  <c r="AG99" i="4" s="1"/>
  <c r="AV78" i="4"/>
  <c r="AF78" i="4" s="1"/>
  <c r="AY66" i="4"/>
  <c r="AI66" i="4" s="1"/>
  <c r="AY50" i="4"/>
  <c r="AI50" i="4" s="1"/>
  <c r="AY34" i="4"/>
  <c r="AI34" i="4" s="1"/>
  <c r="AY18" i="4"/>
  <c r="AI18" i="4" s="1"/>
  <c r="AY53" i="4"/>
  <c r="AI53" i="4" s="1"/>
  <c r="AY21" i="4"/>
  <c r="AI21" i="4" s="1"/>
  <c r="AW21" i="4"/>
  <c r="AG21" i="4" s="1"/>
  <c r="AW84" i="4"/>
  <c r="AG84" i="4" s="1"/>
  <c r="AW100" i="4"/>
  <c r="AG100" i="4" s="1"/>
  <c r="AH103" i="4"/>
  <c r="AI15" i="4"/>
  <c r="AI37" i="4"/>
  <c r="AI79" i="4"/>
  <c r="AY100" i="4"/>
  <c r="AI100" i="4" s="1"/>
  <c r="AF24" i="4"/>
  <c r="AW54" i="4"/>
  <c r="AG54" i="4" s="1"/>
  <c r="AW38" i="4"/>
  <c r="AG38" i="4" s="1"/>
  <c r="AW22" i="4"/>
  <c r="AG22" i="4" s="1"/>
  <c r="AY76" i="4"/>
  <c r="AI76" i="4" s="1"/>
  <c r="AW49" i="4"/>
  <c r="AG49" i="4" s="1"/>
  <c r="AY89" i="4"/>
  <c r="AI89" i="4" s="1"/>
  <c r="AY105" i="4"/>
  <c r="AI105" i="4" s="1"/>
  <c r="AV71" i="4"/>
  <c r="AF71" i="4" s="1"/>
  <c r="AV55" i="4"/>
  <c r="AF55" i="4" s="1"/>
  <c r="AV39" i="4"/>
  <c r="AF39" i="4" s="1"/>
  <c r="AV7" i="4"/>
  <c r="AF7" i="4" s="1"/>
  <c r="AV28" i="4"/>
  <c r="AF28" i="4" s="1"/>
  <c r="AV12" i="4"/>
  <c r="AF12" i="4" s="1"/>
  <c r="AG57" i="4"/>
  <c r="AG73" i="4"/>
  <c r="AH21" i="4"/>
  <c r="AX105" i="4"/>
  <c r="AH105" i="4" s="1"/>
  <c r="AX89" i="4"/>
  <c r="AH89" i="4" s="1"/>
  <c r="AX106" i="4"/>
  <c r="AH106" i="4" s="1"/>
  <c r="AX90" i="4"/>
  <c r="AH90" i="4" s="1"/>
  <c r="AX68" i="4"/>
  <c r="AH68" i="4" s="1"/>
  <c r="AX39" i="4"/>
  <c r="AH39" i="4" s="1"/>
  <c r="AO54" i="4"/>
  <c r="AC54" i="4" s="1"/>
  <c r="AP86" i="4"/>
  <c r="AD86" i="4" s="1"/>
  <c r="AO59" i="4"/>
  <c r="AC59" i="4" s="1"/>
  <c r="AN43" i="4"/>
  <c r="AP7" i="4"/>
  <c r="AQ20" i="4"/>
  <c r="AQ43" i="4"/>
  <c r="AP59" i="4"/>
  <c r="AN75" i="4"/>
  <c r="AB75" i="4" s="1"/>
  <c r="AN22" i="4"/>
  <c r="AB22" i="4" s="1"/>
  <c r="AQ27" i="4"/>
  <c r="AP20" i="4"/>
  <c r="AD20" i="4" s="1"/>
  <c r="AP43" i="4"/>
  <c r="AD43" i="4" s="1"/>
  <c r="AO20" i="4"/>
  <c r="AQ75" i="4"/>
  <c r="AQ59" i="4"/>
  <c r="AE59" i="4" s="1"/>
  <c r="AQ96" i="4"/>
  <c r="AE96" i="4" s="1"/>
  <c r="AP96" i="4"/>
  <c r="AQ62" i="4"/>
  <c r="AE62" i="4" s="1"/>
  <c r="AP27" i="4"/>
  <c r="AD27" i="4" s="1"/>
  <c r="AP78" i="4"/>
  <c r="AO22" i="4"/>
  <c r="AC79" i="4"/>
  <c r="AQ6" i="4"/>
  <c r="AE6" i="4" s="1"/>
  <c r="AQ46" i="4"/>
  <c r="AE46" i="4" s="1"/>
  <c r="AP62" i="4"/>
  <c r="AD62" i="4" s="1"/>
  <c r="AO62" i="4"/>
  <c r="AC62" i="4" s="1"/>
  <c r="AP75" i="4"/>
  <c r="AN94" i="4"/>
  <c r="AB94" i="4" s="1"/>
  <c r="AO96" i="4"/>
  <c r="AQ30" i="4"/>
  <c r="AP46" i="4"/>
  <c r="AD46" i="4" s="1"/>
  <c r="AN27" i="4"/>
  <c r="AB27" i="4" s="1"/>
  <c r="AQ91" i="4"/>
  <c r="AN20" i="4"/>
  <c r="AN78" i="4"/>
  <c r="AP30" i="4"/>
  <c r="AO46" i="4"/>
  <c r="AN59" i="4"/>
  <c r="AP94" i="4"/>
  <c r="AD94" i="4" s="1"/>
  <c r="AN62" i="4"/>
  <c r="AB62" i="4" s="1"/>
  <c r="AB8" i="4"/>
  <c r="AP28" i="4"/>
  <c r="AO80" i="4"/>
  <c r="AN60" i="4"/>
  <c r="AE33" i="4"/>
  <c r="AP83" i="4"/>
  <c r="AQ32" i="4"/>
  <c r="AE32" i="4" s="1"/>
  <c r="AP51" i="4"/>
  <c r="AD51" i="4" s="1"/>
  <c r="AP99" i="4"/>
  <c r="AO92" i="4"/>
  <c r="AO60" i="4"/>
  <c r="AC60" i="4" s="1"/>
  <c r="AQ99" i="4"/>
  <c r="AB63" i="4"/>
  <c r="AQ51" i="4"/>
  <c r="AQ67" i="4"/>
  <c r="AC68" i="4"/>
  <c r="AO40" i="4"/>
  <c r="AO70" i="4"/>
  <c r="AQ53" i="4"/>
  <c r="AP53" i="4"/>
  <c r="AN83" i="4"/>
  <c r="AP69" i="4"/>
  <c r="AO32" i="4"/>
  <c r="AN76" i="4"/>
  <c r="AB76" i="4" s="1"/>
  <c r="AN102" i="4"/>
  <c r="AN38" i="4"/>
  <c r="AQ70" i="4"/>
  <c r="AO102" i="4"/>
  <c r="AO53" i="4"/>
  <c r="AN86" i="4"/>
  <c r="AQ86" i="4"/>
  <c r="AE86" i="4" s="1"/>
  <c r="AN67" i="4"/>
  <c r="AQ35" i="4"/>
  <c r="AN37" i="4"/>
  <c r="AP60" i="4"/>
  <c r="AD60" i="4" s="1"/>
  <c r="AP54" i="4"/>
  <c r="AP85" i="4"/>
  <c r="AO44" i="4"/>
  <c r="AO38" i="4"/>
  <c r="AQ85" i="4"/>
  <c r="AP70" i="4"/>
  <c r="AP102" i="4"/>
  <c r="AN80" i="4"/>
  <c r="AN61" i="4"/>
  <c r="AQ69" i="4"/>
  <c r="AB53" i="4"/>
  <c r="AC55" i="4"/>
  <c r="AC87" i="4"/>
  <c r="AB96" i="4"/>
  <c r="AD23" i="4"/>
  <c r="AD55" i="4"/>
  <c r="AE15" i="4"/>
  <c r="AC27" i="4"/>
  <c r="AE19" i="4"/>
  <c r="AN99" i="4"/>
  <c r="AQ44" i="4"/>
  <c r="AQ38" i="4"/>
  <c r="AN69" i="4"/>
  <c r="AB69" i="4" s="1"/>
  <c r="AP35" i="4"/>
  <c r="AN44" i="4"/>
  <c r="AN32" i="4"/>
  <c r="AN70" i="4"/>
  <c r="AQ102" i="4"/>
  <c r="AE102" i="4" s="1"/>
  <c r="AN85" i="4"/>
  <c r="AP32" i="4"/>
  <c r="AQ54" i="4"/>
  <c r="AE54" i="4" s="1"/>
  <c r="AO85" i="4"/>
  <c r="AN101" i="4"/>
  <c r="AP80" i="4"/>
  <c r="AD80" i="4" s="1"/>
  <c r="AP44" i="4"/>
  <c r="AD44" i="4" s="1"/>
  <c r="AO101" i="4"/>
  <c r="AP67" i="4"/>
  <c r="AO39" i="4"/>
  <c r="AO28" i="4"/>
  <c r="AC28" i="4" s="1"/>
  <c r="AC86" i="4"/>
  <c r="AQ9" i="4"/>
  <c r="AQ37" i="4"/>
  <c r="AE37" i="4" s="1"/>
  <c r="AB48" i="4"/>
  <c r="AC63" i="4"/>
  <c r="AO37" i="4"/>
  <c r="AP92" i="4"/>
  <c r="AQ28" i="4"/>
  <c r="AQ40" i="4"/>
  <c r="AQ92" i="4"/>
  <c r="AE92" i="4" s="1"/>
  <c r="AQ101" i="4"/>
  <c r="AE101" i="4" s="1"/>
  <c r="AO69" i="4"/>
  <c r="AQ80" i="4"/>
  <c r="AO51" i="4"/>
  <c r="AP101" i="4"/>
  <c r="AQ83" i="4"/>
  <c r="AE25" i="4"/>
  <c r="AE30" i="4"/>
  <c r="AO89" i="4"/>
  <c r="AB92" i="4"/>
  <c r="AB16" i="4"/>
  <c r="AQ17" i="4"/>
  <c r="AC30" i="4"/>
  <c r="AN82" i="4"/>
  <c r="AB23" i="4"/>
  <c r="AD31" i="4"/>
  <c r="AC21" i="4"/>
  <c r="AB51" i="4"/>
  <c r="AC75" i="4"/>
  <c r="AB14" i="4"/>
  <c r="AE22" i="4"/>
  <c r="AQ50" i="4"/>
  <c r="AO33" i="4"/>
  <c r="AC22" i="4"/>
  <c r="AQ104" i="4"/>
  <c r="AO73" i="4"/>
  <c r="AN66" i="4"/>
  <c r="AB95" i="4"/>
  <c r="AQ105" i="4"/>
  <c r="AB55" i="4"/>
  <c r="AB40" i="4"/>
  <c r="AP45" i="4"/>
  <c r="AP106" i="4"/>
  <c r="AC6" i="4"/>
  <c r="AO58" i="4"/>
  <c r="AO17" i="4"/>
  <c r="AN18" i="4"/>
  <c r="AB28" i="4"/>
  <c r="AC44" i="4"/>
  <c r="AB104" i="4"/>
  <c r="AQ89" i="4"/>
  <c r="AP25" i="4"/>
  <c r="AO42" i="4"/>
  <c r="AN105" i="4"/>
  <c r="AP90" i="4"/>
  <c r="AD90" i="4" s="1"/>
  <c r="AQ74" i="4"/>
  <c r="AC66" i="4"/>
  <c r="AP58" i="4"/>
  <c r="AQ90" i="4"/>
  <c r="AC84" i="4"/>
  <c r="AN6" i="4"/>
  <c r="AB6" i="4" s="1"/>
  <c r="AD82" i="4"/>
  <c r="AP41" i="4"/>
  <c r="AO56" i="4"/>
  <c r="AN57" i="4"/>
  <c r="AC23" i="4"/>
  <c r="AB13" i="4"/>
  <c r="AE60" i="4"/>
  <c r="AD18" i="4"/>
  <c r="AE39" i="4"/>
  <c r="AB21" i="4"/>
  <c r="AD13" i="4"/>
  <c r="AD72" i="4"/>
  <c r="AE43" i="4"/>
  <c r="AC65" i="4"/>
  <c r="AD6" i="4"/>
  <c r="AP65" i="4"/>
  <c r="AD9" i="4"/>
  <c r="AQ42" i="4"/>
  <c r="AQ8" i="4"/>
  <c r="AQ48" i="4"/>
  <c r="AO74" i="4"/>
  <c r="AP33" i="4"/>
  <c r="AN10" i="4"/>
  <c r="AP66" i="4"/>
  <c r="AD66" i="4" s="1"/>
  <c r="AC14" i="4"/>
  <c r="AB45" i="4"/>
  <c r="AQ7" i="4"/>
  <c r="AO72" i="4"/>
  <c r="AP93" i="4"/>
  <c r="AO48" i="4"/>
  <c r="AO50" i="4"/>
  <c r="AO25" i="4"/>
  <c r="AE78" i="4"/>
  <c r="AP42" i="4"/>
  <c r="AN74" i="4"/>
  <c r="AN9" i="4"/>
  <c r="AN49" i="4"/>
  <c r="AO98" i="4"/>
  <c r="AQ72" i="4"/>
  <c r="AE68" i="4"/>
  <c r="AE100" i="4"/>
  <c r="AE23" i="4"/>
  <c r="AE47" i="4"/>
  <c r="AB26" i="4"/>
  <c r="AB90" i="4"/>
  <c r="AE13" i="4"/>
  <c r="AC35" i="4"/>
  <c r="AD56" i="4"/>
  <c r="AE77" i="4"/>
  <c r="AB52" i="4"/>
  <c r="AD49" i="4"/>
  <c r="AQ26" i="4"/>
  <c r="AQ57" i="4"/>
  <c r="AC76" i="4"/>
  <c r="AP39" i="4"/>
  <c r="AP17" i="4"/>
  <c r="AO93" i="4"/>
  <c r="AQ98" i="4"/>
  <c r="AO34" i="4"/>
  <c r="AO8" i="4"/>
  <c r="AC8" i="4" s="1"/>
  <c r="AO97" i="4"/>
  <c r="AN58" i="4"/>
  <c r="AN97" i="4"/>
  <c r="AN33" i="4"/>
  <c r="AN72" i="4"/>
  <c r="AN7" i="4"/>
  <c r="AD57" i="4"/>
  <c r="AC71" i="4"/>
  <c r="AB24" i="4"/>
  <c r="AD7" i="4"/>
  <c r="AD71" i="4"/>
  <c r="AD50" i="4"/>
  <c r="AE71" i="4"/>
  <c r="AB34" i="4"/>
  <c r="AB98" i="4"/>
  <c r="AD21" i="4"/>
  <c r="AD85" i="4"/>
  <c r="AE106" i="4"/>
  <c r="AB60" i="4"/>
  <c r="AD30" i="4"/>
  <c r="AB30" i="4"/>
  <c r="AQ73" i="4"/>
  <c r="AQ18" i="4"/>
  <c r="AQ49" i="4"/>
  <c r="AP48" i="4"/>
  <c r="AO82" i="4"/>
  <c r="AP103" i="4"/>
  <c r="AE88" i="4"/>
  <c r="AP8" i="4"/>
  <c r="AB15" i="4"/>
  <c r="AO7" i="4"/>
  <c r="AC52" i="4"/>
  <c r="AP40" i="4"/>
  <c r="AO26" i="4"/>
  <c r="AE14" i="4"/>
  <c r="AB47" i="4"/>
  <c r="AQ93" i="4"/>
  <c r="AP34" i="4"/>
  <c r="AN50" i="4"/>
  <c r="AN89" i="4"/>
  <c r="AN25" i="4"/>
  <c r="AN64" i="4"/>
  <c r="AN12" i="4"/>
  <c r="AB29" i="4"/>
  <c r="AD76" i="4"/>
  <c r="AE44" i="4"/>
  <c r="AE76" i="4"/>
  <c r="AD74" i="4"/>
  <c r="AB42" i="4"/>
  <c r="AC24" i="4"/>
  <c r="AC88" i="4"/>
  <c r="AC19" i="4"/>
  <c r="AB68" i="4"/>
  <c r="AE75" i="4"/>
  <c r="AP26" i="4"/>
  <c r="AQ97" i="4"/>
  <c r="AQ41" i="4"/>
  <c r="AQ16" i="4"/>
  <c r="AO106" i="4"/>
  <c r="AE94" i="4"/>
  <c r="AP98" i="4"/>
  <c r="AQ82" i="4"/>
  <c r="AO104" i="4"/>
  <c r="AO16" i="4"/>
  <c r="AO18" i="4"/>
  <c r="AO57" i="4"/>
  <c r="AB79" i="4"/>
  <c r="AP104" i="4"/>
  <c r="AO45" i="4"/>
  <c r="AO81" i="4"/>
  <c r="AN106" i="4"/>
  <c r="AN81" i="4"/>
  <c r="AN56" i="4"/>
  <c r="AN103" i="4"/>
  <c r="AN39" i="4"/>
  <c r="AC20" i="4"/>
  <c r="AQ45" i="4"/>
  <c r="AC41" i="4"/>
  <c r="AE58" i="4"/>
  <c r="AD32" i="4"/>
  <c r="AQ34" i="4"/>
  <c r="AB77" i="4"/>
  <c r="AB80" i="4"/>
  <c r="AD15" i="4"/>
  <c r="AD79" i="4"/>
  <c r="AB17" i="4"/>
  <c r="AD10" i="4"/>
  <c r="AE55" i="4"/>
  <c r="AC77" i="4"/>
  <c r="AD19" i="4"/>
  <c r="AB19" i="4"/>
  <c r="AB83" i="4"/>
  <c r="AD64" i="4"/>
  <c r="AD14" i="4"/>
  <c r="AD78" i="4"/>
  <c r="AQ10" i="4"/>
  <c r="AD12" i="4"/>
  <c r="AQ65" i="4"/>
  <c r="AC78" i="4"/>
  <c r="AO10" i="4"/>
  <c r="AO12" i="4"/>
  <c r="AO9" i="4"/>
  <c r="AO49" i="4"/>
  <c r="AO105" i="4"/>
  <c r="AN73" i="4"/>
  <c r="AQ56" i="4"/>
  <c r="AP16" i="4"/>
  <c r="AN41" i="4"/>
  <c r="AC15" i="4"/>
  <c r="AD84" i="4"/>
  <c r="AE20" i="4"/>
  <c r="AE52" i="4"/>
  <c r="AE84" i="4"/>
  <c r="AC13" i="4"/>
  <c r="AE79" i="4"/>
  <c r="AD29" i="4"/>
  <c r="AD24" i="4"/>
  <c r="AC67" i="4"/>
  <c r="AB20" i="4"/>
  <c r="AD38" i="4"/>
  <c r="AB54" i="4"/>
  <c r="AQ12" i="4"/>
  <c r="AQ81" i="4"/>
  <c r="AO103" i="4"/>
  <c r="AO90" i="4"/>
  <c r="AE24" i="4"/>
  <c r="AD91" i="4"/>
  <c r="AQ66" i="4"/>
  <c r="AO64" i="4"/>
  <c r="AQ64" i="4"/>
  <c r="AN65" i="4"/>
  <c r="AC46" i="4"/>
  <c r="AD54" i="4" l="1"/>
  <c r="AE40" i="4"/>
  <c r="AB59" i="4"/>
  <c r="AB85" i="4"/>
  <c r="AB61" i="4"/>
  <c r="AE85" i="4"/>
  <c r="AB67" i="4"/>
  <c r="AB38" i="4"/>
  <c r="AE51" i="4"/>
  <c r="AD28" i="4"/>
  <c r="AD96" i="4"/>
  <c r="AD93" i="4"/>
  <c r="AE27" i="4"/>
  <c r="AD59" i="4"/>
  <c r="AB70" i="4"/>
  <c r="AD92" i="4"/>
  <c r="AC89" i="4"/>
  <c r="AC80" i="4"/>
  <c r="AD102" i="4"/>
  <c r="AC48" i="4"/>
  <c r="AE91" i="4"/>
  <c r="AE67" i="4"/>
  <c r="AB37" i="4"/>
  <c r="AD53" i="4"/>
  <c r="AD75" i="4"/>
  <c r="AB43" i="4"/>
  <c r="AE104" i="4"/>
  <c r="AD26" i="4"/>
  <c r="AC102" i="4"/>
  <c r="AD35" i="4"/>
  <c r="AC38" i="4"/>
  <c r="AD83" i="4"/>
  <c r="AB78" i="4"/>
  <c r="AD101" i="4"/>
  <c r="AE42" i="4"/>
  <c r="AE99" i="4"/>
  <c r="AD99" i="4"/>
  <c r="AC85" i="4"/>
  <c r="AB86" i="4"/>
  <c r="AD33" i="4"/>
  <c r="AC96" i="4"/>
  <c r="AC92" i="4"/>
  <c r="AD58" i="4"/>
  <c r="AC53" i="4"/>
  <c r="AB102" i="4"/>
  <c r="AC51" i="4"/>
  <c r="AD69" i="4"/>
  <c r="AD67" i="4"/>
  <c r="AC37" i="4"/>
  <c r="AE53" i="4"/>
  <c r="AC69" i="4"/>
  <c r="AD41" i="4"/>
  <c r="AD70" i="4"/>
  <c r="AC81" i="4"/>
  <c r="AB41" i="4"/>
  <c r="AB39" i="4"/>
  <c r="AD40" i="4"/>
  <c r="AD34" i="4"/>
  <c r="AE73" i="4"/>
  <c r="AB7" i="4"/>
  <c r="AE98" i="4"/>
  <c r="AC56" i="4"/>
  <c r="AE105" i="4"/>
  <c r="AB99" i="4"/>
  <c r="AE66" i="4"/>
  <c r="AE65" i="4"/>
  <c r="AB103" i="4"/>
  <c r="AE93" i="4"/>
  <c r="AD8" i="4"/>
  <c r="AB72" i="4"/>
  <c r="AC93" i="4"/>
  <c r="AC25" i="4"/>
  <c r="AC33" i="4"/>
  <c r="AE28" i="4"/>
  <c r="AE9" i="4"/>
  <c r="AC90" i="4"/>
  <c r="AB73" i="4"/>
  <c r="AB56" i="4"/>
  <c r="AC57" i="4"/>
  <c r="AC106" i="4"/>
  <c r="AB33" i="4"/>
  <c r="AD17" i="4"/>
  <c r="AB49" i="4"/>
  <c r="AC50" i="4"/>
  <c r="AB10" i="4"/>
  <c r="AC42" i="4"/>
  <c r="AD45" i="4"/>
  <c r="AB66" i="4"/>
  <c r="AE50" i="4"/>
  <c r="AC39" i="4"/>
  <c r="AC32" i="4"/>
  <c r="AC70" i="4"/>
  <c r="AE81" i="4"/>
  <c r="AB65" i="4"/>
  <c r="AD16" i="4"/>
  <c r="AE64" i="4"/>
  <c r="AC105" i="4"/>
  <c r="AC103" i="4"/>
  <c r="AE10" i="4"/>
  <c r="AB81" i="4"/>
  <c r="AC18" i="4"/>
  <c r="AE16" i="4"/>
  <c r="AB12" i="4"/>
  <c r="AD103" i="4"/>
  <c r="AB97" i="4"/>
  <c r="AD39" i="4"/>
  <c r="AE74" i="4"/>
  <c r="AD25" i="4"/>
  <c r="AD106" i="4"/>
  <c r="AB32" i="4"/>
  <c r="AE83" i="4"/>
  <c r="AC40" i="4"/>
  <c r="AC49" i="4"/>
  <c r="AB106" i="4"/>
  <c r="AC16" i="4"/>
  <c r="AE41" i="4"/>
  <c r="AB64" i="4"/>
  <c r="AC26" i="4"/>
  <c r="AC82" i="4"/>
  <c r="AB58" i="4"/>
  <c r="AB82" i="4"/>
  <c r="AE80" i="4"/>
  <c r="AC101" i="4"/>
  <c r="AB44" i="4"/>
  <c r="AC64" i="4"/>
  <c r="AC9" i="4"/>
  <c r="AE45" i="4"/>
  <c r="AB25" i="4"/>
  <c r="AD48" i="4"/>
  <c r="AC97" i="4"/>
  <c r="AE57" i="4"/>
  <c r="AC104" i="4"/>
  <c r="AB9" i="4"/>
  <c r="AC72" i="4"/>
  <c r="AC74" i="4"/>
  <c r="AE89" i="4"/>
  <c r="AB18" i="4"/>
  <c r="AC73" i="4"/>
  <c r="AE12" i="4"/>
  <c r="AE56" i="4"/>
  <c r="AE82" i="4"/>
  <c r="AB89" i="4"/>
  <c r="AE49" i="4"/>
  <c r="AE26" i="4"/>
  <c r="AE72" i="4"/>
  <c r="AB74" i="4"/>
  <c r="AE7" i="4"/>
  <c r="AE48" i="4"/>
  <c r="AE90" i="4"/>
  <c r="AC17" i="4"/>
  <c r="AE17" i="4"/>
  <c r="AE69" i="4"/>
  <c r="AE35" i="4"/>
  <c r="AE70" i="4"/>
  <c r="AC12" i="4"/>
  <c r="AC45" i="4"/>
  <c r="AE97" i="4"/>
  <c r="AC10" i="4"/>
  <c r="AE34" i="4"/>
  <c r="AD104" i="4"/>
  <c r="AD98" i="4"/>
  <c r="AB50" i="4"/>
  <c r="AC7" i="4"/>
  <c r="AE18" i="4"/>
  <c r="AC34" i="4"/>
  <c r="AD65" i="4"/>
  <c r="AB57" i="4"/>
  <c r="AC98" i="4"/>
  <c r="AD42" i="4"/>
  <c r="AE8" i="4"/>
  <c r="AB105" i="4"/>
  <c r="AC58" i="4"/>
  <c r="AB101" i="4"/>
  <c r="AE38" i="4"/>
</calcChain>
</file>

<file path=xl/sharedStrings.xml><?xml version="1.0" encoding="utf-8"?>
<sst xmlns="http://schemas.openxmlformats.org/spreadsheetml/2006/main" count="173" uniqueCount="71">
  <si>
    <t>Travel Demand Model Input (.csv)</t>
  </si>
  <si>
    <t>Note: the model interplates between capacity values (rows) to calculate the multiplier for the specific capacity used in the model</t>
  </si>
  <si>
    <t xml:space="preserve">        Model capacities below the low end or above the high end of the values in index will use the first or last values in the table</t>
  </si>
  <si>
    <t>MPR_ 0%</t>
  </si>
  <si>
    <t>MPR_ 5%</t>
  </si>
  <si>
    <t>MPR_ 10%</t>
  </si>
  <si>
    <t>MPR_ 15%</t>
  </si>
  <si>
    <t>MPR_ 20%</t>
  </si>
  <si>
    <t>MPR_ 25%</t>
  </si>
  <si>
    <t>MPR_ 30%</t>
  </si>
  <si>
    <t>MPR_ 35%</t>
  </si>
  <si>
    <t>MPR_ 40%</t>
  </si>
  <si>
    <t>MPR_ 45%</t>
  </si>
  <si>
    <t>MPR_ 50%</t>
  </si>
  <si>
    <t>MPR_ 55%</t>
  </si>
  <si>
    <t>MPR_ 60%</t>
  </si>
  <si>
    <t>MPR_ 65%</t>
  </si>
  <si>
    <t>MPR_ 70%</t>
  </si>
  <si>
    <t>MPR_ 75%</t>
  </si>
  <si>
    <t>MPR_ 80%</t>
  </si>
  <si>
    <t>MPR_ 85%</t>
  </si>
  <si>
    <t>MPR_ 90%</t>
  </si>
  <si>
    <t>MPR_ 95%</t>
  </si>
  <si>
    <t>MPR_ 100%</t>
  </si>
  <si>
    <t>Cap1Hr1Ln</t>
  </si>
  <si>
    <t>Interpolate MPR % and Format Data for TDM</t>
  </si>
  <si>
    <t>Modify Data to Smooth Out Extrapolated Curves</t>
  </si>
  <si>
    <t>Extrapolate Capacity Multiplier Factors for Lower Capacity Facilities</t>
  </si>
  <si>
    <t>Original (Source) Data</t>
  </si>
  <si>
    <t>https://www.kittelson.com/ideas/how-connected-automated-vehicles-may-change-freeway-capacities/</t>
  </si>
  <si>
    <t>3+ Lane Facilities</t>
  </si>
  <si>
    <t>Base Capacity (pc/h/ln)</t>
  </si>
  <si>
    <t>MPR  0%</t>
  </si>
  <si>
    <t>MPR  5%</t>
  </si>
  <si>
    <t>MPR  10%</t>
  </si>
  <si>
    <t>MPR  15%</t>
  </si>
  <si>
    <t>MPR  20%</t>
  </si>
  <si>
    <t>MPR  25%</t>
  </si>
  <si>
    <t>MPR  30%</t>
  </si>
  <si>
    <t>MPR  35%</t>
  </si>
  <si>
    <t>MPR  40%</t>
  </si>
  <si>
    <t>MPR  45%</t>
  </si>
  <si>
    <t>MPR  50%</t>
  </si>
  <si>
    <t>MPR  55%</t>
  </si>
  <si>
    <t>MPR  60%</t>
  </si>
  <si>
    <t>MPR  65%</t>
  </si>
  <si>
    <t>MPR  70%</t>
  </si>
  <si>
    <t>MPR  75%</t>
  </si>
  <si>
    <t>MPR  80%</t>
  </si>
  <si>
    <t>MPR  85%</t>
  </si>
  <si>
    <t>MPR  90%</t>
  </si>
  <si>
    <t>MPR  95%</t>
  </si>
  <si>
    <t>MPR  100%</t>
  </si>
  <si>
    <t>TDM Capacity Lookup for 3+ Lane Facilities</t>
  </si>
  <si>
    <t>Minimum</t>
  </si>
  <si>
    <t>Maximum</t>
  </si>
  <si>
    <t>2 Lane Facilities</t>
  </si>
  <si>
    <t>TDM Capacity Lookup for 2 Lane Facilities</t>
  </si>
  <si>
    <t>;index_2Ln</t>
  </si>
  <si>
    <t>;index_3pLn</t>
  </si>
  <si>
    <t>Idx</t>
  </si>
  <si>
    <t>CAV_MPR</t>
  </si>
  <si>
    <t>CAV Multiplier Lookup Table</t>
  </si>
  <si>
    <t>Check Factor Lookup</t>
  </si>
  <si>
    <t>CAVFac_Lower</t>
  </si>
  <si>
    <t>CAVFac_Upper</t>
  </si>
  <si>
    <t>Idx Lower</t>
  </si>
  <si>
    <t>Idx Upper</t>
  </si>
  <si>
    <t>Interpolate %</t>
  </si>
  <si>
    <t>3+ Lane</t>
  </si>
  <si>
    <t>2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</si>
</sst>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</borders>
  <cellStyleXfs count="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11" fillId="2" borderId="0" xfId="1" applyFont="1" applyFill="1"/>
    <xf numFmtId="0" fontId="10" fillId="2" borderId="0" xfId="1" applyFont="1" applyFill="1"/>
    <xf numFmtId="0" fontId="2" fillId="2" borderId="0" xfId="1" applyFill="1"/>
    <xf numFmtId="0" fontId="4" fillId="3" borderId="0" xfId="1" applyFont="1" applyFill="1" applyAlignment="1">
      <alignment horizontal="center"/>
    </xf>
    <xf numFmtId="0" fontId="12" fillId="4" borderId="0" xfId="1" applyFont="1" applyFill="1" applyAlignment="1">
      <alignment horizontal="center"/>
    </xf>
    <xf numFmtId="0" fontId="11" fillId="3" borderId="0" xfId="1" applyFont="1" applyFill="1"/>
    <xf numFmtId="0" fontId="13" fillId="4" borderId="0" xfId="1" applyFont="1" applyFill="1"/>
    <xf numFmtId="0" fontId="2" fillId="4" borderId="0" xfId="1" applyFill="1"/>
    <xf numFmtId="0" fontId="14" fillId="3" borderId="0" xfId="1" applyFont="1" applyFill="1"/>
    <xf numFmtId="0" fontId="4" fillId="3" borderId="0" xfId="1" applyFont="1" applyFill="1"/>
    <xf numFmtId="0" fontId="2" fillId="3" borderId="0" xfId="1" applyFill="1"/>
    <xf numFmtId="0" fontId="10" fillId="3" borderId="0" xfId="1" applyFont="1" applyFill="1" applyAlignment="1">
      <alignment horizontal="center"/>
    </xf>
    <xf numFmtId="3" fontId="4" fillId="3" borderId="0" xfId="2" applyNumberFormat="1" applyFont="1" applyFill="1" applyBorder="1" applyAlignment="1">
      <alignment horizontal="center"/>
    </xf>
    <xf numFmtId="3" fontId="2" fillId="3" borderId="0" xfId="2" applyNumberFormat="1" applyFont="1" applyFill="1" applyBorder="1" applyAlignment="1">
      <alignment horizontal="center"/>
    </xf>
    <xf numFmtId="2" fontId="9" fillId="4" borderId="0" xfId="1" applyNumberFormat="1" applyFont="1" applyFill="1" applyAlignment="1">
      <alignment horizontal="center"/>
    </xf>
    <xf numFmtId="164" fontId="5" fillId="3" borderId="0" xfId="1" applyNumberFormat="1" applyFont="1" applyFill="1" applyAlignment="1">
      <alignment horizontal="center"/>
    </xf>
    <xf numFmtId="0" fontId="4" fillId="3" borderId="0" xfId="1" applyFont="1" applyFill="1" applyAlignment="1">
      <alignment horizontal="center" vertical="center"/>
    </xf>
    <xf numFmtId="0" fontId="15" fillId="3" borderId="0" xfId="1" applyFont="1" applyFill="1" applyAlignment="1">
      <alignment vertical="center"/>
    </xf>
    <xf numFmtId="2" fontId="5" fillId="4" borderId="0" xfId="1" applyNumberFormat="1" applyFont="1" applyFill="1" applyAlignment="1">
      <alignment horizontal="center"/>
    </xf>
    <xf numFmtId="2" fontId="9" fillId="4" borderId="1" xfId="1" applyNumberFormat="1" applyFont="1" applyFill="1" applyBorder="1" applyAlignment="1">
      <alignment horizontal="center"/>
    </xf>
    <xf numFmtId="2" fontId="7" fillId="4" borderId="1" xfId="1" applyNumberFormat="1" applyFont="1" applyFill="1" applyBorder="1" applyAlignment="1">
      <alignment horizontal="center"/>
    </xf>
    <xf numFmtId="2" fontId="7" fillId="6" borderId="0" xfId="1" applyNumberFormat="1" applyFont="1" applyFill="1" applyAlignment="1">
      <alignment horizontal="center"/>
    </xf>
    <xf numFmtId="2" fontId="7" fillId="6" borderId="1" xfId="1" applyNumberFormat="1" applyFont="1" applyFill="1" applyBorder="1" applyAlignment="1">
      <alignment horizontal="center"/>
    </xf>
    <xf numFmtId="2" fontId="6" fillId="5" borderId="0" xfId="1" applyNumberFormat="1" applyFont="1" applyFill="1" applyAlignment="1">
      <alignment horizontal="center"/>
    </xf>
    <xf numFmtId="165" fontId="7" fillId="3" borderId="0" xfId="2" applyNumberFormat="1" applyFont="1" applyFill="1" applyBorder="1"/>
    <xf numFmtId="0" fontId="17" fillId="4" borderId="0" xfId="6" applyFill="1"/>
    <xf numFmtId="0" fontId="4" fillId="5" borderId="0" xfId="1" applyFont="1" applyFill="1"/>
    <xf numFmtId="0" fontId="8" fillId="2" borderId="0" xfId="1" applyFont="1" applyFill="1"/>
    <xf numFmtId="0" fontId="1" fillId="2" borderId="0" xfId="7" applyFill="1"/>
    <xf numFmtId="0" fontId="1" fillId="3" borderId="0" xfId="7" applyFill="1" applyAlignment="1">
      <alignment horizontal="center"/>
    </xf>
    <xf numFmtId="0" fontId="4" fillId="3" borderId="0" xfId="7" applyFont="1" applyFill="1" applyAlignment="1">
      <alignment horizontal="center"/>
    </xf>
    <xf numFmtId="0" fontId="1" fillId="4" borderId="0" xfId="7" applyFill="1" applyAlignment="1">
      <alignment horizontal="center"/>
    </xf>
    <xf numFmtId="0" fontId="7" fillId="4" borderId="0" xfId="7" applyFont="1" applyFill="1"/>
    <xf numFmtId="0" fontId="11" fillId="2" borderId="0" xfId="7" applyFont="1" applyFill="1"/>
    <xf numFmtId="0" fontId="9" fillId="4" borderId="0" xfId="7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9" fillId="4" borderId="1" xfId="7" applyFont="1" applyFill="1" applyBorder="1" applyAlignment="1">
      <alignment horizontal="center"/>
    </xf>
    <xf numFmtId="0" fontId="1" fillId="3" borderId="0" xfId="7" applyFill="1"/>
    <xf numFmtId="0" fontId="18" fillId="3" borderId="0" xfId="7" applyFont="1" applyFill="1" applyAlignment="1">
      <alignment horizontal="center"/>
    </xf>
    <xf numFmtId="0" fontId="19" fillId="3" borderId="0" xfId="7" applyFont="1" applyFill="1" applyAlignment="1">
      <alignment horizontal="center"/>
    </xf>
    <xf numFmtId="0" fontId="18" fillId="3" borderId="1" xfId="7" applyFont="1" applyFill="1" applyBorder="1" applyAlignment="1">
      <alignment horizontal="center"/>
    </xf>
    <xf numFmtId="0" fontId="19" fillId="3" borderId="1" xfId="7" applyFont="1" applyFill="1" applyBorder="1" applyAlignment="1">
      <alignment horizontal="center"/>
    </xf>
    <xf numFmtId="0" fontId="4" fillId="3" borderId="1" xfId="7" applyFont="1" applyFill="1" applyBorder="1" applyAlignment="1"/>
    <xf numFmtId="0" fontId="1" fillId="4" borderId="1" xfId="7" applyFill="1" applyBorder="1" applyAlignment="1">
      <alignment horizontal="center"/>
    </xf>
    <xf numFmtId="0" fontId="4" fillId="3" borderId="0" xfId="7" applyFont="1" applyFill="1" applyAlignment="1">
      <alignment horizontal="center" wrapText="1"/>
    </xf>
    <xf numFmtId="0" fontId="1" fillId="7" borderId="0" xfId="7" applyFill="1"/>
    <xf numFmtId="0" fontId="4" fillId="3" borderId="1" xfId="7" applyFont="1" applyFill="1" applyBorder="1" applyAlignment="1">
      <alignment horizontal="center" wrapText="1"/>
    </xf>
    <xf numFmtId="0" fontId="19" fillId="3" borderId="2" xfId="7" applyFont="1" applyFill="1" applyBorder="1" applyAlignment="1">
      <alignment horizontal="center"/>
    </xf>
    <xf numFmtId="0" fontId="4" fillId="3" borderId="2" xfId="7" applyFont="1" applyFill="1" applyBorder="1" applyAlignment="1">
      <alignment horizontal="center" wrapText="1"/>
    </xf>
    <xf numFmtId="0" fontId="1" fillId="4" borderId="2" xfId="7" applyFill="1" applyBorder="1" applyAlignment="1">
      <alignment horizontal="center"/>
    </xf>
    <xf numFmtId="0" fontId="14" fillId="7" borderId="2" xfId="7" applyFont="1" applyFill="1" applyBorder="1"/>
    <xf numFmtId="0" fontId="4" fillId="3" borderId="2" xfId="7" applyFont="1" applyFill="1" applyBorder="1" applyAlignment="1"/>
    <xf numFmtId="0" fontId="18" fillId="3" borderId="2" xfId="7" applyFont="1" applyFill="1" applyBorder="1" applyAlignment="1">
      <alignment horizontal="center"/>
    </xf>
    <xf numFmtId="0" fontId="9" fillId="4" borderId="2" xfId="7" applyFont="1" applyFill="1" applyBorder="1" applyAlignment="1">
      <alignment horizontal="center"/>
    </xf>
    <xf numFmtId="0" fontId="14" fillId="8" borderId="0" xfId="7" applyFont="1" applyFill="1"/>
    <xf numFmtId="0" fontId="1" fillId="8" borderId="0" xfId="7" applyFill="1"/>
    <xf numFmtId="0" fontId="14" fillId="9" borderId="2" xfId="7" applyFont="1" applyFill="1" applyBorder="1"/>
    <xf numFmtId="0" fontId="1" fillId="9" borderId="0" xfId="7" applyFill="1"/>
  </cellXfs>
  <cellStyles count="8">
    <cellStyle name="Comma 2" xfId="2" xr:uid="{ED253CDE-77F8-4660-BF75-2E067DCBD584}"/>
    <cellStyle name="Comma 3" xfId="4" xr:uid="{52DA7C2D-23D0-4521-A701-BF882E2628FD}"/>
    <cellStyle name="Hyperlink" xfId="6" builtinId="8"/>
    <cellStyle name="Normal" xfId="0" builtinId="0"/>
    <cellStyle name="Normal 2" xfId="1" xr:uid="{87867075-F211-4C82-918D-A45970113D74}"/>
    <cellStyle name="Normal 3" xfId="3" xr:uid="{6B7E8A25-E341-4B38-94B0-77CF6BFCBCA6}"/>
    <cellStyle name="Normal 4" xfId="7" xr:uid="{4B71FED3-AB7F-4268-AA5B-BFFEC928523C}"/>
    <cellStyle name="Percent 2 2" xfId="5" xr:uid="{1979C8D6-1E99-471E-84A8-83F15ADED2AC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CAV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901822720448697E-2"/>
          <c:y val="0.17745888499053716"/>
          <c:w val="0.88045092849064599"/>
          <c:h val="0.684311374812905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checkModelLookup!$AB$5</c:f>
              <c:strCache>
                <c:ptCount val="1"/>
                <c:pt idx="0">
                  <c:v>2 Lane: Capacity=1500</c:v>
                </c:pt>
              </c:strCache>
            </c:strRef>
          </c:tx>
          <c:spPr>
            <a:ln w="6350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checkModelLookup!$AB$6:$AB$106</c:f>
              <c:numCache>
                <c:formatCode>General</c:formatCode>
                <c:ptCount val="101"/>
                <c:pt idx="0">
                  <c:v>1</c:v>
                </c:pt>
                <c:pt idx="1">
                  <c:v>1.0109999999999999</c:v>
                </c:pt>
                <c:pt idx="2">
                  <c:v>1.022</c:v>
                </c:pt>
                <c:pt idx="3">
                  <c:v>1.0329999999999999</c:v>
                </c:pt>
                <c:pt idx="4">
                  <c:v>1.044</c:v>
                </c:pt>
                <c:pt idx="5">
                  <c:v>1.0549999999999999</c:v>
                </c:pt>
                <c:pt idx="6">
                  <c:v>1.0660000000000001</c:v>
                </c:pt>
                <c:pt idx="7">
                  <c:v>1.077</c:v>
                </c:pt>
                <c:pt idx="8">
                  <c:v>1.0880000000000001</c:v>
                </c:pt>
                <c:pt idx="9">
                  <c:v>1.099</c:v>
                </c:pt>
                <c:pt idx="10">
                  <c:v>1.1100000000000001</c:v>
                </c:pt>
                <c:pt idx="11">
                  <c:v>1.121</c:v>
                </c:pt>
                <c:pt idx="12">
                  <c:v>1.1320000000000001</c:v>
                </c:pt>
                <c:pt idx="13">
                  <c:v>1.143</c:v>
                </c:pt>
                <c:pt idx="14">
                  <c:v>1.1540000000000001</c:v>
                </c:pt>
                <c:pt idx="15">
                  <c:v>1.165</c:v>
                </c:pt>
                <c:pt idx="16">
                  <c:v>1.1759999999999999</c:v>
                </c:pt>
                <c:pt idx="17">
                  <c:v>1.1870000000000001</c:v>
                </c:pt>
                <c:pt idx="18">
                  <c:v>1.198</c:v>
                </c:pt>
                <c:pt idx="19">
                  <c:v>1.2090000000000001</c:v>
                </c:pt>
                <c:pt idx="20">
                  <c:v>1.22</c:v>
                </c:pt>
                <c:pt idx="21">
                  <c:v>1.2305999999999999</c:v>
                </c:pt>
                <c:pt idx="22">
                  <c:v>1.2411999999999999</c:v>
                </c:pt>
                <c:pt idx="23">
                  <c:v>1.2517999999999998</c:v>
                </c:pt>
                <c:pt idx="24">
                  <c:v>1.2624</c:v>
                </c:pt>
                <c:pt idx="25">
                  <c:v>1.2729999999999999</c:v>
                </c:pt>
                <c:pt idx="26">
                  <c:v>1.2833999999999999</c:v>
                </c:pt>
                <c:pt idx="27">
                  <c:v>1.2937999999999998</c:v>
                </c:pt>
                <c:pt idx="28">
                  <c:v>1.3042</c:v>
                </c:pt>
                <c:pt idx="29">
                  <c:v>1.3146</c:v>
                </c:pt>
                <c:pt idx="30">
                  <c:v>1.325</c:v>
                </c:pt>
                <c:pt idx="31">
                  <c:v>1.3355999999999999</c:v>
                </c:pt>
                <c:pt idx="32">
                  <c:v>1.3461999999999998</c:v>
                </c:pt>
                <c:pt idx="33">
                  <c:v>1.3567999999999998</c:v>
                </c:pt>
                <c:pt idx="34">
                  <c:v>1.3673999999999999</c:v>
                </c:pt>
                <c:pt idx="35">
                  <c:v>1.3779999999999999</c:v>
                </c:pt>
                <c:pt idx="36">
                  <c:v>1.3883999999999999</c:v>
                </c:pt>
                <c:pt idx="37">
                  <c:v>1.3987999999999998</c:v>
                </c:pt>
                <c:pt idx="38">
                  <c:v>1.4092</c:v>
                </c:pt>
                <c:pt idx="39">
                  <c:v>1.4196</c:v>
                </c:pt>
                <c:pt idx="40">
                  <c:v>1.43</c:v>
                </c:pt>
                <c:pt idx="41">
                  <c:v>1.4409999999999998</c:v>
                </c:pt>
                <c:pt idx="42">
                  <c:v>1.452</c:v>
                </c:pt>
                <c:pt idx="43">
                  <c:v>1.4630000000000001</c:v>
                </c:pt>
                <c:pt idx="44">
                  <c:v>1.4740000000000002</c:v>
                </c:pt>
                <c:pt idx="45">
                  <c:v>1.4850000000000001</c:v>
                </c:pt>
                <c:pt idx="46">
                  <c:v>1.496</c:v>
                </c:pt>
                <c:pt idx="47">
                  <c:v>1.5070000000000001</c:v>
                </c:pt>
                <c:pt idx="48">
                  <c:v>1.518</c:v>
                </c:pt>
                <c:pt idx="49">
                  <c:v>1.5290000000000001</c:v>
                </c:pt>
                <c:pt idx="50">
                  <c:v>1.54</c:v>
                </c:pt>
                <c:pt idx="51">
                  <c:v>1.5509999999999999</c:v>
                </c:pt>
                <c:pt idx="52">
                  <c:v>1.5620000000000001</c:v>
                </c:pt>
                <c:pt idx="53">
                  <c:v>1.573</c:v>
                </c:pt>
                <c:pt idx="54">
                  <c:v>1.5840000000000001</c:v>
                </c:pt>
                <c:pt idx="55">
                  <c:v>1.595</c:v>
                </c:pt>
                <c:pt idx="56">
                  <c:v>1.6059999999999999</c:v>
                </c:pt>
                <c:pt idx="57">
                  <c:v>1.617</c:v>
                </c:pt>
                <c:pt idx="58">
                  <c:v>1.6279999999999999</c:v>
                </c:pt>
                <c:pt idx="59">
                  <c:v>1.639</c:v>
                </c:pt>
                <c:pt idx="60">
                  <c:v>1.65</c:v>
                </c:pt>
                <c:pt idx="61">
                  <c:v>1.6625999999999999</c:v>
                </c:pt>
                <c:pt idx="62">
                  <c:v>1.6752</c:v>
                </c:pt>
                <c:pt idx="63">
                  <c:v>1.6878</c:v>
                </c:pt>
                <c:pt idx="64">
                  <c:v>1.7004000000000001</c:v>
                </c:pt>
                <c:pt idx="65">
                  <c:v>1.7130000000000001</c:v>
                </c:pt>
                <c:pt idx="66">
                  <c:v>1.7254</c:v>
                </c:pt>
                <c:pt idx="67">
                  <c:v>1.7378</c:v>
                </c:pt>
                <c:pt idx="68">
                  <c:v>1.7502</c:v>
                </c:pt>
                <c:pt idx="69">
                  <c:v>1.7625999999999999</c:v>
                </c:pt>
                <c:pt idx="70">
                  <c:v>1.7749999999999999</c:v>
                </c:pt>
                <c:pt idx="71">
                  <c:v>1.7875999999999999</c:v>
                </c:pt>
                <c:pt idx="72">
                  <c:v>1.8002</c:v>
                </c:pt>
                <c:pt idx="73">
                  <c:v>1.8128</c:v>
                </c:pt>
                <c:pt idx="74">
                  <c:v>1.8254000000000001</c:v>
                </c:pt>
                <c:pt idx="75">
                  <c:v>1.8380000000000001</c:v>
                </c:pt>
                <c:pt idx="76">
                  <c:v>1.8504</c:v>
                </c:pt>
                <c:pt idx="77">
                  <c:v>1.8628</c:v>
                </c:pt>
                <c:pt idx="78">
                  <c:v>1.8752</c:v>
                </c:pt>
                <c:pt idx="79">
                  <c:v>1.8875999999999999</c:v>
                </c:pt>
                <c:pt idx="80">
                  <c:v>1.9</c:v>
                </c:pt>
                <c:pt idx="81">
                  <c:v>1.9149999999999998</c:v>
                </c:pt>
                <c:pt idx="82">
                  <c:v>1.93</c:v>
                </c:pt>
                <c:pt idx="83">
                  <c:v>1.9450000000000001</c:v>
                </c:pt>
                <c:pt idx="84">
                  <c:v>1.9600000000000002</c:v>
                </c:pt>
                <c:pt idx="85">
                  <c:v>1.9750000000000001</c:v>
                </c:pt>
                <c:pt idx="86">
                  <c:v>1.99</c:v>
                </c:pt>
                <c:pt idx="87">
                  <c:v>2.0049999999999999</c:v>
                </c:pt>
                <c:pt idx="88">
                  <c:v>2.02</c:v>
                </c:pt>
                <c:pt idx="89">
                  <c:v>2.0350000000000001</c:v>
                </c:pt>
                <c:pt idx="90">
                  <c:v>2.0499999999999998</c:v>
                </c:pt>
                <c:pt idx="91">
                  <c:v>2.0649999999999999</c:v>
                </c:pt>
                <c:pt idx="92">
                  <c:v>2.0799999999999996</c:v>
                </c:pt>
                <c:pt idx="93">
                  <c:v>2.0950000000000002</c:v>
                </c:pt>
                <c:pt idx="94">
                  <c:v>2.11</c:v>
                </c:pt>
                <c:pt idx="95">
                  <c:v>2.125</c:v>
                </c:pt>
                <c:pt idx="96">
                  <c:v>2.14</c:v>
                </c:pt>
                <c:pt idx="97">
                  <c:v>2.1549999999999998</c:v>
                </c:pt>
                <c:pt idx="98">
                  <c:v>2.1700000000000004</c:v>
                </c:pt>
                <c:pt idx="99">
                  <c:v>2.1850000000000001</c:v>
                </c:pt>
                <c:pt idx="100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2-440F-BEB5-261EA17E88E8}"/>
            </c:ext>
          </c:extLst>
        </c:ser>
        <c:ser>
          <c:idx val="1"/>
          <c:order val="1"/>
          <c:tx>
            <c:strRef>
              <c:f>checkModelLookup!$AC$5</c:f>
              <c:strCache>
                <c:ptCount val="1"/>
                <c:pt idx="0">
                  <c:v>2 Lane: Capacity=1800</c:v>
                </c:pt>
              </c:strCache>
            </c:strRef>
          </c:tx>
          <c:spPr>
            <a:ln w="63500" cap="rnd">
              <a:solidFill>
                <a:schemeClr val="accent2">
                  <a:lumMod val="60000"/>
                  <a:lumOff val="4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checkModelLookup!$AC$6:$AC$106</c:f>
              <c:numCache>
                <c:formatCode>General</c:formatCode>
                <c:ptCount val="101"/>
                <c:pt idx="0">
                  <c:v>1</c:v>
                </c:pt>
                <c:pt idx="1">
                  <c:v>1.0069999999999999</c:v>
                </c:pt>
                <c:pt idx="2">
                  <c:v>1.014</c:v>
                </c:pt>
                <c:pt idx="3">
                  <c:v>1.0209999999999999</c:v>
                </c:pt>
                <c:pt idx="4">
                  <c:v>1.028</c:v>
                </c:pt>
                <c:pt idx="5">
                  <c:v>1.0349999999999999</c:v>
                </c:pt>
                <c:pt idx="6">
                  <c:v>1.042</c:v>
                </c:pt>
                <c:pt idx="7">
                  <c:v>1.0489999999999999</c:v>
                </c:pt>
                <c:pt idx="8">
                  <c:v>1.056</c:v>
                </c:pt>
                <c:pt idx="9">
                  <c:v>1.0629999999999999</c:v>
                </c:pt>
                <c:pt idx="10">
                  <c:v>1.07</c:v>
                </c:pt>
                <c:pt idx="11">
                  <c:v>1.077</c:v>
                </c:pt>
                <c:pt idx="12">
                  <c:v>1.0840000000000001</c:v>
                </c:pt>
                <c:pt idx="13">
                  <c:v>1.091</c:v>
                </c:pt>
                <c:pt idx="14">
                  <c:v>1.0980000000000001</c:v>
                </c:pt>
                <c:pt idx="15">
                  <c:v>1.105</c:v>
                </c:pt>
                <c:pt idx="16">
                  <c:v>1.1119999999999999</c:v>
                </c:pt>
                <c:pt idx="17">
                  <c:v>1.119</c:v>
                </c:pt>
                <c:pt idx="18">
                  <c:v>1.1259999999999999</c:v>
                </c:pt>
                <c:pt idx="19">
                  <c:v>1.133</c:v>
                </c:pt>
                <c:pt idx="20">
                  <c:v>1.1399999999999999</c:v>
                </c:pt>
                <c:pt idx="21">
                  <c:v>1.1465999999999998</c:v>
                </c:pt>
                <c:pt idx="22">
                  <c:v>1.1532</c:v>
                </c:pt>
                <c:pt idx="23">
                  <c:v>1.1597999999999999</c:v>
                </c:pt>
                <c:pt idx="24">
                  <c:v>1.1664000000000001</c:v>
                </c:pt>
                <c:pt idx="25">
                  <c:v>1.173</c:v>
                </c:pt>
                <c:pt idx="26">
                  <c:v>1.1794</c:v>
                </c:pt>
                <c:pt idx="27">
                  <c:v>1.1858</c:v>
                </c:pt>
                <c:pt idx="28">
                  <c:v>1.1922000000000001</c:v>
                </c:pt>
                <c:pt idx="29">
                  <c:v>1.1986000000000001</c:v>
                </c:pt>
                <c:pt idx="30">
                  <c:v>1.2050000000000001</c:v>
                </c:pt>
                <c:pt idx="31">
                  <c:v>1.2116</c:v>
                </c:pt>
                <c:pt idx="32">
                  <c:v>1.2181999999999999</c:v>
                </c:pt>
                <c:pt idx="33">
                  <c:v>1.2248000000000001</c:v>
                </c:pt>
                <c:pt idx="34">
                  <c:v>1.2314000000000001</c:v>
                </c:pt>
                <c:pt idx="35">
                  <c:v>1.238</c:v>
                </c:pt>
                <c:pt idx="36">
                  <c:v>1.2444</c:v>
                </c:pt>
                <c:pt idx="37">
                  <c:v>1.2507999999999999</c:v>
                </c:pt>
                <c:pt idx="38">
                  <c:v>1.2572000000000001</c:v>
                </c:pt>
                <c:pt idx="39">
                  <c:v>1.2636000000000001</c:v>
                </c:pt>
                <c:pt idx="40">
                  <c:v>1.27</c:v>
                </c:pt>
                <c:pt idx="41">
                  <c:v>1.278</c:v>
                </c:pt>
                <c:pt idx="42">
                  <c:v>1.286</c:v>
                </c:pt>
                <c:pt idx="43">
                  <c:v>1.294</c:v>
                </c:pt>
                <c:pt idx="44">
                  <c:v>1.302</c:v>
                </c:pt>
                <c:pt idx="45">
                  <c:v>1.31</c:v>
                </c:pt>
                <c:pt idx="46">
                  <c:v>1.3180000000000001</c:v>
                </c:pt>
                <c:pt idx="47">
                  <c:v>1.3260000000000001</c:v>
                </c:pt>
                <c:pt idx="48">
                  <c:v>1.3340000000000001</c:v>
                </c:pt>
                <c:pt idx="49">
                  <c:v>1.3420000000000001</c:v>
                </c:pt>
                <c:pt idx="50">
                  <c:v>1.35</c:v>
                </c:pt>
                <c:pt idx="51">
                  <c:v>1.3580000000000001</c:v>
                </c:pt>
                <c:pt idx="52">
                  <c:v>1.3660000000000001</c:v>
                </c:pt>
                <c:pt idx="53">
                  <c:v>1.3739999999999999</c:v>
                </c:pt>
                <c:pt idx="54">
                  <c:v>1.3819999999999999</c:v>
                </c:pt>
                <c:pt idx="55">
                  <c:v>1.39</c:v>
                </c:pt>
                <c:pt idx="56">
                  <c:v>1.3979999999999999</c:v>
                </c:pt>
                <c:pt idx="57">
                  <c:v>1.4059999999999999</c:v>
                </c:pt>
                <c:pt idx="58">
                  <c:v>1.4139999999999999</c:v>
                </c:pt>
                <c:pt idx="59">
                  <c:v>1.4219999999999999</c:v>
                </c:pt>
                <c:pt idx="60">
                  <c:v>1.43</c:v>
                </c:pt>
                <c:pt idx="61">
                  <c:v>1.4385999999999999</c:v>
                </c:pt>
                <c:pt idx="62">
                  <c:v>1.4472</c:v>
                </c:pt>
                <c:pt idx="63">
                  <c:v>1.4558</c:v>
                </c:pt>
                <c:pt idx="64">
                  <c:v>1.4644000000000001</c:v>
                </c:pt>
                <c:pt idx="65">
                  <c:v>1.4730000000000001</c:v>
                </c:pt>
                <c:pt idx="66">
                  <c:v>1.4814000000000001</c:v>
                </c:pt>
                <c:pt idx="67">
                  <c:v>1.4898</c:v>
                </c:pt>
                <c:pt idx="68">
                  <c:v>1.4982</c:v>
                </c:pt>
                <c:pt idx="69">
                  <c:v>1.5065999999999999</c:v>
                </c:pt>
                <c:pt idx="70">
                  <c:v>1.5149999999999999</c:v>
                </c:pt>
                <c:pt idx="71">
                  <c:v>1.5235999999999998</c:v>
                </c:pt>
                <c:pt idx="72">
                  <c:v>1.5322</c:v>
                </c:pt>
                <c:pt idx="73">
                  <c:v>1.5407999999999999</c:v>
                </c:pt>
                <c:pt idx="74">
                  <c:v>1.5494000000000001</c:v>
                </c:pt>
                <c:pt idx="75">
                  <c:v>1.5580000000000001</c:v>
                </c:pt>
                <c:pt idx="76">
                  <c:v>1.5664</c:v>
                </c:pt>
                <c:pt idx="77">
                  <c:v>1.5748</c:v>
                </c:pt>
                <c:pt idx="78">
                  <c:v>1.5832000000000002</c:v>
                </c:pt>
                <c:pt idx="79">
                  <c:v>1.5916000000000001</c:v>
                </c:pt>
                <c:pt idx="80">
                  <c:v>1.6</c:v>
                </c:pt>
                <c:pt idx="81">
                  <c:v>1.6106</c:v>
                </c:pt>
                <c:pt idx="82">
                  <c:v>1.6212</c:v>
                </c:pt>
                <c:pt idx="83">
                  <c:v>1.6318000000000001</c:v>
                </c:pt>
                <c:pt idx="84">
                  <c:v>1.6424000000000001</c:v>
                </c:pt>
                <c:pt idx="85">
                  <c:v>1.653</c:v>
                </c:pt>
                <c:pt idx="86">
                  <c:v>1.6634</c:v>
                </c:pt>
                <c:pt idx="87">
                  <c:v>1.6738</c:v>
                </c:pt>
                <c:pt idx="88">
                  <c:v>1.6842000000000001</c:v>
                </c:pt>
                <c:pt idx="89">
                  <c:v>1.6946000000000001</c:v>
                </c:pt>
                <c:pt idx="90">
                  <c:v>1.7050000000000001</c:v>
                </c:pt>
                <c:pt idx="91">
                  <c:v>1.7156</c:v>
                </c:pt>
                <c:pt idx="92">
                  <c:v>1.7262</c:v>
                </c:pt>
                <c:pt idx="93">
                  <c:v>1.7368000000000001</c:v>
                </c:pt>
                <c:pt idx="94">
                  <c:v>1.7474000000000001</c:v>
                </c:pt>
                <c:pt idx="95">
                  <c:v>1.758</c:v>
                </c:pt>
                <c:pt idx="96">
                  <c:v>1.7684</c:v>
                </c:pt>
                <c:pt idx="97">
                  <c:v>1.7787999999999999</c:v>
                </c:pt>
                <c:pt idx="98">
                  <c:v>1.7892000000000001</c:v>
                </c:pt>
                <c:pt idx="99">
                  <c:v>1.7996000000000001</c:v>
                </c:pt>
                <c:pt idx="100">
                  <c:v>1.81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72-440F-BEB5-261EA17E88E8}"/>
            </c:ext>
          </c:extLst>
        </c:ser>
        <c:ser>
          <c:idx val="2"/>
          <c:order val="2"/>
          <c:tx>
            <c:strRef>
              <c:f>checkModelLookup!$AD$5</c:f>
              <c:strCache>
                <c:ptCount val="1"/>
                <c:pt idx="0">
                  <c:v>2 Lane: Capacity=2100</c:v>
                </c:pt>
              </c:strCache>
            </c:strRef>
          </c:tx>
          <c:spPr>
            <a:ln w="63500" cap="rnd">
              <a:solidFill>
                <a:schemeClr val="accent2">
                  <a:lumMod val="75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checkModelLookup!$AD$6:$AD$106</c:f>
              <c:numCache>
                <c:formatCode>General</c:formatCode>
                <c:ptCount val="101"/>
                <c:pt idx="0">
                  <c:v>1</c:v>
                </c:pt>
                <c:pt idx="1">
                  <c:v>1.0036</c:v>
                </c:pt>
                <c:pt idx="2">
                  <c:v>1.0072000000000001</c:v>
                </c:pt>
                <c:pt idx="3">
                  <c:v>1.0107999999999999</c:v>
                </c:pt>
                <c:pt idx="4">
                  <c:v>1.0144</c:v>
                </c:pt>
                <c:pt idx="5">
                  <c:v>1.018</c:v>
                </c:pt>
                <c:pt idx="6">
                  <c:v>1.0214000000000001</c:v>
                </c:pt>
                <c:pt idx="7">
                  <c:v>1.0247999999999999</c:v>
                </c:pt>
                <c:pt idx="8">
                  <c:v>1.0282</c:v>
                </c:pt>
                <c:pt idx="9">
                  <c:v>1.0315999999999999</c:v>
                </c:pt>
                <c:pt idx="10">
                  <c:v>1.0349999999999999</c:v>
                </c:pt>
                <c:pt idx="11">
                  <c:v>1.0386</c:v>
                </c:pt>
                <c:pt idx="12">
                  <c:v>1.0422</c:v>
                </c:pt>
                <c:pt idx="13">
                  <c:v>1.0457999999999998</c:v>
                </c:pt>
                <c:pt idx="14">
                  <c:v>1.0493999999999999</c:v>
                </c:pt>
                <c:pt idx="15">
                  <c:v>1.0529999999999999</c:v>
                </c:pt>
                <c:pt idx="16">
                  <c:v>1.0564</c:v>
                </c:pt>
                <c:pt idx="17">
                  <c:v>1.0598000000000001</c:v>
                </c:pt>
                <c:pt idx="18">
                  <c:v>1.0631999999999999</c:v>
                </c:pt>
                <c:pt idx="19">
                  <c:v>1.0666</c:v>
                </c:pt>
                <c:pt idx="20">
                  <c:v>1.07</c:v>
                </c:pt>
                <c:pt idx="21">
                  <c:v>1.0740000000000001</c:v>
                </c:pt>
                <c:pt idx="22">
                  <c:v>1.0780000000000001</c:v>
                </c:pt>
                <c:pt idx="23">
                  <c:v>1.0820000000000001</c:v>
                </c:pt>
                <c:pt idx="24">
                  <c:v>1.0860000000000001</c:v>
                </c:pt>
                <c:pt idx="25">
                  <c:v>1.0900000000000001</c:v>
                </c:pt>
                <c:pt idx="26">
                  <c:v>1.0940000000000001</c:v>
                </c:pt>
                <c:pt idx="27">
                  <c:v>1.0980000000000001</c:v>
                </c:pt>
                <c:pt idx="28">
                  <c:v>1.1020000000000001</c:v>
                </c:pt>
                <c:pt idx="29">
                  <c:v>1.1060000000000001</c:v>
                </c:pt>
                <c:pt idx="30">
                  <c:v>1.1100000000000001</c:v>
                </c:pt>
                <c:pt idx="31">
                  <c:v>1.1140000000000001</c:v>
                </c:pt>
                <c:pt idx="32">
                  <c:v>1.1180000000000001</c:v>
                </c:pt>
                <c:pt idx="33">
                  <c:v>1.1219999999999999</c:v>
                </c:pt>
                <c:pt idx="34">
                  <c:v>1.1259999999999999</c:v>
                </c:pt>
                <c:pt idx="35">
                  <c:v>1.1299999999999999</c:v>
                </c:pt>
                <c:pt idx="36">
                  <c:v>1.1339999999999999</c:v>
                </c:pt>
                <c:pt idx="37">
                  <c:v>1.1379999999999999</c:v>
                </c:pt>
                <c:pt idx="38">
                  <c:v>1.1419999999999999</c:v>
                </c:pt>
                <c:pt idx="39">
                  <c:v>1.1459999999999999</c:v>
                </c:pt>
                <c:pt idx="40">
                  <c:v>1.1499999999999999</c:v>
                </c:pt>
                <c:pt idx="41">
                  <c:v>1.155</c:v>
                </c:pt>
                <c:pt idx="42">
                  <c:v>1.1599999999999999</c:v>
                </c:pt>
                <c:pt idx="43">
                  <c:v>1.165</c:v>
                </c:pt>
                <c:pt idx="44">
                  <c:v>1.17</c:v>
                </c:pt>
                <c:pt idx="45">
                  <c:v>1.175</c:v>
                </c:pt>
                <c:pt idx="46">
                  <c:v>1.18</c:v>
                </c:pt>
                <c:pt idx="47">
                  <c:v>1.1850000000000001</c:v>
                </c:pt>
                <c:pt idx="48">
                  <c:v>1.19</c:v>
                </c:pt>
                <c:pt idx="49">
                  <c:v>1.1950000000000001</c:v>
                </c:pt>
                <c:pt idx="50">
                  <c:v>1.2</c:v>
                </c:pt>
                <c:pt idx="51">
                  <c:v>1.2050000000000001</c:v>
                </c:pt>
                <c:pt idx="52">
                  <c:v>1.21</c:v>
                </c:pt>
                <c:pt idx="53">
                  <c:v>1.2150000000000001</c:v>
                </c:pt>
                <c:pt idx="54">
                  <c:v>1.22</c:v>
                </c:pt>
                <c:pt idx="55">
                  <c:v>1.2250000000000001</c:v>
                </c:pt>
                <c:pt idx="56">
                  <c:v>1.23</c:v>
                </c:pt>
                <c:pt idx="57">
                  <c:v>1.2350000000000001</c:v>
                </c:pt>
                <c:pt idx="58">
                  <c:v>1.24</c:v>
                </c:pt>
                <c:pt idx="59">
                  <c:v>1.2450000000000001</c:v>
                </c:pt>
                <c:pt idx="60">
                  <c:v>1.25</c:v>
                </c:pt>
                <c:pt idx="61">
                  <c:v>1.256</c:v>
                </c:pt>
                <c:pt idx="62">
                  <c:v>1.262</c:v>
                </c:pt>
                <c:pt idx="63">
                  <c:v>1.268</c:v>
                </c:pt>
                <c:pt idx="64">
                  <c:v>1.274</c:v>
                </c:pt>
                <c:pt idx="65">
                  <c:v>1.28</c:v>
                </c:pt>
                <c:pt idx="66">
                  <c:v>1.286</c:v>
                </c:pt>
                <c:pt idx="67">
                  <c:v>1.292</c:v>
                </c:pt>
                <c:pt idx="68">
                  <c:v>1.298</c:v>
                </c:pt>
                <c:pt idx="69">
                  <c:v>1.304</c:v>
                </c:pt>
                <c:pt idx="70">
                  <c:v>1.31</c:v>
                </c:pt>
                <c:pt idx="71">
                  <c:v>1.3160000000000001</c:v>
                </c:pt>
                <c:pt idx="72">
                  <c:v>1.3220000000000001</c:v>
                </c:pt>
                <c:pt idx="73">
                  <c:v>1.3280000000000001</c:v>
                </c:pt>
                <c:pt idx="74">
                  <c:v>1.3340000000000001</c:v>
                </c:pt>
                <c:pt idx="75">
                  <c:v>1.34</c:v>
                </c:pt>
                <c:pt idx="76">
                  <c:v>1.3460000000000001</c:v>
                </c:pt>
                <c:pt idx="77">
                  <c:v>1.3520000000000001</c:v>
                </c:pt>
                <c:pt idx="78">
                  <c:v>1.3580000000000001</c:v>
                </c:pt>
                <c:pt idx="79">
                  <c:v>1.3640000000000001</c:v>
                </c:pt>
                <c:pt idx="80">
                  <c:v>1.37</c:v>
                </c:pt>
                <c:pt idx="81">
                  <c:v>1.3775999999999999</c:v>
                </c:pt>
                <c:pt idx="82">
                  <c:v>1.3852</c:v>
                </c:pt>
                <c:pt idx="83">
                  <c:v>1.3928</c:v>
                </c:pt>
                <c:pt idx="84">
                  <c:v>1.4004000000000001</c:v>
                </c:pt>
                <c:pt idx="85">
                  <c:v>1.4079999999999999</c:v>
                </c:pt>
                <c:pt idx="86">
                  <c:v>1.4154</c:v>
                </c:pt>
                <c:pt idx="87">
                  <c:v>1.4227999999999998</c:v>
                </c:pt>
                <c:pt idx="88">
                  <c:v>1.4302000000000001</c:v>
                </c:pt>
                <c:pt idx="89">
                  <c:v>1.4376</c:v>
                </c:pt>
                <c:pt idx="90">
                  <c:v>1.4450000000000001</c:v>
                </c:pt>
                <c:pt idx="91">
                  <c:v>1.4526000000000001</c:v>
                </c:pt>
                <c:pt idx="92">
                  <c:v>1.4601999999999999</c:v>
                </c:pt>
                <c:pt idx="93">
                  <c:v>1.4678000000000002</c:v>
                </c:pt>
                <c:pt idx="94">
                  <c:v>1.4754</c:v>
                </c:pt>
                <c:pt idx="95">
                  <c:v>1.4830000000000001</c:v>
                </c:pt>
                <c:pt idx="96">
                  <c:v>1.4903999999999999</c:v>
                </c:pt>
                <c:pt idx="97">
                  <c:v>1.4978</c:v>
                </c:pt>
                <c:pt idx="98">
                  <c:v>1.5052000000000001</c:v>
                </c:pt>
                <c:pt idx="99">
                  <c:v>1.5126000000000002</c:v>
                </c:pt>
                <c:pt idx="100">
                  <c:v>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2-440F-BEB5-261EA17E88E8}"/>
            </c:ext>
          </c:extLst>
        </c:ser>
        <c:ser>
          <c:idx val="3"/>
          <c:order val="3"/>
          <c:tx>
            <c:strRef>
              <c:f>checkModelLookup!$AE$5</c:f>
              <c:strCache>
                <c:ptCount val="1"/>
                <c:pt idx="0">
                  <c:v>2 Lane: Capacity=2400</c:v>
                </c:pt>
              </c:strCache>
            </c:strRef>
          </c:tx>
          <c:spPr>
            <a:ln w="63500" cap="rnd">
              <a:solidFill>
                <a:schemeClr val="accent2">
                  <a:lumMod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checkModelLookup!$AE$6:$AE$106</c:f>
              <c:numCache>
                <c:formatCode>General</c:formatCode>
                <c:ptCount val="101"/>
                <c:pt idx="0">
                  <c:v>1</c:v>
                </c:pt>
                <c:pt idx="1">
                  <c:v>1.0009999999999999</c:v>
                </c:pt>
                <c:pt idx="2">
                  <c:v>1.002</c:v>
                </c:pt>
                <c:pt idx="3">
                  <c:v>1.0029999999999999</c:v>
                </c:pt>
                <c:pt idx="4">
                  <c:v>1.004</c:v>
                </c:pt>
                <c:pt idx="5">
                  <c:v>1.0049999999999999</c:v>
                </c:pt>
                <c:pt idx="6">
                  <c:v>1.006</c:v>
                </c:pt>
                <c:pt idx="7">
                  <c:v>1.0069999999999999</c:v>
                </c:pt>
                <c:pt idx="8">
                  <c:v>1.008</c:v>
                </c:pt>
                <c:pt idx="9">
                  <c:v>1.0089999999999999</c:v>
                </c:pt>
                <c:pt idx="10">
                  <c:v>1.01</c:v>
                </c:pt>
                <c:pt idx="11">
                  <c:v>1.0109999999999999</c:v>
                </c:pt>
                <c:pt idx="12">
                  <c:v>1.012</c:v>
                </c:pt>
                <c:pt idx="13">
                  <c:v>1.0129999999999999</c:v>
                </c:pt>
                <c:pt idx="14">
                  <c:v>1.014</c:v>
                </c:pt>
                <c:pt idx="15">
                  <c:v>1.0149999999999999</c:v>
                </c:pt>
                <c:pt idx="16">
                  <c:v>1.016</c:v>
                </c:pt>
                <c:pt idx="17">
                  <c:v>1.0169999999999999</c:v>
                </c:pt>
                <c:pt idx="18">
                  <c:v>1.018</c:v>
                </c:pt>
                <c:pt idx="19">
                  <c:v>1.0189999999999999</c:v>
                </c:pt>
                <c:pt idx="20">
                  <c:v>1.02</c:v>
                </c:pt>
                <c:pt idx="21">
                  <c:v>1.0226</c:v>
                </c:pt>
                <c:pt idx="22">
                  <c:v>1.0251999999999999</c:v>
                </c:pt>
                <c:pt idx="23">
                  <c:v>1.0278</c:v>
                </c:pt>
                <c:pt idx="24">
                  <c:v>1.0304</c:v>
                </c:pt>
                <c:pt idx="25">
                  <c:v>1.0329999999999999</c:v>
                </c:pt>
                <c:pt idx="26">
                  <c:v>1.0353999999999999</c:v>
                </c:pt>
                <c:pt idx="27">
                  <c:v>1.0377999999999998</c:v>
                </c:pt>
                <c:pt idx="28">
                  <c:v>1.0402</c:v>
                </c:pt>
                <c:pt idx="29">
                  <c:v>1.0426</c:v>
                </c:pt>
                <c:pt idx="30">
                  <c:v>1.0449999999999999</c:v>
                </c:pt>
                <c:pt idx="31">
                  <c:v>1.0475999999999999</c:v>
                </c:pt>
                <c:pt idx="32">
                  <c:v>1.0502</c:v>
                </c:pt>
                <c:pt idx="33">
                  <c:v>1.0528</c:v>
                </c:pt>
                <c:pt idx="34">
                  <c:v>1.0554000000000001</c:v>
                </c:pt>
                <c:pt idx="35">
                  <c:v>1.0580000000000001</c:v>
                </c:pt>
                <c:pt idx="36">
                  <c:v>1.0604</c:v>
                </c:pt>
                <c:pt idx="37">
                  <c:v>1.0628</c:v>
                </c:pt>
                <c:pt idx="38">
                  <c:v>1.0652000000000001</c:v>
                </c:pt>
                <c:pt idx="39">
                  <c:v>1.0676000000000001</c:v>
                </c:pt>
                <c:pt idx="40">
                  <c:v>1.07</c:v>
                </c:pt>
                <c:pt idx="41">
                  <c:v>1.073</c:v>
                </c:pt>
                <c:pt idx="42">
                  <c:v>1.0760000000000001</c:v>
                </c:pt>
                <c:pt idx="43">
                  <c:v>1.079</c:v>
                </c:pt>
                <c:pt idx="44">
                  <c:v>1.0820000000000001</c:v>
                </c:pt>
                <c:pt idx="45">
                  <c:v>1.085</c:v>
                </c:pt>
                <c:pt idx="46">
                  <c:v>1.0880000000000001</c:v>
                </c:pt>
                <c:pt idx="47">
                  <c:v>1.091</c:v>
                </c:pt>
                <c:pt idx="48">
                  <c:v>1.0940000000000001</c:v>
                </c:pt>
                <c:pt idx="49">
                  <c:v>1.097</c:v>
                </c:pt>
                <c:pt idx="50">
                  <c:v>1.1000000000000001</c:v>
                </c:pt>
                <c:pt idx="51">
                  <c:v>1.103</c:v>
                </c:pt>
                <c:pt idx="52">
                  <c:v>1.1060000000000001</c:v>
                </c:pt>
                <c:pt idx="53">
                  <c:v>1.109</c:v>
                </c:pt>
                <c:pt idx="54">
                  <c:v>1.1120000000000001</c:v>
                </c:pt>
                <c:pt idx="55">
                  <c:v>1.115</c:v>
                </c:pt>
                <c:pt idx="56">
                  <c:v>1.1179999999999999</c:v>
                </c:pt>
                <c:pt idx="57">
                  <c:v>1.121</c:v>
                </c:pt>
                <c:pt idx="58">
                  <c:v>1.1239999999999999</c:v>
                </c:pt>
                <c:pt idx="59">
                  <c:v>1.127</c:v>
                </c:pt>
                <c:pt idx="60">
                  <c:v>1.1299999999999999</c:v>
                </c:pt>
                <c:pt idx="61">
                  <c:v>1.1345999999999998</c:v>
                </c:pt>
                <c:pt idx="62">
                  <c:v>1.1392</c:v>
                </c:pt>
                <c:pt idx="63">
                  <c:v>1.1437999999999999</c:v>
                </c:pt>
                <c:pt idx="64">
                  <c:v>1.1484000000000001</c:v>
                </c:pt>
                <c:pt idx="65">
                  <c:v>1.153</c:v>
                </c:pt>
                <c:pt idx="66">
                  <c:v>1.1574</c:v>
                </c:pt>
                <c:pt idx="67">
                  <c:v>1.1617999999999999</c:v>
                </c:pt>
                <c:pt idx="68">
                  <c:v>1.1662000000000001</c:v>
                </c:pt>
                <c:pt idx="69">
                  <c:v>1.1706000000000001</c:v>
                </c:pt>
                <c:pt idx="70">
                  <c:v>1.175</c:v>
                </c:pt>
                <c:pt idx="71">
                  <c:v>1.1796</c:v>
                </c:pt>
                <c:pt idx="72">
                  <c:v>1.1841999999999999</c:v>
                </c:pt>
                <c:pt idx="73">
                  <c:v>1.1888000000000001</c:v>
                </c:pt>
                <c:pt idx="74">
                  <c:v>1.1934</c:v>
                </c:pt>
                <c:pt idx="75">
                  <c:v>1.198</c:v>
                </c:pt>
                <c:pt idx="76">
                  <c:v>1.2023999999999999</c:v>
                </c:pt>
                <c:pt idx="77">
                  <c:v>1.2067999999999999</c:v>
                </c:pt>
                <c:pt idx="78">
                  <c:v>1.2112000000000001</c:v>
                </c:pt>
                <c:pt idx="79">
                  <c:v>1.2156</c:v>
                </c:pt>
                <c:pt idx="80">
                  <c:v>1.22</c:v>
                </c:pt>
                <c:pt idx="81">
                  <c:v>1.226</c:v>
                </c:pt>
                <c:pt idx="82">
                  <c:v>1.232</c:v>
                </c:pt>
                <c:pt idx="83">
                  <c:v>1.238</c:v>
                </c:pt>
                <c:pt idx="84">
                  <c:v>1.244</c:v>
                </c:pt>
                <c:pt idx="85">
                  <c:v>1.25</c:v>
                </c:pt>
                <c:pt idx="86">
                  <c:v>1.256</c:v>
                </c:pt>
                <c:pt idx="87">
                  <c:v>1.262</c:v>
                </c:pt>
                <c:pt idx="88">
                  <c:v>1.268</c:v>
                </c:pt>
                <c:pt idx="89">
                  <c:v>1.274</c:v>
                </c:pt>
                <c:pt idx="90">
                  <c:v>1.28</c:v>
                </c:pt>
                <c:pt idx="91">
                  <c:v>1.286</c:v>
                </c:pt>
                <c:pt idx="92">
                  <c:v>1.292</c:v>
                </c:pt>
                <c:pt idx="93">
                  <c:v>1.298</c:v>
                </c:pt>
                <c:pt idx="94">
                  <c:v>1.304</c:v>
                </c:pt>
                <c:pt idx="95">
                  <c:v>1.31</c:v>
                </c:pt>
                <c:pt idx="96">
                  <c:v>1.3160000000000001</c:v>
                </c:pt>
                <c:pt idx="97">
                  <c:v>1.3220000000000001</c:v>
                </c:pt>
                <c:pt idx="98">
                  <c:v>1.3280000000000001</c:v>
                </c:pt>
                <c:pt idx="99">
                  <c:v>1.3340000000000001</c:v>
                </c:pt>
                <c:pt idx="100">
                  <c:v>1.34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72-440F-BEB5-261EA17E88E8}"/>
            </c:ext>
          </c:extLst>
        </c:ser>
        <c:ser>
          <c:idx val="4"/>
          <c:order val="4"/>
          <c:tx>
            <c:strRef>
              <c:f>checkModelLookup!$AF$5</c:f>
              <c:strCache>
                <c:ptCount val="1"/>
                <c:pt idx="0">
                  <c:v>3+ Lane: Capacity=1500</c:v>
                </c:pt>
              </c:strCache>
            </c:strRef>
          </c:tx>
          <c:spPr>
            <a:ln w="6350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checkModelLookup!$AF$6:$AF$106</c:f>
              <c:numCache>
                <c:formatCode>General</c:formatCode>
                <c:ptCount val="101"/>
                <c:pt idx="0">
                  <c:v>1</c:v>
                </c:pt>
                <c:pt idx="1">
                  <c:v>1.0089999999999999</c:v>
                </c:pt>
                <c:pt idx="2">
                  <c:v>1.018</c:v>
                </c:pt>
                <c:pt idx="3">
                  <c:v>1.0269999999999999</c:v>
                </c:pt>
                <c:pt idx="4">
                  <c:v>1.036</c:v>
                </c:pt>
                <c:pt idx="5">
                  <c:v>1.0449999999999999</c:v>
                </c:pt>
                <c:pt idx="6">
                  <c:v>1.054</c:v>
                </c:pt>
                <c:pt idx="7">
                  <c:v>1.0629999999999999</c:v>
                </c:pt>
                <c:pt idx="8">
                  <c:v>1.0720000000000001</c:v>
                </c:pt>
                <c:pt idx="9">
                  <c:v>1.081</c:v>
                </c:pt>
                <c:pt idx="10">
                  <c:v>1.0900000000000001</c:v>
                </c:pt>
                <c:pt idx="11">
                  <c:v>1.099</c:v>
                </c:pt>
                <c:pt idx="12">
                  <c:v>1.1080000000000001</c:v>
                </c:pt>
                <c:pt idx="13">
                  <c:v>1.117</c:v>
                </c:pt>
                <c:pt idx="14">
                  <c:v>1.1260000000000001</c:v>
                </c:pt>
                <c:pt idx="15">
                  <c:v>1.135</c:v>
                </c:pt>
                <c:pt idx="16">
                  <c:v>1.1439999999999999</c:v>
                </c:pt>
                <c:pt idx="17">
                  <c:v>1.153</c:v>
                </c:pt>
                <c:pt idx="18">
                  <c:v>1.1619999999999999</c:v>
                </c:pt>
                <c:pt idx="19">
                  <c:v>1.171</c:v>
                </c:pt>
                <c:pt idx="20">
                  <c:v>1.18</c:v>
                </c:pt>
                <c:pt idx="21">
                  <c:v>1.1890000000000001</c:v>
                </c:pt>
                <c:pt idx="22">
                  <c:v>1.198</c:v>
                </c:pt>
                <c:pt idx="23">
                  <c:v>1.2070000000000001</c:v>
                </c:pt>
                <c:pt idx="24">
                  <c:v>1.216</c:v>
                </c:pt>
                <c:pt idx="25">
                  <c:v>1.2250000000000001</c:v>
                </c:pt>
                <c:pt idx="26">
                  <c:v>1.234</c:v>
                </c:pt>
                <c:pt idx="27">
                  <c:v>1.2430000000000001</c:v>
                </c:pt>
                <c:pt idx="28">
                  <c:v>1.252</c:v>
                </c:pt>
                <c:pt idx="29">
                  <c:v>1.2610000000000001</c:v>
                </c:pt>
                <c:pt idx="30">
                  <c:v>1.27</c:v>
                </c:pt>
                <c:pt idx="31">
                  <c:v>1.2789999999999999</c:v>
                </c:pt>
                <c:pt idx="32">
                  <c:v>1.288</c:v>
                </c:pt>
                <c:pt idx="33">
                  <c:v>1.2969999999999999</c:v>
                </c:pt>
                <c:pt idx="34">
                  <c:v>1.306</c:v>
                </c:pt>
                <c:pt idx="35">
                  <c:v>1.3149999999999999</c:v>
                </c:pt>
                <c:pt idx="36">
                  <c:v>1.3240000000000001</c:v>
                </c:pt>
                <c:pt idx="37">
                  <c:v>1.333</c:v>
                </c:pt>
                <c:pt idx="38">
                  <c:v>1.3420000000000001</c:v>
                </c:pt>
                <c:pt idx="39">
                  <c:v>1.351</c:v>
                </c:pt>
                <c:pt idx="40">
                  <c:v>1.36</c:v>
                </c:pt>
                <c:pt idx="41">
                  <c:v>1.3695999999999999</c:v>
                </c:pt>
                <c:pt idx="42">
                  <c:v>1.3792</c:v>
                </c:pt>
                <c:pt idx="43">
                  <c:v>1.3888</c:v>
                </c:pt>
                <c:pt idx="44">
                  <c:v>1.3984000000000001</c:v>
                </c:pt>
                <c:pt idx="45">
                  <c:v>1.4079999999999999</c:v>
                </c:pt>
                <c:pt idx="46">
                  <c:v>1.4174</c:v>
                </c:pt>
                <c:pt idx="47">
                  <c:v>1.4268000000000001</c:v>
                </c:pt>
                <c:pt idx="48">
                  <c:v>1.4361999999999999</c:v>
                </c:pt>
                <c:pt idx="49">
                  <c:v>1.4456</c:v>
                </c:pt>
                <c:pt idx="50">
                  <c:v>1.4550000000000001</c:v>
                </c:pt>
                <c:pt idx="51">
                  <c:v>1.4645999999999999</c:v>
                </c:pt>
                <c:pt idx="52">
                  <c:v>1.4742</c:v>
                </c:pt>
                <c:pt idx="53">
                  <c:v>1.4838</c:v>
                </c:pt>
                <c:pt idx="54">
                  <c:v>1.4934000000000001</c:v>
                </c:pt>
                <c:pt idx="55">
                  <c:v>1.5029999999999999</c:v>
                </c:pt>
                <c:pt idx="56">
                  <c:v>1.5124</c:v>
                </c:pt>
                <c:pt idx="57">
                  <c:v>1.5218</c:v>
                </c:pt>
                <c:pt idx="58">
                  <c:v>1.5311999999999999</c:v>
                </c:pt>
                <c:pt idx="59">
                  <c:v>1.5406</c:v>
                </c:pt>
                <c:pt idx="60">
                  <c:v>1.55</c:v>
                </c:pt>
                <c:pt idx="61">
                  <c:v>1.5626</c:v>
                </c:pt>
                <c:pt idx="62">
                  <c:v>1.5752000000000002</c:v>
                </c:pt>
                <c:pt idx="63">
                  <c:v>1.5878000000000001</c:v>
                </c:pt>
                <c:pt idx="64">
                  <c:v>1.6004</c:v>
                </c:pt>
                <c:pt idx="65">
                  <c:v>1.613</c:v>
                </c:pt>
                <c:pt idx="66">
                  <c:v>1.6254</c:v>
                </c:pt>
                <c:pt idx="67">
                  <c:v>1.6377999999999999</c:v>
                </c:pt>
                <c:pt idx="68">
                  <c:v>1.6501999999999999</c:v>
                </c:pt>
                <c:pt idx="69">
                  <c:v>1.6626000000000001</c:v>
                </c:pt>
                <c:pt idx="70">
                  <c:v>1.675</c:v>
                </c:pt>
                <c:pt idx="71">
                  <c:v>1.6876</c:v>
                </c:pt>
                <c:pt idx="72">
                  <c:v>1.7002000000000002</c:v>
                </c:pt>
                <c:pt idx="73">
                  <c:v>1.7128000000000001</c:v>
                </c:pt>
                <c:pt idx="74">
                  <c:v>1.7254</c:v>
                </c:pt>
                <c:pt idx="75">
                  <c:v>1.738</c:v>
                </c:pt>
                <c:pt idx="76">
                  <c:v>1.7504</c:v>
                </c:pt>
                <c:pt idx="77">
                  <c:v>1.7627999999999999</c:v>
                </c:pt>
                <c:pt idx="78">
                  <c:v>1.7751999999999999</c:v>
                </c:pt>
                <c:pt idx="79">
                  <c:v>1.7876000000000001</c:v>
                </c:pt>
                <c:pt idx="80">
                  <c:v>1.8</c:v>
                </c:pt>
                <c:pt idx="81">
                  <c:v>1.8149999999999999</c:v>
                </c:pt>
                <c:pt idx="82">
                  <c:v>1.8299999999999998</c:v>
                </c:pt>
                <c:pt idx="83">
                  <c:v>1.8450000000000002</c:v>
                </c:pt>
                <c:pt idx="84">
                  <c:v>1.86</c:v>
                </c:pt>
                <c:pt idx="85">
                  <c:v>1.875</c:v>
                </c:pt>
                <c:pt idx="86">
                  <c:v>1.89</c:v>
                </c:pt>
                <c:pt idx="87">
                  <c:v>1.9049999999999998</c:v>
                </c:pt>
                <c:pt idx="88">
                  <c:v>1.9200000000000002</c:v>
                </c:pt>
                <c:pt idx="89">
                  <c:v>1.9350000000000001</c:v>
                </c:pt>
                <c:pt idx="90">
                  <c:v>1.95</c:v>
                </c:pt>
                <c:pt idx="91">
                  <c:v>1.9649999999999999</c:v>
                </c:pt>
                <c:pt idx="92">
                  <c:v>1.9799999999999998</c:v>
                </c:pt>
                <c:pt idx="93">
                  <c:v>1.9950000000000001</c:v>
                </c:pt>
                <c:pt idx="94">
                  <c:v>2.0099999999999998</c:v>
                </c:pt>
                <c:pt idx="95">
                  <c:v>2.0249999999999999</c:v>
                </c:pt>
                <c:pt idx="96">
                  <c:v>2.04</c:v>
                </c:pt>
                <c:pt idx="97">
                  <c:v>2.0549999999999997</c:v>
                </c:pt>
                <c:pt idx="98">
                  <c:v>2.0700000000000003</c:v>
                </c:pt>
                <c:pt idx="99">
                  <c:v>2.085</c:v>
                </c:pt>
                <c:pt idx="10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72-440F-BEB5-261EA17E88E8}"/>
            </c:ext>
          </c:extLst>
        </c:ser>
        <c:ser>
          <c:idx val="5"/>
          <c:order val="5"/>
          <c:tx>
            <c:strRef>
              <c:f>checkModelLookup!$AG$5</c:f>
              <c:strCache>
                <c:ptCount val="1"/>
                <c:pt idx="0">
                  <c:v>3+ Lane: Capacity=1800</c:v>
                </c:pt>
              </c:strCache>
            </c:strRef>
          </c:tx>
          <c:spPr>
            <a:ln w="63500" cap="rnd">
              <a:solidFill>
                <a:schemeClr val="accent1">
                  <a:lumMod val="60000"/>
                  <a:lumOff val="4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checkModelLookup!$AG$6:$AG$106</c:f>
              <c:numCache>
                <c:formatCode>General</c:formatCode>
                <c:ptCount val="101"/>
                <c:pt idx="0">
                  <c:v>1</c:v>
                </c:pt>
                <c:pt idx="1">
                  <c:v>1.0065999999999999</c:v>
                </c:pt>
                <c:pt idx="2">
                  <c:v>1.0131999999999999</c:v>
                </c:pt>
                <c:pt idx="3">
                  <c:v>1.0198</c:v>
                </c:pt>
                <c:pt idx="4">
                  <c:v>1.0264</c:v>
                </c:pt>
                <c:pt idx="5">
                  <c:v>1.0329999999999999</c:v>
                </c:pt>
                <c:pt idx="6">
                  <c:v>1.0393999999999999</c:v>
                </c:pt>
                <c:pt idx="7">
                  <c:v>1.0457999999999998</c:v>
                </c:pt>
                <c:pt idx="8">
                  <c:v>1.0522</c:v>
                </c:pt>
                <c:pt idx="9">
                  <c:v>1.0586</c:v>
                </c:pt>
                <c:pt idx="10">
                  <c:v>1.0649999999999999</c:v>
                </c:pt>
                <c:pt idx="11">
                  <c:v>1.0715999999999999</c:v>
                </c:pt>
                <c:pt idx="12">
                  <c:v>1.0782</c:v>
                </c:pt>
                <c:pt idx="13">
                  <c:v>1.0848</c:v>
                </c:pt>
                <c:pt idx="14">
                  <c:v>1.0914000000000001</c:v>
                </c:pt>
                <c:pt idx="15">
                  <c:v>1.0980000000000001</c:v>
                </c:pt>
                <c:pt idx="16">
                  <c:v>1.1044</c:v>
                </c:pt>
                <c:pt idx="17">
                  <c:v>1.1108</c:v>
                </c:pt>
                <c:pt idx="18">
                  <c:v>1.1172</c:v>
                </c:pt>
                <c:pt idx="19">
                  <c:v>1.1235999999999999</c:v>
                </c:pt>
                <c:pt idx="20">
                  <c:v>1.1299999999999999</c:v>
                </c:pt>
                <c:pt idx="21">
                  <c:v>1.1359999999999999</c:v>
                </c:pt>
                <c:pt idx="22">
                  <c:v>1.1419999999999999</c:v>
                </c:pt>
                <c:pt idx="23">
                  <c:v>1.1479999999999999</c:v>
                </c:pt>
                <c:pt idx="24">
                  <c:v>1.1539999999999999</c:v>
                </c:pt>
                <c:pt idx="25">
                  <c:v>1.1599999999999999</c:v>
                </c:pt>
                <c:pt idx="26">
                  <c:v>1.1659999999999999</c:v>
                </c:pt>
                <c:pt idx="27">
                  <c:v>1.1719999999999999</c:v>
                </c:pt>
                <c:pt idx="28">
                  <c:v>1.1779999999999999</c:v>
                </c:pt>
                <c:pt idx="29">
                  <c:v>1.1839999999999999</c:v>
                </c:pt>
                <c:pt idx="30">
                  <c:v>1.19</c:v>
                </c:pt>
                <c:pt idx="31">
                  <c:v>1.196</c:v>
                </c:pt>
                <c:pt idx="32">
                  <c:v>1.202</c:v>
                </c:pt>
                <c:pt idx="33">
                  <c:v>1.208</c:v>
                </c:pt>
                <c:pt idx="34">
                  <c:v>1.214</c:v>
                </c:pt>
                <c:pt idx="35">
                  <c:v>1.22</c:v>
                </c:pt>
                <c:pt idx="36">
                  <c:v>1.226</c:v>
                </c:pt>
                <c:pt idx="37">
                  <c:v>1.232</c:v>
                </c:pt>
                <c:pt idx="38">
                  <c:v>1.238</c:v>
                </c:pt>
                <c:pt idx="39">
                  <c:v>1.244</c:v>
                </c:pt>
                <c:pt idx="40">
                  <c:v>1.25</c:v>
                </c:pt>
                <c:pt idx="41">
                  <c:v>1.256</c:v>
                </c:pt>
                <c:pt idx="42">
                  <c:v>1.262</c:v>
                </c:pt>
                <c:pt idx="43">
                  <c:v>1.268</c:v>
                </c:pt>
                <c:pt idx="44">
                  <c:v>1.274</c:v>
                </c:pt>
                <c:pt idx="45">
                  <c:v>1.28</c:v>
                </c:pt>
                <c:pt idx="46">
                  <c:v>1.286</c:v>
                </c:pt>
                <c:pt idx="47">
                  <c:v>1.292</c:v>
                </c:pt>
                <c:pt idx="48">
                  <c:v>1.298</c:v>
                </c:pt>
                <c:pt idx="49">
                  <c:v>1.304</c:v>
                </c:pt>
                <c:pt idx="50">
                  <c:v>1.31</c:v>
                </c:pt>
                <c:pt idx="51">
                  <c:v>1.3160000000000001</c:v>
                </c:pt>
                <c:pt idx="52">
                  <c:v>1.3220000000000001</c:v>
                </c:pt>
                <c:pt idx="53">
                  <c:v>1.3280000000000001</c:v>
                </c:pt>
                <c:pt idx="54">
                  <c:v>1.3340000000000001</c:v>
                </c:pt>
                <c:pt idx="55">
                  <c:v>1.34</c:v>
                </c:pt>
                <c:pt idx="56">
                  <c:v>1.3460000000000001</c:v>
                </c:pt>
                <c:pt idx="57">
                  <c:v>1.3520000000000001</c:v>
                </c:pt>
                <c:pt idx="58">
                  <c:v>1.3580000000000001</c:v>
                </c:pt>
                <c:pt idx="59">
                  <c:v>1.3640000000000001</c:v>
                </c:pt>
                <c:pt idx="60">
                  <c:v>1.37</c:v>
                </c:pt>
                <c:pt idx="61">
                  <c:v>1.3795999999999999</c:v>
                </c:pt>
                <c:pt idx="62">
                  <c:v>1.3892</c:v>
                </c:pt>
                <c:pt idx="63">
                  <c:v>1.3988</c:v>
                </c:pt>
                <c:pt idx="64">
                  <c:v>1.4084000000000001</c:v>
                </c:pt>
                <c:pt idx="65">
                  <c:v>1.4179999999999999</c:v>
                </c:pt>
                <c:pt idx="66">
                  <c:v>1.4274</c:v>
                </c:pt>
                <c:pt idx="67">
                  <c:v>1.4368000000000001</c:v>
                </c:pt>
                <c:pt idx="68">
                  <c:v>1.4461999999999999</c:v>
                </c:pt>
                <c:pt idx="69">
                  <c:v>1.4556</c:v>
                </c:pt>
                <c:pt idx="70">
                  <c:v>1.4650000000000001</c:v>
                </c:pt>
                <c:pt idx="71">
                  <c:v>1.4745999999999999</c:v>
                </c:pt>
                <c:pt idx="72">
                  <c:v>1.4842</c:v>
                </c:pt>
                <c:pt idx="73">
                  <c:v>1.4938</c:v>
                </c:pt>
                <c:pt idx="74">
                  <c:v>1.5034000000000001</c:v>
                </c:pt>
                <c:pt idx="75">
                  <c:v>1.5129999999999999</c:v>
                </c:pt>
                <c:pt idx="76">
                  <c:v>1.5224</c:v>
                </c:pt>
                <c:pt idx="77">
                  <c:v>1.5318000000000001</c:v>
                </c:pt>
                <c:pt idx="78">
                  <c:v>1.5411999999999999</c:v>
                </c:pt>
                <c:pt idx="79">
                  <c:v>1.5506</c:v>
                </c:pt>
                <c:pt idx="80">
                  <c:v>1.56</c:v>
                </c:pt>
                <c:pt idx="81">
                  <c:v>1.5716000000000001</c:v>
                </c:pt>
                <c:pt idx="82">
                  <c:v>1.5831999999999999</c:v>
                </c:pt>
                <c:pt idx="83">
                  <c:v>1.5948000000000002</c:v>
                </c:pt>
                <c:pt idx="84">
                  <c:v>1.6064000000000001</c:v>
                </c:pt>
                <c:pt idx="85">
                  <c:v>1.6180000000000001</c:v>
                </c:pt>
                <c:pt idx="86">
                  <c:v>1.6294</c:v>
                </c:pt>
                <c:pt idx="87">
                  <c:v>1.6408</c:v>
                </c:pt>
                <c:pt idx="88">
                  <c:v>1.6522000000000001</c:v>
                </c:pt>
                <c:pt idx="89">
                  <c:v>1.6636000000000002</c:v>
                </c:pt>
                <c:pt idx="90">
                  <c:v>1.675</c:v>
                </c:pt>
                <c:pt idx="91">
                  <c:v>1.6866000000000001</c:v>
                </c:pt>
                <c:pt idx="92">
                  <c:v>1.6981999999999999</c:v>
                </c:pt>
                <c:pt idx="93">
                  <c:v>1.7098000000000002</c:v>
                </c:pt>
                <c:pt idx="94">
                  <c:v>1.7214</c:v>
                </c:pt>
                <c:pt idx="95">
                  <c:v>1.7330000000000001</c:v>
                </c:pt>
                <c:pt idx="96">
                  <c:v>1.7444</c:v>
                </c:pt>
                <c:pt idx="97">
                  <c:v>1.7558</c:v>
                </c:pt>
                <c:pt idx="98">
                  <c:v>1.7672000000000001</c:v>
                </c:pt>
                <c:pt idx="99">
                  <c:v>1.7786000000000002</c:v>
                </c:pt>
                <c:pt idx="100">
                  <c:v>1.79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72-440F-BEB5-261EA17E88E8}"/>
            </c:ext>
          </c:extLst>
        </c:ser>
        <c:ser>
          <c:idx val="6"/>
          <c:order val="6"/>
          <c:tx>
            <c:strRef>
              <c:f>checkModelLookup!$AH$5</c:f>
              <c:strCache>
                <c:ptCount val="1"/>
                <c:pt idx="0">
                  <c:v>3+ Lane: Capacity=2100</c:v>
                </c:pt>
              </c:strCache>
            </c:strRef>
          </c:tx>
          <c:spPr>
            <a:ln w="63500" cap="rnd">
              <a:solidFill>
                <a:schemeClr val="accent1">
                  <a:lumMod val="75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checkModelLookup!$AH$6:$AH$106</c:f>
              <c:numCache>
                <c:formatCode>General</c:formatCode>
                <c:ptCount val="101"/>
                <c:pt idx="0">
                  <c:v>1</c:v>
                </c:pt>
                <c:pt idx="1">
                  <c:v>1.0036</c:v>
                </c:pt>
                <c:pt idx="2">
                  <c:v>1.0072000000000001</c:v>
                </c:pt>
                <c:pt idx="3">
                  <c:v>1.0107999999999999</c:v>
                </c:pt>
                <c:pt idx="4">
                  <c:v>1.0144</c:v>
                </c:pt>
                <c:pt idx="5">
                  <c:v>1.018</c:v>
                </c:pt>
                <c:pt idx="6">
                  <c:v>1.0214000000000001</c:v>
                </c:pt>
                <c:pt idx="7">
                  <c:v>1.0247999999999999</c:v>
                </c:pt>
                <c:pt idx="8">
                  <c:v>1.0282</c:v>
                </c:pt>
                <c:pt idx="9">
                  <c:v>1.0315999999999999</c:v>
                </c:pt>
                <c:pt idx="10">
                  <c:v>1.0349999999999999</c:v>
                </c:pt>
                <c:pt idx="11">
                  <c:v>1.0386</c:v>
                </c:pt>
                <c:pt idx="12">
                  <c:v>1.0422</c:v>
                </c:pt>
                <c:pt idx="13">
                  <c:v>1.0457999999999998</c:v>
                </c:pt>
                <c:pt idx="14">
                  <c:v>1.0493999999999999</c:v>
                </c:pt>
                <c:pt idx="15">
                  <c:v>1.0529999999999999</c:v>
                </c:pt>
                <c:pt idx="16">
                  <c:v>1.0564</c:v>
                </c:pt>
                <c:pt idx="17">
                  <c:v>1.0598000000000001</c:v>
                </c:pt>
                <c:pt idx="18">
                  <c:v>1.0631999999999999</c:v>
                </c:pt>
                <c:pt idx="19">
                  <c:v>1.0666</c:v>
                </c:pt>
                <c:pt idx="20">
                  <c:v>1.07</c:v>
                </c:pt>
                <c:pt idx="21">
                  <c:v>1.0740000000000001</c:v>
                </c:pt>
                <c:pt idx="22">
                  <c:v>1.0780000000000001</c:v>
                </c:pt>
                <c:pt idx="23">
                  <c:v>1.0820000000000001</c:v>
                </c:pt>
                <c:pt idx="24">
                  <c:v>1.0860000000000001</c:v>
                </c:pt>
                <c:pt idx="25">
                  <c:v>1.0900000000000001</c:v>
                </c:pt>
                <c:pt idx="26">
                  <c:v>1.0940000000000001</c:v>
                </c:pt>
                <c:pt idx="27">
                  <c:v>1.0980000000000001</c:v>
                </c:pt>
                <c:pt idx="28">
                  <c:v>1.1020000000000001</c:v>
                </c:pt>
                <c:pt idx="29">
                  <c:v>1.1060000000000001</c:v>
                </c:pt>
                <c:pt idx="30">
                  <c:v>1.1100000000000001</c:v>
                </c:pt>
                <c:pt idx="31">
                  <c:v>1.1140000000000001</c:v>
                </c:pt>
                <c:pt idx="32">
                  <c:v>1.1180000000000001</c:v>
                </c:pt>
                <c:pt idx="33">
                  <c:v>1.1219999999999999</c:v>
                </c:pt>
                <c:pt idx="34">
                  <c:v>1.1259999999999999</c:v>
                </c:pt>
                <c:pt idx="35">
                  <c:v>1.1299999999999999</c:v>
                </c:pt>
                <c:pt idx="36">
                  <c:v>1.1339999999999999</c:v>
                </c:pt>
                <c:pt idx="37">
                  <c:v>1.1379999999999999</c:v>
                </c:pt>
                <c:pt idx="38">
                  <c:v>1.1419999999999999</c:v>
                </c:pt>
                <c:pt idx="39">
                  <c:v>1.1459999999999999</c:v>
                </c:pt>
                <c:pt idx="40">
                  <c:v>1.1499999999999999</c:v>
                </c:pt>
                <c:pt idx="41">
                  <c:v>1.1539999999999999</c:v>
                </c:pt>
                <c:pt idx="42">
                  <c:v>1.1579999999999999</c:v>
                </c:pt>
                <c:pt idx="43">
                  <c:v>1.1619999999999999</c:v>
                </c:pt>
                <c:pt idx="44">
                  <c:v>1.1659999999999999</c:v>
                </c:pt>
                <c:pt idx="45">
                  <c:v>1.17</c:v>
                </c:pt>
                <c:pt idx="46">
                  <c:v>1.1739999999999999</c:v>
                </c:pt>
                <c:pt idx="47">
                  <c:v>1.1779999999999999</c:v>
                </c:pt>
                <c:pt idx="48">
                  <c:v>1.1819999999999999</c:v>
                </c:pt>
                <c:pt idx="49">
                  <c:v>1.1859999999999999</c:v>
                </c:pt>
                <c:pt idx="50">
                  <c:v>1.19</c:v>
                </c:pt>
                <c:pt idx="51">
                  <c:v>1.194</c:v>
                </c:pt>
                <c:pt idx="52">
                  <c:v>1.198</c:v>
                </c:pt>
                <c:pt idx="53">
                  <c:v>1.202</c:v>
                </c:pt>
                <c:pt idx="54">
                  <c:v>1.206</c:v>
                </c:pt>
                <c:pt idx="55">
                  <c:v>1.21</c:v>
                </c:pt>
                <c:pt idx="56">
                  <c:v>1.214</c:v>
                </c:pt>
                <c:pt idx="57">
                  <c:v>1.218</c:v>
                </c:pt>
                <c:pt idx="58">
                  <c:v>1.222</c:v>
                </c:pt>
                <c:pt idx="59">
                  <c:v>1.226</c:v>
                </c:pt>
                <c:pt idx="60">
                  <c:v>1.23</c:v>
                </c:pt>
                <c:pt idx="61">
                  <c:v>1.2365999999999999</c:v>
                </c:pt>
                <c:pt idx="62">
                  <c:v>1.2431999999999999</c:v>
                </c:pt>
                <c:pt idx="63">
                  <c:v>1.2498</c:v>
                </c:pt>
                <c:pt idx="64">
                  <c:v>1.2564</c:v>
                </c:pt>
                <c:pt idx="65">
                  <c:v>1.2629999999999999</c:v>
                </c:pt>
                <c:pt idx="66">
                  <c:v>1.2693999999999999</c:v>
                </c:pt>
                <c:pt idx="67">
                  <c:v>1.2757999999999998</c:v>
                </c:pt>
                <c:pt idx="68">
                  <c:v>1.2822</c:v>
                </c:pt>
                <c:pt idx="69">
                  <c:v>1.2886</c:v>
                </c:pt>
                <c:pt idx="70">
                  <c:v>1.2949999999999999</c:v>
                </c:pt>
                <c:pt idx="71">
                  <c:v>1.3015999999999999</c:v>
                </c:pt>
                <c:pt idx="72">
                  <c:v>1.3082</c:v>
                </c:pt>
                <c:pt idx="73">
                  <c:v>1.3148</c:v>
                </c:pt>
                <c:pt idx="74">
                  <c:v>1.3214000000000001</c:v>
                </c:pt>
                <c:pt idx="75">
                  <c:v>1.3280000000000001</c:v>
                </c:pt>
                <c:pt idx="76">
                  <c:v>1.3344</c:v>
                </c:pt>
                <c:pt idx="77">
                  <c:v>1.3408</c:v>
                </c:pt>
                <c:pt idx="78">
                  <c:v>1.3472000000000002</c:v>
                </c:pt>
                <c:pt idx="79">
                  <c:v>1.3536000000000001</c:v>
                </c:pt>
                <c:pt idx="80">
                  <c:v>1.36</c:v>
                </c:pt>
                <c:pt idx="81">
                  <c:v>1.369</c:v>
                </c:pt>
                <c:pt idx="82">
                  <c:v>1.3780000000000001</c:v>
                </c:pt>
                <c:pt idx="83">
                  <c:v>1.387</c:v>
                </c:pt>
                <c:pt idx="84">
                  <c:v>1.3960000000000001</c:v>
                </c:pt>
                <c:pt idx="85">
                  <c:v>1.405</c:v>
                </c:pt>
                <c:pt idx="86">
                  <c:v>1.4139999999999999</c:v>
                </c:pt>
                <c:pt idx="87">
                  <c:v>1.423</c:v>
                </c:pt>
                <c:pt idx="88">
                  <c:v>1.4319999999999999</c:v>
                </c:pt>
                <c:pt idx="89">
                  <c:v>1.4410000000000001</c:v>
                </c:pt>
                <c:pt idx="90">
                  <c:v>1.45</c:v>
                </c:pt>
                <c:pt idx="91">
                  <c:v>1.4589999999999999</c:v>
                </c:pt>
                <c:pt idx="92">
                  <c:v>1.468</c:v>
                </c:pt>
                <c:pt idx="93">
                  <c:v>1.4770000000000001</c:v>
                </c:pt>
                <c:pt idx="94">
                  <c:v>1.4860000000000002</c:v>
                </c:pt>
                <c:pt idx="95">
                  <c:v>1.4950000000000001</c:v>
                </c:pt>
                <c:pt idx="96">
                  <c:v>1.504</c:v>
                </c:pt>
                <c:pt idx="97">
                  <c:v>1.5130000000000001</c:v>
                </c:pt>
                <c:pt idx="98">
                  <c:v>1.522</c:v>
                </c:pt>
                <c:pt idx="99">
                  <c:v>1.5310000000000001</c:v>
                </c:pt>
                <c:pt idx="100">
                  <c:v>1.54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372-440F-BEB5-261EA17E88E8}"/>
            </c:ext>
          </c:extLst>
        </c:ser>
        <c:ser>
          <c:idx val="7"/>
          <c:order val="7"/>
          <c:tx>
            <c:strRef>
              <c:f>checkModelLookup!$AI$5</c:f>
              <c:strCache>
                <c:ptCount val="1"/>
                <c:pt idx="0">
                  <c:v>3+ Lane: Capacity=2400</c:v>
                </c:pt>
              </c:strCache>
            </c:strRef>
          </c:tx>
          <c:spPr>
            <a:ln w="63500" cap="rnd">
              <a:solidFill>
                <a:schemeClr val="accent1">
                  <a:lumMod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checkModelLookup!$W$6:$W$106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checkModelLookup!$AI$6:$AI$106</c:f>
              <c:numCache>
                <c:formatCode>General</c:formatCode>
                <c:ptCount val="101"/>
                <c:pt idx="0">
                  <c:v>1</c:v>
                </c:pt>
                <c:pt idx="1">
                  <c:v>1.0009999999999999</c:v>
                </c:pt>
                <c:pt idx="2">
                  <c:v>1.002</c:v>
                </c:pt>
                <c:pt idx="3">
                  <c:v>1.0029999999999999</c:v>
                </c:pt>
                <c:pt idx="4">
                  <c:v>1.004</c:v>
                </c:pt>
                <c:pt idx="5">
                  <c:v>1.0049999999999999</c:v>
                </c:pt>
                <c:pt idx="6">
                  <c:v>1.006</c:v>
                </c:pt>
                <c:pt idx="7">
                  <c:v>1.0069999999999999</c:v>
                </c:pt>
                <c:pt idx="8">
                  <c:v>1.008</c:v>
                </c:pt>
                <c:pt idx="9">
                  <c:v>1.0089999999999999</c:v>
                </c:pt>
                <c:pt idx="10">
                  <c:v>1.01</c:v>
                </c:pt>
                <c:pt idx="11">
                  <c:v>1.0109999999999999</c:v>
                </c:pt>
                <c:pt idx="12">
                  <c:v>1.012</c:v>
                </c:pt>
                <c:pt idx="13">
                  <c:v>1.0129999999999999</c:v>
                </c:pt>
                <c:pt idx="14">
                  <c:v>1.014</c:v>
                </c:pt>
                <c:pt idx="15">
                  <c:v>1.0149999999999999</c:v>
                </c:pt>
                <c:pt idx="16">
                  <c:v>1.016</c:v>
                </c:pt>
                <c:pt idx="17">
                  <c:v>1.0169999999999999</c:v>
                </c:pt>
                <c:pt idx="18">
                  <c:v>1.018</c:v>
                </c:pt>
                <c:pt idx="19">
                  <c:v>1.0189999999999999</c:v>
                </c:pt>
                <c:pt idx="20">
                  <c:v>1.02</c:v>
                </c:pt>
                <c:pt idx="21">
                  <c:v>1.0226</c:v>
                </c:pt>
                <c:pt idx="22">
                  <c:v>1.0251999999999999</c:v>
                </c:pt>
                <c:pt idx="23">
                  <c:v>1.0278</c:v>
                </c:pt>
                <c:pt idx="24">
                  <c:v>1.0304</c:v>
                </c:pt>
                <c:pt idx="25">
                  <c:v>1.0329999999999999</c:v>
                </c:pt>
                <c:pt idx="26">
                  <c:v>1.0353999999999999</c:v>
                </c:pt>
                <c:pt idx="27">
                  <c:v>1.0377999999999998</c:v>
                </c:pt>
                <c:pt idx="28">
                  <c:v>1.0402</c:v>
                </c:pt>
                <c:pt idx="29">
                  <c:v>1.0426</c:v>
                </c:pt>
                <c:pt idx="30">
                  <c:v>1.0449999999999999</c:v>
                </c:pt>
                <c:pt idx="31">
                  <c:v>1.0475999999999999</c:v>
                </c:pt>
                <c:pt idx="32">
                  <c:v>1.0502</c:v>
                </c:pt>
                <c:pt idx="33">
                  <c:v>1.0528</c:v>
                </c:pt>
                <c:pt idx="34">
                  <c:v>1.0554000000000001</c:v>
                </c:pt>
                <c:pt idx="35">
                  <c:v>1.0580000000000001</c:v>
                </c:pt>
                <c:pt idx="36">
                  <c:v>1.0604</c:v>
                </c:pt>
                <c:pt idx="37">
                  <c:v>1.0628</c:v>
                </c:pt>
                <c:pt idx="38">
                  <c:v>1.0652000000000001</c:v>
                </c:pt>
                <c:pt idx="39">
                  <c:v>1.0676000000000001</c:v>
                </c:pt>
                <c:pt idx="40">
                  <c:v>1.07</c:v>
                </c:pt>
                <c:pt idx="41">
                  <c:v>1.0726</c:v>
                </c:pt>
                <c:pt idx="42">
                  <c:v>1.0751999999999999</c:v>
                </c:pt>
                <c:pt idx="43">
                  <c:v>1.0778000000000001</c:v>
                </c:pt>
                <c:pt idx="44">
                  <c:v>1.0804</c:v>
                </c:pt>
                <c:pt idx="45">
                  <c:v>1.083</c:v>
                </c:pt>
                <c:pt idx="46">
                  <c:v>1.0853999999999999</c:v>
                </c:pt>
                <c:pt idx="47">
                  <c:v>1.0877999999999999</c:v>
                </c:pt>
                <c:pt idx="48">
                  <c:v>1.0902000000000001</c:v>
                </c:pt>
                <c:pt idx="49">
                  <c:v>1.0926</c:v>
                </c:pt>
                <c:pt idx="50">
                  <c:v>1.095</c:v>
                </c:pt>
                <c:pt idx="51">
                  <c:v>1.0975999999999999</c:v>
                </c:pt>
                <c:pt idx="52">
                  <c:v>1.1002000000000001</c:v>
                </c:pt>
                <c:pt idx="53">
                  <c:v>1.1028</c:v>
                </c:pt>
                <c:pt idx="54">
                  <c:v>1.1054000000000002</c:v>
                </c:pt>
                <c:pt idx="55">
                  <c:v>1.1080000000000001</c:v>
                </c:pt>
                <c:pt idx="56">
                  <c:v>1.1104000000000001</c:v>
                </c:pt>
                <c:pt idx="57">
                  <c:v>1.1128</c:v>
                </c:pt>
                <c:pt idx="58">
                  <c:v>1.1152000000000002</c:v>
                </c:pt>
                <c:pt idx="59">
                  <c:v>1.1176000000000001</c:v>
                </c:pt>
                <c:pt idx="60">
                  <c:v>1.1200000000000001</c:v>
                </c:pt>
                <c:pt idx="61">
                  <c:v>1.1246</c:v>
                </c:pt>
                <c:pt idx="62">
                  <c:v>1.1292</c:v>
                </c:pt>
                <c:pt idx="63">
                  <c:v>1.1338000000000001</c:v>
                </c:pt>
                <c:pt idx="64">
                  <c:v>1.1384000000000001</c:v>
                </c:pt>
                <c:pt idx="65">
                  <c:v>1.143</c:v>
                </c:pt>
                <c:pt idx="66">
                  <c:v>1.1474</c:v>
                </c:pt>
                <c:pt idx="67">
                  <c:v>1.1517999999999999</c:v>
                </c:pt>
                <c:pt idx="68">
                  <c:v>1.1562000000000001</c:v>
                </c:pt>
                <c:pt idx="69">
                  <c:v>1.1606000000000001</c:v>
                </c:pt>
                <c:pt idx="70">
                  <c:v>1.165</c:v>
                </c:pt>
                <c:pt idx="71">
                  <c:v>1.1696</c:v>
                </c:pt>
                <c:pt idx="72">
                  <c:v>1.1741999999999999</c:v>
                </c:pt>
                <c:pt idx="73">
                  <c:v>1.1788000000000001</c:v>
                </c:pt>
                <c:pt idx="74">
                  <c:v>1.1834</c:v>
                </c:pt>
                <c:pt idx="75">
                  <c:v>1.1879999999999999</c:v>
                </c:pt>
                <c:pt idx="76">
                  <c:v>1.1923999999999999</c:v>
                </c:pt>
                <c:pt idx="77">
                  <c:v>1.1967999999999999</c:v>
                </c:pt>
                <c:pt idx="78">
                  <c:v>1.2012</c:v>
                </c:pt>
                <c:pt idx="79">
                  <c:v>1.2056</c:v>
                </c:pt>
                <c:pt idx="80">
                  <c:v>1.21</c:v>
                </c:pt>
                <c:pt idx="81">
                  <c:v>1.2176</c:v>
                </c:pt>
                <c:pt idx="82">
                  <c:v>1.2251999999999998</c:v>
                </c:pt>
                <c:pt idx="83">
                  <c:v>1.2328000000000001</c:v>
                </c:pt>
                <c:pt idx="84">
                  <c:v>1.2403999999999999</c:v>
                </c:pt>
                <c:pt idx="85">
                  <c:v>1.248</c:v>
                </c:pt>
                <c:pt idx="86">
                  <c:v>1.2553999999999998</c:v>
                </c:pt>
                <c:pt idx="87">
                  <c:v>1.2627999999999999</c:v>
                </c:pt>
                <c:pt idx="88">
                  <c:v>1.2702</c:v>
                </c:pt>
                <c:pt idx="89">
                  <c:v>1.2776000000000001</c:v>
                </c:pt>
                <c:pt idx="90">
                  <c:v>1.2849999999999999</c:v>
                </c:pt>
                <c:pt idx="91">
                  <c:v>1.2926</c:v>
                </c:pt>
                <c:pt idx="92">
                  <c:v>1.3001999999999998</c:v>
                </c:pt>
                <c:pt idx="93">
                  <c:v>1.3078000000000001</c:v>
                </c:pt>
                <c:pt idx="94">
                  <c:v>1.3153999999999999</c:v>
                </c:pt>
                <c:pt idx="95">
                  <c:v>1.323</c:v>
                </c:pt>
                <c:pt idx="96">
                  <c:v>1.3304</c:v>
                </c:pt>
                <c:pt idx="97">
                  <c:v>1.3377999999999999</c:v>
                </c:pt>
                <c:pt idx="98">
                  <c:v>1.3452000000000002</c:v>
                </c:pt>
                <c:pt idx="99">
                  <c:v>1.3526</c:v>
                </c:pt>
                <c:pt idx="100">
                  <c:v>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372-440F-BEB5-261EA17E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264943"/>
        <c:axId val="1636269519"/>
      </c:scatterChart>
      <c:valAx>
        <c:axId val="163626494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/>
                  <a:t>Market Penetration Rate % (MPR)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69519"/>
        <c:crosses val="autoZero"/>
        <c:crossBetween val="midCat"/>
        <c:minorUnit val="5"/>
      </c:valAx>
      <c:valAx>
        <c:axId val="1636269519"/>
        <c:scaling>
          <c:orientation val="minMax"/>
          <c:max val="2.200000000000000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/>
                  <a:t>Capacity Multiplier</a:t>
                </a:r>
              </a:p>
            </c:rich>
          </c:tx>
          <c:layout>
            <c:manualLayout>
              <c:xMode val="edge"/>
              <c:yMode val="edge"/>
              <c:x val="2.0189051856009263E-2"/>
              <c:y val="0.39030931170982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64943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4114449174998019E-2"/>
          <c:y val="8.8102372568543585E-2"/>
          <c:w val="0.8770932786763912"/>
          <c:h val="7.9428199118081966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CAVCapMultiplier!$BD$27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CAVCapMultiplier!$BE$30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CAVCapMultiplier!$BF$30:$BH$30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9-4A68-A448-7DBF1E45FDBE}"/>
            </c:ext>
          </c:extLst>
        </c:ser>
        <c:ser>
          <c:idx val="1"/>
          <c:order val="1"/>
          <c:tx>
            <c:strRef>
              <c:f>CAVCapMultiplier!$BE$31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CAVCapMultiplier!$BF$31:$BH$31</c:f>
              <c:numCache>
                <c:formatCode>0.00</c:formatCode>
                <c:ptCount val="3"/>
                <c:pt idx="0">
                  <c:v>1.02</c:v>
                </c:pt>
                <c:pt idx="1">
                  <c:v>1.01</c:v>
                </c:pt>
                <c:pt idx="2">
                  <c:v>1.1499999999999999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09-4A68-A448-7DBF1E45FDBE}"/>
            </c:ext>
          </c:extLst>
        </c:ser>
        <c:ser>
          <c:idx val="2"/>
          <c:order val="2"/>
          <c:tx>
            <c:strRef>
              <c:f>CAVCapMultiplier!$BE$32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CAVCapMultiplier!$BF$32:$BH$32</c:f>
              <c:numCache>
                <c:formatCode>0.00</c:formatCode>
                <c:ptCount val="3"/>
                <c:pt idx="0">
                  <c:v>1.07</c:v>
                </c:pt>
                <c:pt idx="1">
                  <c:v>1.1000000000000001</c:v>
                </c:pt>
                <c:pt idx="2">
                  <c:v>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09-4A68-A448-7DBF1E45FDBE}"/>
            </c:ext>
          </c:extLst>
        </c:ser>
        <c:ser>
          <c:idx val="3"/>
          <c:order val="3"/>
          <c:tx>
            <c:strRef>
              <c:f>CAVCapMultiplier!$BE$33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CAVCapMultiplier!$BF$33:$BH$33</c:f>
              <c:numCache>
                <c:formatCode>0.00</c:formatCode>
                <c:ptCount val="3"/>
                <c:pt idx="0">
                  <c:v>1.1200000000000001</c:v>
                </c:pt>
                <c:pt idx="1">
                  <c:v>1.23</c:v>
                </c:pt>
                <c:pt idx="2">
                  <c:v>1.37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09-4A68-A448-7DBF1E45FDBE}"/>
            </c:ext>
          </c:extLst>
        </c:ser>
        <c:ser>
          <c:idx val="4"/>
          <c:order val="4"/>
          <c:tx>
            <c:strRef>
              <c:f>CAVCapMultiplier!$BE$34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CAVCapMultiplier!$BF$34:$BH$34</c:f>
              <c:numCache>
                <c:formatCode>0.00</c:formatCode>
                <c:ptCount val="3"/>
                <c:pt idx="0">
                  <c:v>1.21</c:v>
                </c:pt>
                <c:pt idx="1">
                  <c:v>1.36</c:v>
                </c:pt>
                <c:pt idx="2">
                  <c:v>1.56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09-4A68-A448-7DBF1E45FDBE}"/>
            </c:ext>
          </c:extLst>
        </c:ser>
        <c:ser>
          <c:idx val="5"/>
          <c:order val="5"/>
          <c:tx>
            <c:strRef>
              <c:f>CAVCapMultiplier!$BE$35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CAVCapMultiplier!$BF$29:$BH$29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CAVCapMultiplier!$BF$35:$BH$35</c:f>
              <c:numCache>
                <c:formatCode>0.00</c:formatCode>
                <c:ptCount val="3"/>
                <c:pt idx="0">
                  <c:v>1.36</c:v>
                </c:pt>
                <c:pt idx="1">
                  <c:v>1.54</c:v>
                </c:pt>
                <c:pt idx="2">
                  <c:v>1.82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509-4A68-A448-7DBF1E45FDB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CAVCapMultiplier!$BI$30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09-4A68-A448-7DBF1E45FDB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CAVCapMultiplier!$BI$31</c:f>
              <c:numCache>
                <c:formatCode>0.00</c:formatCode>
                <c:ptCount val="1"/>
                <c:pt idx="0">
                  <c:v>1.45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509-4A68-A448-7DBF1E45FDB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CAVCapMultiplier!$BI$32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509-4A68-A448-7DBF1E45FDB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CAVCapMultiplier!$BI$33</c:f>
              <c:numCache>
                <c:formatCode>0.00</c:formatCode>
                <c:ptCount val="1"/>
                <c:pt idx="0">
                  <c:v>1.55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509-4A68-A448-7DBF1E45FDB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CAVCapMultiplier!$BI$34</c:f>
              <c:numCache>
                <c:formatCode>0.00</c:formatCode>
                <c:ptCount val="1"/>
                <c:pt idx="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509-4A68-A448-7DBF1E45FDB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CAVCapMultiplier!$BI$35</c:f>
              <c:numCache>
                <c:formatCode>0.00</c:formatCode>
                <c:ptCount val="1"/>
                <c:pt idx="0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509-4A68-A448-7DBF1E45FD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CAVCapMultiplier!$BD$4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CAVCapMultiplier!$BE$7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CAVCapMultiplier!$BF$6:$BH$6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CAVCapMultiplier!$BF$7:$BH$7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10-4B9E-B22D-D60666913BBE}"/>
            </c:ext>
          </c:extLst>
        </c:ser>
        <c:ser>
          <c:idx val="1"/>
          <c:order val="1"/>
          <c:tx>
            <c:strRef>
              <c:f>CAVCapMultiplier!$BE$8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CAVCapMultiplier!$BF$6:$BH$6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CAVCapMultiplier!$BF$8:$BH$8</c:f>
              <c:numCache>
                <c:formatCode>0.00</c:formatCode>
                <c:ptCount val="3"/>
                <c:pt idx="0">
                  <c:v>1.02</c:v>
                </c:pt>
                <c:pt idx="1">
                  <c:v>1.03</c:v>
                </c:pt>
                <c:pt idx="2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10-4B9E-B22D-D60666913BBE}"/>
            </c:ext>
          </c:extLst>
        </c:ser>
        <c:ser>
          <c:idx val="2"/>
          <c:order val="2"/>
          <c:tx>
            <c:strRef>
              <c:f>CAVCapMultiplier!$BE$9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CAVCapMultiplier!$BF$6:$BH$6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CAVCapMultiplier!$BF$9:$BH$9</c:f>
              <c:numCache>
                <c:formatCode>0.00</c:formatCode>
                <c:ptCount val="3"/>
                <c:pt idx="0">
                  <c:v>1.07</c:v>
                </c:pt>
                <c:pt idx="1">
                  <c:v>1.1000000000000001</c:v>
                </c:pt>
                <c:pt idx="2">
                  <c:v>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10-4B9E-B22D-D60666913BBE}"/>
            </c:ext>
          </c:extLst>
        </c:ser>
        <c:ser>
          <c:idx val="3"/>
          <c:order val="3"/>
          <c:tx>
            <c:strRef>
              <c:f>CAVCapMultiplier!$BE$10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CAVCapMultiplier!$BF$6:$BH$6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CAVCapMultiplier!$BF$10:$BH$10</c:f>
              <c:numCache>
                <c:formatCode>0.00</c:formatCode>
                <c:ptCount val="3"/>
                <c:pt idx="0">
                  <c:v>1.1299999999999999</c:v>
                </c:pt>
                <c:pt idx="1">
                  <c:v>1.26</c:v>
                </c:pt>
                <c:pt idx="2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10-4B9E-B22D-D60666913BBE}"/>
            </c:ext>
          </c:extLst>
        </c:ser>
        <c:ser>
          <c:idx val="4"/>
          <c:order val="4"/>
          <c:tx>
            <c:strRef>
              <c:f>CAVCapMultiplier!$BE$11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CAVCapMultiplier!$BF$6:$BH$6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CAVCapMultiplier!$BF$11:$BH$11</c:f>
              <c:numCache>
                <c:formatCode>0.00</c:formatCode>
                <c:ptCount val="3"/>
                <c:pt idx="0">
                  <c:v>1.22</c:v>
                </c:pt>
                <c:pt idx="1">
                  <c:v>1.37</c:v>
                </c:pt>
                <c:pt idx="2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10-4B9E-B22D-D60666913BBE}"/>
            </c:ext>
          </c:extLst>
        </c:ser>
        <c:ser>
          <c:idx val="5"/>
          <c:order val="5"/>
          <c:tx>
            <c:strRef>
              <c:f>CAVCapMultiplier!$BE$12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CAVCapMultiplier!$BF$6:$BH$6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CAVCapMultiplier!$BF$12:$BH$12</c:f>
              <c:numCache>
                <c:formatCode>0.00</c:formatCode>
                <c:ptCount val="3"/>
                <c:pt idx="0">
                  <c:v>1.34</c:v>
                </c:pt>
                <c:pt idx="1">
                  <c:v>1.52</c:v>
                </c:pt>
                <c:pt idx="2">
                  <c:v>1.82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10-4B9E-B22D-D60666913BB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CAVCapMultiplier!$BI$7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510-4B9E-B22D-D60666913BB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CAVCapMultiplier!$BI$8</c:f>
              <c:numCache>
                <c:formatCode>0.00</c:formatCode>
                <c:ptCount val="1"/>
                <c:pt idx="0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510-4B9E-B22D-D60666913BB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CAVCapMultiplier!$BI$9</c:f>
              <c:numCache>
                <c:formatCode>0.00</c:formatCode>
                <c:ptCount val="1"/>
                <c:pt idx="0">
                  <c:v>1.58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510-4B9E-B22D-D60666913BB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CAVCapMultiplier!$BI$10</c:f>
              <c:numCache>
                <c:formatCode>0.00</c:formatCode>
                <c:ptCount val="1"/>
                <c:pt idx="0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510-4B9E-B22D-D60666913BB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CAVCapMultiplier!$BI$11</c:f>
              <c:numCache>
                <c:formatCode>0.00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510-4B9E-B22D-D60666913BB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CAVCapMultiplier!$BI$6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CAVCapMultiplier!$BI$12</c:f>
              <c:numCache>
                <c:formatCode>0.00</c:formatCode>
                <c:ptCount val="1"/>
                <c:pt idx="0">
                  <c:v>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510-4B9E-B22D-D60666913B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CAVCapMultiplier!$X$27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CAVCapMultiplier!$Y$30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CAVCapMultiplier!$Z$30:$AB$30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52-4593-9ACE-632C20E68E2A}"/>
            </c:ext>
          </c:extLst>
        </c:ser>
        <c:ser>
          <c:idx val="1"/>
          <c:order val="1"/>
          <c:tx>
            <c:strRef>
              <c:f>CAVCapMultiplier!$Y$31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CAVCapMultiplier!$Z$31:$AB$31</c:f>
              <c:numCache>
                <c:formatCode>0.00</c:formatCode>
                <c:ptCount val="3"/>
                <c:pt idx="0">
                  <c:v>1.02</c:v>
                </c:pt>
                <c:pt idx="1">
                  <c:v>1.07</c:v>
                </c:pt>
                <c:pt idx="2">
                  <c:v>1.1299999999999999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52-4593-9ACE-632C20E68E2A}"/>
            </c:ext>
          </c:extLst>
        </c:ser>
        <c:ser>
          <c:idx val="2"/>
          <c:order val="2"/>
          <c:tx>
            <c:strRef>
              <c:f>CAVCapMultiplier!$Y$32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CAVCapMultiplier!$Z$32:$AB$32</c:f>
              <c:numCache>
                <c:formatCode>0.00</c:formatCode>
                <c:ptCount val="3"/>
                <c:pt idx="0">
                  <c:v>1.07</c:v>
                </c:pt>
                <c:pt idx="1">
                  <c:v>1.1499999999999999</c:v>
                </c:pt>
                <c:pt idx="2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52-4593-9ACE-632C20E68E2A}"/>
            </c:ext>
          </c:extLst>
        </c:ser>
        <c:ser>
          <c:idx val="3"/>
          <c:order val="3"/>
          <c:tx>
            <c:strRef>
              <c:f>CAVCapMultiplier!$Y$33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CAVCapMultiplier!$Z$33:$AB$33</c:f>
              <c:numCache>
                <c:formatCode>0.00</c:formatCode>
                <c:ptCount val="3"/>
                <c:pt idx="0">
                  <c:v>1.1200000000000001</c:v>
                </c:pt>
                <c:pt idx="1">
                  <c:v>1.23</c:v>
                </c:pt>
                <c:pt idx="2">
                  <c:v>1.37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52-4593-9ACE-632C20E68E2A}"/>
            </c:ext>
          </c:extLst>
        </c:ser>
        <c:ser>
          <c:idx val="4"/>
          <c:order val="4"/>
          <c:tx>
            <c:strRef>
              <c:f>CAVCapMultiplier!$Y$34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CAVCapMultiplier!$Z$34:$AB$34</c:f>
              <c:numCache>
                <c:formatCode>0.00</c:formatCode>
                <c:ptCount val="3"/>
                <c:pt idx="0">
                  <c:v>1.21</c:v>
                </c:pt>
                <c:pt idx="1">
                  <c:v>1.36</c:v>
                </c:pt>
                <c:pt idx="2">
                  <c:v>1.56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52-4593-9ACE-632C20E68E2A}"/>
            </c:ext>
          </c:extLst>
        </c:ser>
        <c:ser>
          <c:idx val="5"/>
          <c:order val="5"/>
          <c:tx>
            <c:strRef>
              <c:f>CAVCapMultiplier!$Y$35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CAVCapMultiplier!$Z$29:$AB$29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CAVCapMultiplier!$Z$35:$AB$35</c:f>
              <c:numCache>
                <c:formatCode>0.00</c:formatCode>
                <c:ptCount val="3"/>
                <c:pt idx="0">
                  <c:v>1.36</c:v>
                </c:pt>
                <c:pt idx="1">
                  <c:v>1.54</c:v>
                </c:pt>
                <c:pt idx="2">
                  <c:v>1.79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52-4593-9ACE-632C20E68E2A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CAVCapMultiplier!$AC$30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52-4593-9ACE-632C20E68E2A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CAVCapMultiplier!$AC$31</c:f>
              <c:numCache>
                <c:formatCode>0.00</c:formatCode>
                <c:ptCount val="1"/>
                <c:pt idx="0">
                  <c:v>1.18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52-4593-9ACE-632C20E68E2A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CAVCapMultiplier!$AC$32</c:f>
              <c:numCache>
                <c:formatCode>0.00</c:formatCode>
                <c:ptCount val="1"/>
                <c:pt idx="0">
                  <c:v>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52-4593-9ACE-632C20E68E2A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CAVCapMultiplier!$AC$33</c:f>
              <c:numCache>
                <c:formatCode>0.00</c:formatCode>
                <c:ptCount val="1"/>
                <c:pt idx="0">
                  <c:v>1.55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52-4593-9ACE-632C20E68E2A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CAVCapMultiplier!$AC$34</c:f>
              <c:numCache>
                <c:formatCode>0.00</c:formatCode>
                <c:ptCount val="1"/>
                <c:pt idx="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52-4593-9ACE-632C20E68E2A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CAVCapMultiplier!$AC$29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CAVCapMultiplier!$AC$35</c:f>
              <c:numCache>
                <c:formatCode>0.00</c:formatCode>
                <c:ptCount val="1"/>
                <c:pt idx="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52-4593-9ACE-632C20E68E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CAVCapMultiplier!$X$4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CAVCapMultiplier!$Y$7</c:f>
              <c:strCache>
                <c:ptCount val="1"/>
                <c:pt idx="0">
                  <c:v>MPR  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CAVCapMultiplier!$Z$6:$AB$6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CAVCapMultiplier!$Z$7:$AB$7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34-4953-8E15-54A1EE89ACFE}"/>
            </c:ext>
          </c:extLst>
        </c:ser>
        <c:ser>
          <c:idx val="1"/>
          <c:order val="1"/>
          <c:tx>
            <c:strRef>
              <c:f>CAVCapMultiplier!$Y$8</c:f>
              <c:strCache>
                <c:ptCount val="1"/>
                <c:pt idx="0">
                  <c:v>MPR  20%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CAVCapMultiplier!$Z$6:$AB$6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CAVCapMultiplier!$Z$8:$AB$8</c:f>
              <c:numCache>
                <c:formatCode>0.00</c:formatCode>
                <c:ptCount val="3"/>
                <c:pt idx="0">
                  <c:v>1.02</c:v>
                </c:pt>
                <c:pt idx="1">
                  <c:v>1.07</c:v>
                </c:pt>
                <c:pt idx="2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34-4953-8E15-54A1EE89ACFE}"/>
            </c:ext>
          </c:extLst>
        </c:ser>
        <c:ser>
          <c:idx val="2"/>
          <c:order val="2"/>
          <c:tx>
            <c:strRef>
              <c:f>CAVCapMultiplier!$Y$9</c:f>
              <c:strCache>
                <c:ptCount val="1"/>
                <c:pt idx="0">
                  <c:v>MPR  40%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CAVCapMultiplier!$Z$6:$AB$6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CAVCapMultiplier!$Z$9:$AB$9</c:f>
              <c:numCache>
                <c:formatCode>0.00</c:formatCode>
                <c:ptCount val="3"/>
                <c:pt idx="0">
                  <c:v>1.07</c:v>
                </c:pt>
                <c:pt idx="1">
                  <c:v>1.1499999999999999</c:v>
                </c:pt>
                <c:pt idx="2">
                  <c:v>1.27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34-4953-8E15-54A1EE89ACFE}"/>
            </c:ext>
          </c:extLst>
        </c:ser>
        <c:ser>
          <c:idx val="3"/>
          <c:order val="3"/>
          <c:tx>
            <c:strRef>
              <c:f>CAVCapMultiplier!$Y$10</c:f>
              <c:strCache>
                <c:ptCount val="1"/>
                <c:pt idx="0">
                  <c:v>MPR  60%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CAVCapMultiplier!$Z$6:$AB$6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CAVCapMultiplier!$Z$10:$AB$10</c:f>
              <c:numCache>
                <c:formatCode>0.00</c:formatCode>
                <c:ptCount val="3"/>
                <c:pt idx="0">
                  <c:v>1.1299999999999999</c:v>
                </c:pt>
                <c:pt idx="1">
                  <c:v>1.25</c:v>
                </c:pt>
                <c:pt idx="2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F34-4953-8E15-54A1EE89ACFE}"/>
            </c:ext>
          </c:extLst>
        </c:ser>
        <c:ser>
          <c:idx val="4"/>
          <c:order val="4"/>
          <c:tx>
            <c:strRef>
              <c:f>CAVCapMultiplier!$Y$11</c:f>
              <c:strCache>
                <c:ptCount val="1"/>
                <c:pt idx="0">
                  <c:v>MPR  80%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CAVCapMultiplier!$Z$6:$AB$6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CAVCapMultiplier!$Z$11:$AB$11</c:f>
              <c:numCache>
                <c:formatCode>0.00</c:formatCode>
                <c:ptCount val="3"/>
                <c:pt idx="0">
                  <c:v>1.22</c:v>
                </c:pt>
                <c:pt idx="1">
                  <c:v>1.37</c:v>
                </c:pt>
                <c:pt idx="2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F34-4953-8E15-54A1EE89ACFE}"/>
            </c:ext>
          </c:extLst>
        </c:ser>
        <c:ser>
          <c:idx val="5"/>
          <c:order val="5"/>
          <c:tx>
            <c:strRef>
              <c:f>CAVCapMultiplier!$Y$12</c:f>
              <c:strCache>
                <c:ptCount val="1"/>
                <c:pt idx="0">
                  <c:v>MPR  100%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backward val="400"/>
            <c:dispRSqr val="0"/>
            <c:dispEq val="0"/>
          </c:trendline>
          <c:xVal>
            <c:numRef>
              <c:f>CAVCapMultiplier!$Z$6:$AB$6</c:f>
              <c:numCache>
                <c:formatCode>#,##0</c:formatCode>
                <c:ptCount val="3"/>
                <c:pt idx="0">
                  <c:v>2400</c:v>
                </c:pt>
                <c:pt idx="1">
                  <c:v>2100</c:v>
                </c:pt>
                <c:pt idx="2">
                  <c:v>1800</c:v>
                </c:pt>
              </c:numCache>
            </c:numRef>
          </c:xVal>
          <c:yVal>
            <c:numRef>
              <c:f>CAVCapMultiplier!$Z$12:$AB$12</c:f>
              <c:numCache>
                <c:formatCode>0.00</c:formatCode>
                <c:ptCount val="3"/>
                <c:pt idx="0">
                  <c:v>1.34</c:v>
                </c:pt>
                <c:pt idx="1">
                  <c:v>1.52</c:v>
                </c:pt>
                <c:pt idx="2">
                  <c:v>1.81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F34-4953-8E15-54A1EE89ACF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CAVCapMultiplier!$AC$7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34-4953-8E15-54A1EE89ACF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CAVCapMultiplier!$AC$8</c:f>
              <c:numCache>
                <c:formatCode>0.00</c:formatCode>
                <c:ptCount val="1"/>
                <c:pt idx="0">
                  <c:v>1.22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34-4953-8E15-54A1EE89ACF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CAVCapMultiplier!$AC$9</c:f>
              <c:numCache>
                <c:formatCode>0.00</c:formatCode>
                <c:ptCount val="1"/>
                <c:pt idx="0">
                  <c:v>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34-4953-8E15-54A1EE89ACF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rgbClr val="FFC000"/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CAVCapMultiplier!$AC$10</c:f>
              <c:numCache>
                <c:formatCode>0.00</c:formatCode>
                <c:ptCount val="1"/>
                <c:pt idx="0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34-4953-8E15-54A1EE89ACF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CAVCapMultiplier!$AC$11</c:f>
              <c:numCache>
                <c:formatCode>0.00</c:formatCode>
                <c:ptCount val="1"/>
                <c:pt idx="0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F34-4953-8E15-54A1EE89ACF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81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CAVCapMultiplier!$AC$6</c:f>
              <c:numCache>
                <c:formatCode>#,##0</c:formatCode>
                <c:ptCount val="1"/>
                <c:pt idx="0">
                  <c:v>1500</c:v>
                </c:pt>
              </c:numCache>
            </c:numRef>
          </c:xVal>
          <c:yVal>
            <c:numRef>
              <c:f>CAVCapMultiplier!$AC$12</c:f>
              <c:numCache>
                <c:formatCode>0.00</c:formatCode>
                <c:ptCount val="1"/>
                <c:pt idx="0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F34-4953-8E15-54A1EE89AC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63936640"/>
        <c:axId val="563936968"/>
      </c:scatterChart>
      <c:valAx>
        <c:axId val="563936640"/>
        <c:scaling>
          <c:orientation val="minMax"/>
          <c:max val="24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/>
              </a:p>
              <a:p>
                <a:pPr>
                  <a:defRPr sz="1200"/>
                </a:pPr>
                <a:r>
                  <a:rPr lang="en-US" sz="1200"/>
                  <a:t>Capacity (pc/h/ln)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968"/>
        <c:crosses val="autoZero"/>
        <c:crossBetween val="midCat"/>
        <c:majorUnit val="200"/>
        <c:minorUnit val="100"/>
      </c:valAx>
      <c:valAx>
        <c:axId val="563936968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Capacity Multiplier</a:t>
                </a:r>
              </a:p>
              <a:p>
                <a:pPr>
                  <a:defRPr sz="1200"/>
                </a:pP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3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1111723028841043"/>
          <c:y val="0.22426942353477208"/>
          <c:w val="0.17732207606997102"/>
          <c:h val="0.4832948937617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CAVCapMultiplier!$X$27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CAVCapMultiplier!$Z$29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CAVCapMultiplier!$Z$30:$Z$35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1.1200000000000001</c:v>
                </c:pt>
                <c:pt idx="4">
                  <c:v>1.21</c:v>
                </c:pt>
                <c:pt idx="5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9-4F76-9CF0-8551490CBC93}"/>
            </c:ext>
          </c:extLst>
        </c:ser>
        <c:ser>
          <c:idx val="1"/>
          <c:order val="1"/>
          <c:tx>
            <c:strRef>
              <c:f>CAVCapMultiplier!$AA$29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CAVCapMultiplier!$AA$30:$AA$35</c:f>
              <c:numCache>
                <c:formatCode>0.00</c:formatCode>
                <c:ptCount val="6"/>
                <c:pt idx="0">
                  <c:v>1</c:v>
                </c:pt>
                <c:pt idx="1">
                  <c:v>1.07</c:v>
                </c:pt>
                <c:pt idx="2">
                  <c:v>1.1499999999999999</c:v>
                </c:pt>
                <c:pt idx="3">
                  <c:v>1.23</c:v>
                </c:pt>
                <c:pt idx="4">
                  <c:v>1.36</c:v>
                </c:pt>
                <c:pt idx="5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9-4F76-9CF0-8551490CBC93}"/>
            </c:ext>
          </c:extLst>
        </c:ser>
        <c:ser>
          <c:idx val="2"/>
          <c:order val="2"/>
          <c:tx>
            <c:strRef>
              <c:f>CAVCapMultiplier!$AB$29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CAVCapMultiplier!$AB$30:$AB$35</c:f>
              <c:numCache>
                <c:formatCode>0.00</c:formatCode>
                <c:ptCount val="6"/>
                <c:pt idx="0">
                  <c:v>1</c:v>
                </c:pt>
                <c:pt idx="1">
                  <c:v>1.1299999999999999</c:v>
                </c:pt>
                <c:pt idx="2">
                  <c:v>1.25</c:v>
                </c:pt>
                <c:pt idx="3">
                  <c:v>1.37</c:v>
                </c:pt>
                <c:pt idx="4">
                  <c:v>1.56</c:v>
                </c:pt>
                <c:pt idx="5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9-4F76-9CF0-8551490CBC93}"/>
            </c:ext>
          </c:extLst>
        </c:ser>
        <c:ser>
          <c:idx val="3"/>
          <c:order val="3"/>
          <c:tx>
            <c:strRef>
              <c:f>CAVCapMultiplier!$AC$29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CAVCapMultiplier!$Y$30:$Y$35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CAVCapMultiplier!$AC$30:$AC$35</c:f>
              <c:numCache>
                <c:formatCode>0.00</c:formatCode>
                <c:ptCount val="6"/>
                <c:pt idx="0">
                  <c:v>1</c:v>
                </c:pt>
                <c:pt idx="1">
                  <c:v>1.18</c:v>
                </c:pt>
                <c:pt idx="2">
                  <c:v>1.36</c:v>
                </c:pt>
                <c:pt idx="3">
                  <c:v>1.55</c:v>
                </c:pt>
                <c:pt idx="4">
                  <c:v>1.8</c:v>
                </c:pt>
                <c:pt idx="5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9-4F76-9CF0-8551490C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CAVCapMultiplier!$X$4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CAVCapMultiplier!$Z$6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CAVCapMultiplier!$Y$7:$Y$12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CAVCapMultiplier!$Z$7:$Z$12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1.1299999999999999</c:v>
                </c:pt>
                <c:pt idx="4">
                  <c:v>1.22</c:v>
                </c:pt>
                <c:pt idx="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3-4CB1-8257-2C98BE2A87AB}"/>
            </c:ext>
          </c:extLst>
        </c:ser>
        <c:ser>
          <c:idx val="1"/>
          <c:order val="1"/>
          <c:tx>
            <c:strRef>
              <c:f>CAVCapMultiplier!$AA$6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CAVCapMultiplier!$Y$7:$Y$12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CAVCapMultiplier!$AA$7:$AA$12</c:f>
              <c:numCache>
                <c:formatCode>0.00</c:formatCode>
                <c:ptCount val="6"/>
                <c:pt idx="0">
                  <c:v>1</c:v>
                </c:pt>
                <c:pt idx="1">
                  <c:v>1.07</c:v>
                </c:pt>
                <c:pt idx="2">
                  <c:v>1.1499999999999999</c:v>
                </c:pt>
                <c:pt idx="3">
                  <c:v>1.25</c:v>
                </c:pt>
                <c:pt idx="4">
                  <c:v>1.37</c:v>
                </c:pt>
                <c:pt idx="5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3-4CB1-8257-2C98BE2A87AB}"/>
            </c:ext>
          </c:extLst>
        </c:ser>
        <c:ser>
          <c:idx val="2"/>
          <c:order val="2"/>
          <c:tx>
            <c:strRef>
              <c:f>CAVCapMultiplier!$AB$6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CAVCapMultiplier!$Y$7:$Y$12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CAVCapMultiplier!$AB$7:$AB$12</c:f>
              <c:numCache>
                <c:formatCode>0.00</c:formatCode>
                <c:ptCount val="6"/>
                <c:pt idx="0">
                  <c:v>1</c:v>
                </c:pt>
                <c:pt idx="1">
                  <c:v>1.1399999999999999</c:v>
                </c:pt>
                <c:pt idx="2">
                  <c:v>1.27</c:v>
                </c:pt>
                <c:pt idx="3">
                  <c:v>1.43</c:v>
                </c:pt>
                <c:pt idx="4">
                  <c:v>1.6</c:v>
                </c:pt>
                <c:pt idx="5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3-4CB1-8257-2C98BE2A87AB}"/>
            </c:ext>
          </c:extLst>
        </c:ser>
        <c:ser>
          <c:idx val="3"/>
          <c:order val="3"/>
          <c:tx>
            <c:strRef>
              <c:f>CAVCapMultiplier!$AC$6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CAVCapMultiplier!$Y$7:$Y$12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CAVCapMultiplier!$AC$7:$AC$12</c:f>
              <c:numCache>
                <c:formatCode>0.00</c:formatCode>
                <c:ptCount val="6"/>
                <c:pt idx="0">
                  <c:v>1</c:v>
                </c:pt>
                <c:pt idx="1">
                  <c:v>1.22</c:v>
                </c:pt>
                <c:pt idx="2">
                  <c:v>1.43</c:v>
                </c:pt>
                <c:pt idx="3">
                  <c:v>1.65</c:v>
                </c:pt>
                <c:pt idx="4">
                  <c:v>1.9</c:v>
                </c:pt>
                <c:pt idx="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73-4CB1-8257-2C98BE2A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CAVCapMultiplier!$X$27</c:f>
          <c:strCache>
            <c:ptCount val="1"/>
            <c:pt idx="0">
              <c:v>3+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CAVCapMultiplier!$BF$29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CAVCapMultiplier!$BF$30:$BF$35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1.1200000000000001</c:v>
                </c:pt>
                <c:pt idx="4">
                  <c:v>1.21</c:v>
                </c:pt>
                <c:pt idx="5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2-4D6E-9279-A57670EF6067}"/>
            </c:ext>
          </c:extLst>
        </c:ser>
        <c:ser>
          <c:idx val="1"/>
          <c:order val="1"/>
          <c:tx>
            <c:strRef>
              <c:f>CAVCapMultiplier!$BG$29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CAVCapMultiplier!$BG$30:$BG$35</c:f>
              <c:numCache>
                <c:formatCode>0.00</c:formatCode>
                <c:ptCount val="6"/>
                <c:pt idx="0">
                  <c:v>1</c:v>
                </c:pt>
                <c:pt idx="1">
                  <c:v>1.01</c:v>
                </c:pt>
                <c:pt idx="2">
                  <c:v>1.1000000000000001</c:v>
                </c:pt>
                <c:pt idx="3">
                  <c:v>1.23</c:v>
                </c:pt>
                <c:pt idx="4">
                  <c:v>1.36</c:v>
                </c:pt>
                <c:pt idx="5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2-4D6E-9279-A57670EF6067}"/>
            </c:ext>
          </c:extLst>
        </c:ser>
        <c:ser>
          <c:idx val="2"/>
          <c:order val="2"/>
          <c:tx>
            <c:strRef>
              <c:f>CAVCapMultiplier!$BH$29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CAVCapMultiplier!$BH$30:$BH$35</c:f>
              <c:numCache>
                <c:formatCode>0.00</c:formatCode>
                <c:ptCount val="6"/>
                <c:pt idx="0">
                  <c:v>1</c:v>
                </c:pt>
                <c:pt idx="1">
                  <c:v>1.1499999999999999</c:v>
                </c:pt>
                <c:pt idx="2">
                  <c:v>1.26</c:v>
                </c:pt>
                <c:pt idx="3">
                  <c:v>1.37</c:v>
                </c:pt>
                <c:pt idx="4">
                  <c:v>1.56</c:v>
                </c:pt>
                <c:pt idx="5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2-4D6E-9279-A57670EF6067}"/>
            </c:ext>
          </c:extLst>
        </c:ser>
        <c:ser>
          <c:idx val="3"/>
          <c:order val="3"/>
          <c:tx>
            <c:strRef>
              <c:f>CAVCapMultiplier!$BI$29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CAVCapMultiplier!$BE$30:$BE$35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CAVCapMultiplier!$BI$30:$BI$35</c:f>
              <c:numCache>
                <c:formatCode>0.00</c:formatCode>
                <c:ptCount val="6"/>
                <c:pt idx="0">
                  <c:v>1</c:v>
                </c:pt>
                <c:pt idx="1">
                  <c:v>1.45</c:v>
                </c:pt>
                <c:pt idx="2">
                  <c:v>1.5</c:v>
                </c:pt>
                <c:pt idx="3">
                  <c:v>1.55</c:v>
                </c:pt>
                <c:pt idx="4">
                  <c:v>1.8</c:v>
                </c:pt>
                <c:pt idx="5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22-4D6E-9279-A57670EF6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strRef>
          <c:f>CAVCapMultiplier!$X$4</c:f>
          <c:strCache>
            <c:ptCount val="1"/>
            <c:pt idx="0">
              <c:v>2 Lane Facilities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CAVCapMultiplier!$BF$6</c:f>
              <c:strCache>
                <c:ptCount val="1"/>
                <c:pt idx="0">
                  <c:v>2,400</c:v>
                </c:pt>
              </c:strCache>
            </c:strRef>
          </c:tx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strRef>
              <c:f>CAVCapMultiplier!$BE$7:$BE$12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CAVCapMultiplier!$BF$7:$BF$12</c:f>
              <c:numCache>
                <c:formatCode>0.00</c:formatCode>
                <c:ptCount val="6"/>
                <c:pt idx="0">
                  <c:v>1</c:v>
                </c:pt>
                <c:pt idx="1">
                  <c:v>1.02</c:v>
                </c:pt>
                <c:pt idx="2">
                  <c:v>1.07</c:v>
                </c:pt>
                <c:pt idx="3">
                  <c:v>1.1299999999999999</c:v>
                </c:pt>
                <c:pt idx="4">
                  <c:v>1.22</c:v>
                </c:pt>
                <c:pt idx="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2-4F8A-B0B5-D6AA67EEEC82}"/>
            </c:ext>
          </c:extLst>
        </c:ser>
        <c:ser>
          <c:idx val="1"/>
          <c:order val="1"/>
          <c:tx>
            <c:strRef>
              <c:f>CAVCapMultiplier!$BG$6</c:f>
              <c:strCache>
                <c:ptCount val="1"/>
                <c:pt idx="0">
                  <c:v>2,100</c:v>
                </c:pt>
              </c:strCache>
            </c:strRef>
          </c:tx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strRef>
              <c:f>CAVCapMultiplier!$BE$7:$BE$12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CAVCapMultiplier!$BG$7:$BG$12</c:f>
              <c:numCache>
                <c:formatCode>0.00</c:formatCode>
                <c:ptCount val="6"/>
                <c:pt idx="0">
                  <c:v>1</c:v>
                </c:pt>
                <c:pt idx="1">
                  <c:v>1.03</c:v>
                </c:pt>
                <c:pt idx="2">
                  <c:v>1.1000000000000001</c:v>
                </c:pt>
                <c:pt idx="3">
                  <c:v>1.26</c:v>
                </c:pt>
                <c:pt idx="4">
                  <c:v>1.37</c:v>
                </c:pt>
                <c:pt idx="5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2-4F8A-B0B5-D6AA67EEEC82}"/>
            </c:ext>
          </c:extLst>
        </c:ser>
        <c:ser>
          <c:idx val="2"/>
          <c:order val="2"/>
          <c:tx>
            <c:strRef>
              <c:f>CAVCapMultiplier!$BH$6</c:f>
              <c:strCache>
                <c:ptCount val="1"/>
                <c:pt idx="0">
                  <c:v>1,800</c:v>
                </c:pt>
              </c:strCache>
            </c:strRef>
          </c:tx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strRef>
              <c:f>CAVCapMultiplier!$BE$7:$BE$12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CAVCapMultiplier!$BH$7:$BH$12</c:f>
              <c:numCache>
                <c:formatCode>0.00</c:formatCode>
                <c:ptCount val="6"/>
                <c:pt idx="0">
                  <c:v>1</c:v>
                </c:pt>
                <c:pt idx="1">
                  <c:v>1.1399999999999999</c:v>
                </c:pt>
                <c:pt idx="2">
                  <c:v>1.27</c:v>
                </c:pt>
                <c:pt idx="3">
                  <c:v>1.43</c:v>
                </c:pt>
                <c:pt idx="4">
                  <c:v>1.63</c:v>
                </c:pt>
                <c:pt idx="5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2-4F8A-B0B5-D6AA67EEEC82}"/>
            </c:ext>
          </c:extLst>
        </c:ser>
        <c:ser>
          <c:idx val="3"/>
          <c:order val="3"/>
          <c:tx>
            <c:strRef>
              <c:f>CAVCapMultiplier!$BI$6</c:f>
              <c:strCache>
                <c:ptCount val="1"/>
                <c:pt idx="0">
                  <c:v>1,500</c:v>
                </c:pt>
              </c:strCache>
            </c:strRef>
          </c:tx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strRef>
              <c:f>CAVCapMultiplier!$BE$7:$BE$12</c:f>
              <c:strCache>
                <c:ptCount val="6"/>
                <c:pt idx="0">
                  <c:v>MPR  0%</c:v>
                </c:pt>
                <c:pt idx="1">
                  <c:v>MPR  20%</c:v>
                </c:pt>
                <c:pt idx="2">
                  <c:v>MPR  40%</c:v>
                </c:pt>
                <c:pt idx="3">
                  <c:v>MPR  60%</c:v>
                </c:pt>
                <c:pt idx="4">
                  <c:v>MPR  80%</c:v>
                </c:pt>
                <c:pt idx="5">
                  <c:v>MPR  100%</c:v>
                </c:pt>
              </c:strCache>
            </c:strRef>
          </c:cat>
          <c:val>
            <c:numRef>
              <c:f>CAVCapMultiplier!$BI$7:$BI$12</c:f>
              <c:numCache>
                <c:formatCode>0.00</c:formatCode>
                <c:ptCount val="6"/>
                <c:pt idx="0">
                  <c:v>1</c:v>
                </c:pt>
                <c:pt idx="1">
                  <c:v>1.35</c:v>
                </c:pt>
                <c:pt idx="2">
                  <c:v>1.58</c:v>
                </c:pt>
                <c:pt idx="3">
                  <c:v>1.65</c:v>
                </c:pt>
                <c:pt idx="4">
                  <c:v>2</c:v>
                </c:pt>
                <c:pt idx="5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82-4F8A-B0B5-D6AA67EE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51072"/>
        <c:axId val="180751400"/>
      </c:lineChart>
      <c:catAx>
        <c:axId val="1807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200" b="1"/>
              </a:p>
              <a:p>
                <a:pPr>
                  <a:defRPr sz="1200" b="1"/>
                </a:pPr>
                <a:r>
                  <a:rPr lang="en-US" sz="1200" b="1"/>
                  <a:t>Market</a:t>
                </a:r>
                <a:r>
                  <a:rPr lang="en-US" sz="1200" b="1" baseline="0"/>
                  <a:t> Penetration Rate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50057805274341"/>
              <c:y val="0.86635802469135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400"/>
        <c:crosses val="autoZero"/>
        <c:auto val="1"/>
        <c:lblAlgn val="ctr"/>
        <c:lblOffset val="100"/>
        <c:noMultiLvlLbl val="0"/>
      </c:catAx>
      <c:valAx>
        <c:axId val="180751400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Capacity</a:t>
                </a:r>
                <a:r>
                  <a:rPr lang="en-US" sz="1200" b="1" baseline="0"/>
                  <a:t> Multiplier</a:t>
                </a:r>
              </a:p>
              <a:p>
                <a:pPr>
                  <a:defRPr sz="1200" b="1"/>
                </a:pP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072"/>
        <c:crosses val="autoZero"/>
        <c:crossBetween val="midCat"/>
        <c:majorUnit val="0.4"/>
        <c:min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20</xdr:col>
      <xdr:colOff>449036</xdr:colOff>
      <xdr:row>42</xdr:row>
      <xdr:rowOff>40821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127A1C-BFA3-469F-8659-03AA9A0AB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87</xdr:col>
      <xdr:colOff>64293</xdr:colOff>
      <xdr:row>4</xdr:row>
      <xdr:rowOff>147637</xdr:rowOff>
    </xdr:from>
    <xdr:ext cx="7076309" cy="1971675"/>
    <xdr:pic>
      <xdr:nvPicPr>
        <xdr:cNvPr id="2" name="Picture 1">
          <a:extLst>
            <a:ext uri="{FF2B5EF4-FFF2-40B4-BE49-F238E27FC236}">
              <a16:creationId xmlns:a16="http://schemas.microsoft.com/office/drawing/2014/main" id="{E925C3A4-C471-4AE6-8C9B-509CB111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01762" y="1016793"/>
          <a:ext cx="7076309" cy="1971675"/>
        </a:xfrm>
        <a:prstGeom prst="rect">
          <a:avLst/>
        </a:prstGeom>
      </xdr:spPr>
    </xdr:pic>
    <xdr:clientData/>
  </xdr:oneCellAnchor>
  <xdr:twoCellAnchor>
    <xdr:from>
      <xdr:col>62</xdr:col>
      <xdr:colOff>0</xdr:colOff>
      <xdr:row>26</xdr:row>
      <xdr:rowOff>0</xdr:rowOff>
    </xdr:from>
    <xdr:to>
      <xdr:col>73</xdr:col>
      <xdr:colOff>54768</xdr:colOff>
      <xdr:row>47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A555A-DF0D-4F3A-ACC3-46F1E3815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62</xdr:col>
      <xdr:colOff>0</xdr:colOff>
      <xdr:row>2</xdr:row>
      <xdr:rowOff>190499</xdr:rowOff>
    </xdr:from>
    <xdr:to>
      <xdr:col>73</xdr:col>
      <xdr:colOff>54768</xdr:colOff>
      <xdr:row>24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BAFA4E-DB13-4443-B5DD-88B463630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26</xdr:row>
      <xdr:rowOff>0</xdr:rowOff>
    </xdr:from>
    <xdr:to>
      <xdr:col>41</xdr:col>
      <xdr:colOff>54769</xdr:colOff>
      <xdr:row>47</xdr:row>
      <xdr:rowOff>114299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3C6AFB-4385-459B-9B34-064A85BE0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2</xdr:row>
      <xdr:rowOff>190499</xdr:rowOff>
    </xdr:from>
    <xdr:to>
      <xdr:col>41</xdr:col>
      <xdr:colOff>54769</xdr:colOff>
      <xdr:row>24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D5B9AC-EF7F-4304-A455-25AE1D978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26</xdr:row>
      <xdr:rowOff>0</xdr:rowOff>
    </xdr:from>
    <xdr:to>
      <xdr:col>53</xdr:col>
      <xdr:colOff>54769</xdr:colOff>
      <xdr:row>47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D255AE-EC53-47BE-BC94-64CA9EB8C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3</xdr:row>
      <xdr:rowOff>0</xdr:rowOff>
    </xdr:from>
    <xdr:to>
      <xdr:col>53</xdr:col>
      <xdr:colOff>54769</xdr:colOff>
      <xdr:row>24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C176EE-5871-4928-843C-7579063AF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74</xdr:col>
      <xdr:colOff>0</xdr:colOff>
      <xdr:row>26</xdr:row>
      <xdr:rowOff>0</xdr:rowOff>
    </xdr:from>
    <xdr:to>
      <xdr:col>85</xdr:col>
      <xdr:colOff>54769</xdr:colOff>
      <xdr:row>47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0BF6D3-9D7C-4612-AB0C-A12EF9C5B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74</xdr:col>
      <xdr:colOff>0</xdr:colOff>
      <xdr:row>3</xdr:row>
      <xdr:rowOff>0</xdr:rowOff>
    </xdr:from>
    <xdr:to>
      <xdr:col>85</xdr:col>
      <xdr:colOff>54769</xdr:colOff>
      <xdr:row>24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0FF41A-2D3B-48D4-A41B-38510F726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%20-%20WFRC\20010%20-%20RTP%20-%202023-2050\01_External%20Forces\01b_CAVs\CAVCapacities%20-%202021-02-11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"/>
      <sheetName val="CAVCapMultiplier"/>
      <sheetName val="TDM_Cap1hr1ln V8.3"/>
    </sheetNames>
    <sheetDataSet>
      <sheetData sheetId="0"/>
      <sheetData sheetId="1">
        <row r="5">
          <cell r="X5" t="str">
            <v>3+ Lane Facilities</v>
          </cell>
        </row>
      </sheetData>
      <sheetData sheetId="2">
        <row r="55">
          <cell r="C55" t="str">
            <v>_SatRate</v>
          </cell>
          <cell r="D55" t="str">
            <v>Fhv</v>
          </cell>
          <cell r="E55" t="str">
            <v>Fgrn</v>
          </cell>
        </row>
        <row r="56">
          <cell r="B56" t="str">
            <v>Principal Arterial</v>
          </cell>
          <cell r="C56">
            <v>1900</v>
          </cell>
          <cell r="D56">
            <v>1</v>
          </cell>
          <cell r="E56">
            <v>0.52</v>
          </cell>
        </row>
        <row r="57">
          <cell r="B57" t="str">
            <v>Minor Arterial</v>
          </cell>
          <cell r="C57">
            <v>1900</v>
          </cell>
          <cell r="D57">
            <v>1</v>
          </cell>
          <cell r="E57">
            <v>0.48</v>
          </cell>
        </row>
        <row r="58">
          <cell r="B58" t="str">
            <v>Major Collector</v>
          </cell>
          <cell r="C58">
            <v>1700</v>
          </cell>
          <cell r="D58">
            <v>1</v>
          </cell>
          <cell r="E58">
            <v>0.44</v>
          </cell>
        </row>
        <row r="59">
          <cell r="B59" t="str">
            <v>Minor Collector</v>
          </cell>
          <cell r="C59">
            <v>1500</v>
          </cell>
          <cell r="D59">
            <v>1</v>
          </cell>
          <cell r="E59">
            <v>0.35</v>
          </cell>
        </row>
        <row r="61">
          <cell r="B61" t="str">
            <v>Expressway, posted 60-70 mph</v>
          </cell>
          <cell r="C61">
            <v>1900</v>
          </cell>
          <cell r="D61">
            <v>1</v>
          </cell>
          <cell r="E61">
            <v>0.57999999999999996</v>
          </cell>
        </row>
        <row r="62">
          <cell r="B62" t="str">
            <v>Expressway, posted 55-65 mph</v>
          </cell>
          <cell r="C62">
            <v>1900</v>
          </cell>
          <cell r="D62">
            <v>1</v>
          </cell>
          <cell r="E62">
            <v>0.56000000000000005</v>
          </cell>
        </row>
        <row r="63">
          <cell r="B63" t="str">
            <v>Expressway, posted 50-60 mph</v>
          </cell>
          <cell r="C63">
            <v>1900</v>
          </cell>
          <cell r="D63">
            <v>1</v>
          </cell>
          <cell r="E63">
            <v>0.54</v>
          </cell>
        </row>
        <row r="64">
          <cell r="B64" t="str">
            <v>Expressway, posted 45-55 mph</v>
          </cell>
          <cell r="C64">
            <v>1900</v>
          </cell>
          <cell r="D64">
            <v>1</v>
          </cell>
          <cell r="E64">
            <v>0.52</v>
          </cell>
        </row>
        <row r="77">
          <cell r="C77" t="str">
            <v>Rural</v>
          </cell>
          <cell r="D77" t="str">
            <v>Transition</v>
          </cell>
          <cell r="E77" t="str">
            <v>Suburban</v>
          </cell>
          <cell r="F77" t="str">
            <v>Urban</v>
          </cell>
          <cell r="G77" t="str">
            <v>CBD</v>
          </cell>
        </row>
        <row r="78">
          <cell r="B78" t="str">
            <v>Area Type</v>
          </cell>
          <cell r="C78">
            <v>1.1000000000000001</v>
          </cell>
          <cell r="D78">
            <v>1.05</v>
          </cell>
          <cell r="E78">
            <v>1</v>
          </cell>
          <cell r="F78">
            <v>0.95</v>
          </cell>
          <cell r="G78">
            <v>0.9</v>
          </cell>
        </row>
        <row r="85">
          <cell r="C85" t="str">
            <v>Sat</v>
          </cell>
          <cell r="D85" t="str">
            <v>Aux</v>
          </cell>
          <cell r="G85" t="str">
            <v>Fle</v>
          </cell>
        </row>
        <row r="86">
          <cell r="B86" t="str">
            <v>MM: all facilities</v>
          </cell>
          <cell r="C86">
            <v>2100</v>
          </cell>
          <cell r="D86">
            <v>700</v>
          </cell>
          <cell r="F86" t="str">
            <v>1 lane</v>
          </cell>
          <cell r="G86">
            <v>1</v>
          </cell>
        </row>
        <row r="87">
          <cell r="B87" t="str">
            <v>Fwy: fwy-to-fwy loop ramp</v>
          </cell>
          <cell r="C87">
            <v>1395</v>
          </cell>
          <cell r="D87">
            <v>0</v>
          </cell>
          <cell r="F87" t="str">
            <v>2 lanes</v>
          </cell>
          <cell r="G87">
            <v>1</v>
          </cell>
        </row>
        <row r="88">
          <cell r="B88" t="str">
            <v>Fwy: C-D road, flyover ramp</v>
          </cell>
          <cell r="C88">
            <v>1550</v>
          </cell>
          <cell r="D88">
            <v>0</v>
          </cell>
          <cell r="F88" t="str">
            <v>3 lanes</v>
          </cell>
          <cell r="G88">
            <v>1</v>
          </cell>
        </row>
        <row r="89">
          <cell r="B89" t="str">
            <v>Fwy: posted 55-60 mph</v>
          </cell>
          <cell r="C89">
            <v>1782.5</v>
          </cell>
          <cell r="D89">
            <v>0</v>
          </cell>
          <cell r="F89" t="str">
            <v>4 lanes</v>
          </cell>
          <cell r="G89">
            <v>0.98</v>
          </cell>
        </row>
        <row r="90">
          <cell r="B90" t="str">
            <v>Fwy: posted 65 mph, no aux lane</v>
          </cell>
          <cell r="C90">
            <v>1821.25</v>
          </cell>
          <cell r="D90">
            <v>0</v>
          </cell>
          <cell r="F90" t="str">
            <v>5 lanes</v>
          </cell>
          <cell r="G90">
            <v>0.95</v>
          </cell>
        </row>
        <row r="91">
          <cell r="B91" t="str">
            <v>Fwy: posted 65 mph, aux lane</v>
          </cell>
          <cell r="C91">
            <v>1821.25</v>
          </cell>
          <cell r="D91">
            <v>700</v>
          </cell>
          <cell r="F91" t="str">
            <v>6 lanes</v>
          </cell>
          <cell r="G91">
            <v>0.91</v>
          </cell>
        </row>
        <row r="92">
          <cell r="B92" t="str">
            <v>Fwy: posted 75 mph, no aux lane</v>
          </cell>
          <cell r="C92">
            <v>1860</v>
          </cell>
          <cell r="D92">
            <v>0</v>
          </cell>
          <cell r="F92" t="str">
            <v>7 lanes</v>
          </cell>
          <cell r="G92">
            <v>0.88</v>
          </cell>
        </row>
        <row r="93">
          <cell r="B93" t="str">
            <v>Fwy: posted 75 mph, aux lane</v>
          </cell>
          <cell r="C93">
            <v>1860</v>
          </cell>
          <cell r="D93">
            <v>700</v>
          </cell>
        </row>
        <row r="94">
          <cell r="B94" t="str">
            <v>Fwy: HOV lane</v>
          </cell>
          <cell r="C94">
            <v>1860</v>
          </cell>
          <cell r="D94">
            <v>0</v>
          </cell>
        </row>
        <row r="95">
          <cell r="B95" t="str">
            <v>Fwy: Toll lanes</v>
          </cell>
          <cell r="C95">
            <v>1860</v>
          </cell>
          <cell r="D95">
            <v>0</v>
          </cell>
        </row>
        <row r="96">
          <cell r="B96" t="str">
            <v>Fwy: Managed Ln access</v>
          </cell>
          <cell r="C96">
            <v>1860</v>
          </cell>
          <cell r="D96">
            <v>0</v>
          </cell>
        </row>
        <row r="97">
          <cell r="B97" t="str">
            <v>Fwy: Tollway</v>
          </cell>
          <cell r="C97">
            <v>1860</v>
          </cell>
          <cell r="D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kittelson.com/ideas/how-connected-automated-vehicles-may-change-freeway-capac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26D1-6246-4D54-90F9-81B4E5D8BE0A}">
  <sheetPr>
    <tabColor rgb="FFC00000"/>
  </sheetPr>
  <dimension ref="A1:V18"/>
  <sheetViews>
    <sheetView tabSelected="1" zoomScale="80" zoomScaleNormal="80" workbookViewId="0">
      <selection activeCell="A4" sqref="A4"/>
    </sheetView>
  </sheetViews>
  <sheetFormatPr defaultRowHeight="15" x14ac:dyDescent="0.25"/>
  <cols>
    <col min="1" max="1" width="12.7109375" style="3" customWidth="1"/>
    <col min="2" max="22" width="12.28515625" style="3" customWidth="1"/>
    <col min="23" max="16384" width="9.140625" style="3"/>
  </cols>
  <sheetData>
    <row r="1" spans="1:22" s="1" customFormat="1" ht="23.25" x14ac:dyDescent="0.35">
      <c r="A1" s="1" t="s">
        <v>0</v>
      </c>
    </row>
    <row r="2" spans="1:22" x14ac:dyDescent="0.25">
      <c r="A2" s="2" t="s">
        <v>1</v>
      </c>
    </row>
    <row r="3" spans="1:22" x14ac:dyDescent="0.25">
      <c r="A3" s="2" t="s">
        <v>2</v>
      </c>
    </row>
    <row r="4" spans="1:22" x14ac:dyDescent="0.25">
      <c r="A4" s="2"/>
    </row>
    <row r="5" spans="1:22" x14ac:dyDescent="0.25">
      <c r="A5" s="28" t="s">
        <v>56</v>
      </c>
    </row>
    <row r="6" spans="1:22" x14ac:dyDescent="0.25">
      <c r="A6" s="27" t="s">
        <v>58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7</v>
      </c>
      <c r="G6" s="24" t="s">
        <v>8</v>
      </c>
      <c r="H6" s="24" t="s">
        <v>9</v>
      </c>
      <c r="I6" s="24" t="s">
        <v>10</v>
      </c>
      <c r="J6" s="24" t="s">
        <v>11</v>
      </c>
      <c r="K6" s="24" t="s">
        <v>12</v>
      </c>
      <c r="L6" s="24" t="s">
        <v>13</v>
      </c>
      <c r="M6" s="24" t="s">
        <v>14</v>
      </c>
      <c r="N6" s="24" t="s">
        <v>15</v>
      </c>
      <c r="O6" s="24" t="s">
        <v>16</v>
      </c>
      <c r="P6" s="24" t="s">
        <v>17</v>
      </c>
      <c r="Q6" s="24" t="s">
        <v>18</v>
      </c>
      <c r="R6" s="24" t="s">
        <v>19</v>
      </c>
      <c r="S6" s="24" t="s">
        <v>20</v>
      </c>
      <c r="T6" s="24" t="s">
        <v>21</v>
      </c>
      <c r="U6" s="24" t="s">
        <v>22</v>
      </c>
      <c r="V6" s="24" t="s">
        <v>23</v>
      </c>
    </row>
    <row r="7" spans="1:22" x14ac:dyDescent="0.25">
      <c r="A7" s="5">
        <f>CAVCapMultiplier!A7</f>
        <v>1500</v>
      </c>
      <c r="B7" s="5">
        <f>CAVCapMultiplier!B7</f>
        <v>1</v>
      </c>
      <c r="C7" s="5">
        <f>CAVCapMultiplier!C7</f>
        <v>1.0549999999999999</v>
      </c>
      <c r="D7" s="5">
        <f>CAVCapMultiplier!D7</f>
        <v>1.1100000000000001</v>
      </c>
      <c r="E7" s="5">
        <f>CAVCapMultiplier!E7</f>
        <v>1.165</v>
      </c>
      <c r="F7" s="5">
        <f>CAVCapMultiplier!F7</f>
        <v>1.22</v>
      </c>
      <c r="G7" s="5">
        <f>CAVCapMultiplier!G7</f>
        <v>1.2729999999999999</v>
      </c>
      <c r="H7" s="5">
        <f>CAVCapMultiplier!H7</f>
        <v>1.325</v>
      </c>
      <c r="I7" s="5">
        <f>CAVCapMultiplier!I7</f>
        <v>1.3779999999999999</v>
      </c>
      <c r="J7" s="5">
        <f>CAVCapMultiplier!J7</f>
        <v>1.43</v>
      </c>
      <c r="K7" s="5">
        <f>CAVCapMultiplier!K7</f>
        <v>1.4850000000000001</v>
      </c>
      <c r="L7" s="5">
        <f>CAVCapMultiplier!L7</f>
        <v>1.54</v>
      </c>
      <c r="M7" s="5">
        <f>CAVCapMultiplier!M7</f>
        <v>1.595</v>
      </c>
      <c r="N7" s="5">
        <f>CAVCapMultiplier!N7</f>
        <v>1.65</v>
      </c>
      <c r="O7" s="5">
        <f>CAVCapMultiplier!O7</f>
        <v>1.7130000000000001</v>
      </c>
      <c r="P7" s="5">
        <f>CAVCapMultiplier!P7</f>
        <v>1.7749999999999999</v>
      </c>
      <c r="Q7" s="5">
        <f>CAVCapMultiplier!Q7</f>
        <v>1.8380000000000001</v>
      </c>
      <c r="R7" s="5">
        <f>CAVCapMultiplier!R7</f>
        <v>1.9</v>
      </c>
      <c r="S7" s="5">
        <f>CAVCapMultiplier!S7</f>
        <v>1.9750000000000001</v>
      </c>
      <c r="T7" s="5">
        <f>CAVCapMultiplier!T7</f>
        <v>2.0499999999999998</v>
      </c>
      <c r="U7" s="5">
        <f>CAVCapMultiplier!U7</f>
        <v>2.125</v>
      </c>
      <c r="V7" s="5">
        <f>CAVCapMultiplier!V7</f>
        <v>2.2000000000000002</v>
      </c>
    </row>
    <row r="8" spans="1:22" x14ac:dyDescent="0.25">
      <c r="A8" s="5">
        <f>CAVCapMultiplier!A8</f>
        <v>1800</v>
      </c>
      <c r="B8" s="5">
        <f>CAVCapMultiplier!B8</f>
        <v>1</v>
      </c>
      <c r="C8" s="5">
        <f>CAVCapMultiplier!C8</f>
        <v>1.0349999999999999</v>
      </c>
      <c r="D8" s="5">
        <f>CAVCapMultiplier!D8</f>
        <v>1.07</v>
      </c>
      <c r="E8" s="5">
        <f>CAVCapMultiplier!E8</f>
        <v>1.105</v>
      </c>
      <c r="F8" s="5">
        <f>CAVCapMultiplier!F8</f>
        <v>1.1399999999999999</v>
      </c>
      <c r="G8" s="5">
        <f>CAVCapMultiplier!G8</f>
        <v>1.173</v>
      </c>
      <c r="H8" s="5">
        <f>CAVCapMultiplier!H8</f>
        <v>1.2050000000000001</v>
      </c>
      <c r="I8" s="5">
        <f>CAVCapMultiplier!I8</f>
        <v>1.238</v>
      </c>
      <c r="J8" s="5">
        <f>CAVCapMultiplier!J8</f>
        <v>1.27</v>
      </c>
      <c r="K8" s="5">
        <f>CAVCapMultiplier!K8</f>
        <v>1.31</v>
      </c>
      <c r="L8" s="5">
        <f>CAVCapMultiplier!L8</f>
        <v>1.35</v>
      </c>
      <c r="M8" s="5">
        <f>CAVCapMultiplier!M8</f>
        <v>1.39</v>
      </c>
      <c r="N8" s="5">
        <f>CAVCapMultiplier!N8</f>
        <v>1.43</v>
      </c>
      <c r="O8" s="5">
        <f>CAVCapMultiplier!O8</f>
        <v>1.4730000000000001</v>
      </c>
      <c r="P8" s="5">
        <f>CAVCapMultiplier!P8</f>
        <v>1.5149999999999999</v>
      </c>
      <c r="Q8" s="5">
        <f>CAVCapMultiplier!Q8</f>
        <v>1.5580000000000001</v>
      </c>
      <c r="R8" s="5">
        <f>CAVCapMultiplier!R8</f>
        <v>1.6</v>
      </c>
      <c r="S8" s="5">
        <f>CAVCapMultiplier!S8</f>
        <v>1.653</v>
      </c>
      <c r="T8" s="5">
        <f>CAVCapMultiplier!T8</f>
        <v>1.7050000000000001</v>
      </c>
      <c r="U8" s="5">
        <f>CAVCapMultiplier!U8</f>
        <v>1.758</v>
      </c>
      <c r="V8" s="5">
        <f>CAVCapMultiplier!V8</f>
        <v>1.81</v>
      </c>
    </row>
    <row r="9" spans="1:22" x14ac:dyDescent="0.25">
      <c r="A9" s="5">
        <f>CAVCapMultiplier!A9</f>
        <v>2100</v>
      </c>
      <c r="B9" s="5">
        <f>CAVCapMultiplier!B9</f>
        <v>1</v>
      </c>
      <c r="C9" s="5">
        <f>CAVCapMultiplier!C9</f>
        <v>1.018</v>
      </c>
      <c r="D9" s="5">
        <f>CAVCapMultiplier!D9</f>
        <v>1.0349999999999999</v>
      </c>
      <c r="E9" s="5">
        <f>CAVCapMultiplier!E9</f>
        <v>1.0529999999999999</v>
      </c>
      <c r="F9" s="5">
        <f>CAVCapMultiplier!F9</f>
        <v>1.07</v>
      </c>
      <c r="G9" s="5">
        <f>CAVCapMultiplier!G9</f>
        <v>1.0900000000000001</v>
      </c>
      <c r="H9" s="5">
        <f>CAVCapMultiplier!H9</f>
        <v>1.1100000000000001</v>
      </c>
      <c r="I9" s="5">
        <f>CAVCapMultiplier!I9</f>
        <v>1.1299999999999999</v>
      </c>
      <c r="J9" s="5">
        <f>CAVCapMultiplier!J9</f>
        <v>1.1499999999999999</v>
      </c>
      <c r="K9" s="5">
        <f>CAVCapMultiplier!K9</f>
        <v>1.175</v>
      </c>
      <c r="L9" s="5">
        <f>CAVCapMultiplier!L9</f>
        <v>1.2</v>
      </c>
      <c r="M9" s="5">
        <f>CAVCapMultiplier!M9</f>
        <v>1.2250000000000001</v>
      </c>
      <c r="N9" s="5">
        <f>CAVCapMultiplier!N9</f>
        <v>1.25</v>
      </c>
      <c r="O9" s="5">
        <f>CAVCapMultiplier!O9</f>
        <v>1.28</v>
      </c>
      <c r="P9" s="5">
        <f>CAVCapMultiplier!P9</f>
        <v>1.31</v>
      </c>
      <c r="Q9" s="5">
        <f>CAVCapMultiplier!Q9</f>
        <v>1.34</v>
      </c>
      <c r="R9" s="5">
        <f>CAVCapMultiplier!R9</f>
        <v>1.37</v>
      </c>
      <c r="S9" s="5">
        <f>CAVCapMultiplier!S9</f>
        <v>1.4079999999999999</v>
      </c>
      <c r="T9" s="5">
        <f>CAVCapMultiplier!T9</f>
        <v>1.4450000000000001</v>
      </c>
      <c r="U9" s="5">
        <f>CAVCapMultiplier!U9</f>
        <v>1.4830000000000001</v>
      </c>
      <c r="V9" s="5">
        <f>CAVCapMultiplier!V9</f>
        <v>1.52</v>
      </c>
    </row>
    <row r="10" spans="1:22" x14ac:dyDescent="0.25">
      <c r="A10" s="5">
        <f>CAVCapMultiplier!A10</f>
        <v>2400</v>
      </c>
      <c r="B10" s="5">
        <f>CAVCapMultiplier!B10</f>
        <v>1</v>
      </c>
      <c r="C10" s="5">
        <f>CAVCapMultiplier!C10</f>
        <v>1.0049999999999999</v>
      </c>
      <c r="D10" s="5">
        <f>CAVCapMultiplier!D10</f>
        <v>1.01</v>
      </c>
      <c r="E10" s="5">
        <f>CAVCapMultiplier!E10</f>
        <v>1.0149999999999999</v>
      </c>
      <c r="F10" s="5">
        <f>CAVCapMultiplier!F10</f>
        <v>1.02</v>
      </c>
      <c r="G10" s="5">
        <f>CAVCapMultiplier!G10</f>
        <v>1.0329999999999999</v>
      </c>
      <c r="H10" s="5">
        <f>CAVCapMultiplier!H10</f>
        <v>1.0449999999999999</v>
      </c>
      <c r="I10" s="5">
        <f>CAVCapMultiplier!I10</f>
        <v>1.0580000000000001</v>
      </c>
      <c r="J10" s="5">
        <f>CAVCapMultiplier!J10</f>
        <v>1.07</v>
      </c>
      <c r="K10" s="5">
        <f>CAVCapMultiplier!K10</f>
        <v>1.085</v>
      </c>
      <c r="L10" s="5">
        <f>CAVCapMultiplier!L10</f>
        <v>1.1000000000000001</v>
      </c>
      <c r="M10" s="5">
        <f>CAVCapMultiplier!M10</f>
        <v>1.115</v>
      </c>
      <c r="N10" s="5">
        <f>CAVCapMultiplier!N10</f>
        <v>1.1299999999999999</v>
      </c>
      <c r="O10" s="5">
        <f>CAVCapMultiplier!O10</f>
        <v>1.153</v>
      </c>
      <c r="P10" s="5">
        <f>CAVCapMultiplier!P10</f>
        <v>1.175</v>
      </c>
      <c r="Q10" s="5">
        <f>CAVCapMultiplier!Q10</f>
        <v>1.198</v>
      </c>
      <c r="R10" s="5">
        <f>CAVCapMultiplier!R10</f>
        <v>1.22</v>
      </c>
      <c r="S10" s="5">
        <f>CAVCapMultiplier!S10</f>
        <v>1.25</v>
      </c>
      <c r="T10" s="5">
        <f>CAVCapMultiplier!T10</f>
        <v>1.28</v>
      </c>
      <c r="U10" s="5">
        <f>CAVCapMultiplier!U10</f>
        <v>1.31</v>
      </c>
      <c r="V10" s="5">
        <f>CAVCapMultiplier!V10</f>
        <v>1.34</v>
      </c>
    </row>
    <row r="12" spans="1:22" x14ac:dyDescent="0.25">
      <c r="A12" s="28" t="s">
        <v>30</v>
      </c>
    </row>
    <row r="13" spans="1:22" x14ac:dyDescent="0.25">
      <c r="A13" s="27" t="s">
        <v>59</v>
      </c>
      <c r="B13" s="24" t="s">
        <v>3</v>
      </c>
      <c r="C13" s="24" t="s">
        <v>4</v>
      </c>
      <c r="D13" s="24" t="s">
        <v>5</v>
      </c>
      <c r="E13" s="24" t="s">
        <v>6</v>
      </c>
      <c r="F13" s="24" t="s">
        <v>7</v>
      </c>
      <c r="G13" s="24" t="s">
        <v>8</v>
      </c>
      <c r="H13" s="24" t="s">
        <v>9</v>
      </c>
      <c r="I13" s="24" t="s">
        <v>10</v>
      </c>
      <c r="J13" s="24" t="s">
        <v>11</v>
      </c>
      <c r="K13" s="24" t="s">
        <v>12</v>
      </c>
      <c r="L13" s="24" t="s">
        <v>13</v>
      </c>
      <c r="M13" s="24" t="s">
        <v>14</v>
      </c>
      <c r="N13" s="24" t="s">
        <v>15</v>
      </c>
      <c r="O13" s="24" t="s">
        <v>16</v>
      </c>
      <c r="P13" s="24" t="s">
        <v>17</v>
      </c>
      <c r="Q13" s="24" t="s">
        <v>18</v>
      </c>
      <c r="R13" s="24" t="s">
        <v>19</v>
      </c>
      <c r="S13" s="24" t="s">
        <v>20</v>
      </c>
      <c r="T13" s="24" t="s">
        <v>21</v>
      </c>
      <c r="U13" s="24" t="s">
        <v>22</v>
      </c>
      <c r="V13" s="24" t="s">
        <v>23</v>
      </c>
    </row>
    <row r="14" spans="1:22" x14ac:dyDescent="0.25">
      <c r="A14" s="5">
        <f>CAVCapMultiplier!A30</f>
        <v>1500</v>
      </c>
      <c r="B14" s="5">
        <f>CAVCapMultiplier!B30</f>
        <v>1</v>
      </c>
      <c r="C14" s="5">
        <f>CAVCapMultiplier!C30</f>
        <v>1.0449999999999999</v>
      </c>
      <c r="D14" s="5">
        <f>CAVCapMultiplier!D30</f>
        <v>1.0900000000000001</v>
      </c>
      <c r="E14" s="5">
        <f>CAVCapMultiplier!E30</f>
        <v>1.135</v>
      </c>
      <c r="F14" s="5">
        <f>CAVCapMultiplier!F30</f>
        <v>1.18</v>
      </c>
      <c r="G14" s="5">
        <f>CAVCapMultiplier!G30</f>
        <v>1.2250000000000001</v>
      </c>
      <c r="H14" s="5">
        <f>CAVCapMultiplier!H30</f>
        <v>1.27</v>
      </c>
      <c r="I14" s="5">
        <f>CAVCapMultiplier!I30</f>
        <v>1.3149999999999999</v>
      </c>
      <c r="J14" s="5">
        <f>CAVCapMultiplier!J30</f>
        <v>1.36</v>
      </c>
      <c r="K14" s="5">
        <f>CAVCapMultiplier!K30</f>
        <v>1.4079999999999999</v>
      </c>
      <c r="L14" s="5">
        <f>CAVCapMultiplier!L30</f>
        <v>1.4550000000000001</v>
      </c>
      <c r="M14" s="5">
        <f>CAVCapMultiplier!M30</f>
        <v>1.5029999999999999</v>
      </c>
      <c r="N14" s="5">
        <f>CAVCapMultiplier!N30</f>
        <v>1.55</v>
      </c>
      <c r="O14" s="5">
        <f>CAVCapMultiplier!O30</f>
        <v>1.613</v>
      </c>
      <c r="P14" s="5">
        <f>CAVCapMultiplier!P30</f>
        <v>1.675</v>
      </c>
      <c r="Q14" s="5">
        <f>CAVCapMultiplier!Q30</f>
        <v>1.738</v>
      </c>
      <c r="R14" s="5">
        <f>CAVCapMultiplier!R30</f>
        <v>1.8</v>
      </c>
      <c r="S14" s="5">
        <f>CAVCapMultiplier!S30</f>
        <v>1.875</v>
      </c>
      <c r="T14" s="5">
        <f>CAVCapMultiplier!T30</f>
        <v>1.95</v>
      </c>
      <c r="U14" s="5">
        <f>CAVCapMultiplier!U30</f>
        <v>2.0249999999999999</v>
      </c>
      <c r="V14" s="5">
        <f>CAVCapMultiplier!V30</f>
        <v>2.1</v>
      </c>
    </row>
    <row r="15" spans="1:22" x14ac:dyDescent="0.25">
      <c r="A15" s="5">
        <f>CAVCapMultiplier!A31</f>
        <v>1800</v>
      </c>
      <c r="B15" s="5">
        <f>CAVCapMultiplier!B31</f>
        <v>1</v>
      </c>
      <c r="C15" s="5">
        <f>CAVCapMultiplier!C31</f>
        <v>1.0329999999999999</v>
      </c>
      <c r="D15" s="5">
        <f>CAVCapMultiplier!D31</f>
        <v>1.0649999999999999</v>
      </c>
      <c r="E15" s="5">
        <f>CAVCapMultiplier!E31</f>
        <v>1.0980000000000001</v>
      </c>
      <c r="F15" s="5">
        <f>CAVCapMultiplier!F31</f>
        <v>1.1299999999999999</v>
      </c>
      <c r="G15" s="5">
        <f>CAVCapMultiplier!G31</f>
        <v>1.1599999999999999</v>
      </c>
      <c r="H15" s="5">
        <f>CAVCapMultiplier!H31</f>
        <v>1.19</v>
      </c>
      <c r="I15" s="5">
        <f>CAVCapMultiplier!I31</f>
        <v>1.22</v>
      </c>
      <c r="J15" s="5">
        <f>CAVCapMultiplier!J31</f>
        <v>1.25</v>
      </c>
      <c r="K15" s="5">
        <f>CAVCapMultiplier!K31</f>
        <v>1.28</v>
      </c>
      <c r="L15" s="5">
        <f>CAVCapMultiplier!L31</f>
        <v>1.31</v>
      </c>
      <c r="M15" s="5">
        <f>CAVCapMultiplier!M31</f>
        <v>1.34</v>
      </c>
      <c r="N15" s="5">
        <f>CAVCapMultiplier!N31</f>
        <v>1.37</v>
      </c>
      <c r="O15" s="5">
        <f>CAVCapMultiplier!O31</f>
        <v>1.4179999999999999</v>
      </c>
      <c r="P15" s="5">
        <f>CAVCapMultiplier!P31</f>
        <v>1.4650000000000001</v>
      </c>
      <c r="Q15" s="5">
        <f>CAVCapMultiplier!Q31</f>
        <v>1.5129999999999999</v>
      </c>
      <c r="R15" s="5">
        <f>CAVCapMultiplier!R31</f>
        <v>1.56</v>
      </c>
      <c r="S15" s="5">
        <f>CAVCapMultiplier!S31</f>
        <v>1.6180000000000001</v>
      </c>
      <c r="T15" s="5">
        <f>CAVCapMultiplier!T31</f>
        <v>1.675</v>
      </c>
      <c r="U15" s="5">
        <f>CAVCapMultiplier!U31</f>
        <v>1.7330000000000001</v>
      </c>
      <c r="V15" s="5">
        <f>CAVCapMultiplier!V31</f>
        <v>1.79</v>
      </c>
    </row>
    <row r="16" spans="1:22" x14ac:dyDescent="0.25">
      <c r="A16" s="5">
        <f>CAVCapMultiplier!A32</f>
        <v>2100</v>
      </c>
      <c r="B16" s="5">
        <f>CAVCapMultiplier!B32</f>
        <v>1</v>
      </c>
      <c r="C16" s="5">
        <f>CAVCapMultiplier!C32</f>
        <v>1.018</v>
      </c>
      <c r="D16" s="5">
        <f>CAVCapMultiplier!D32</f>
        <v>1.0349999999999999</v>
      </c>
      <c r="E16" s="5">
        <f>CAVCapMultiplier!E32</f>
        <v>1.0529999999999999</v>
      </c>
      <c r="F16" s="5">
        <f>CAVCapMultiplier!F32</f>
        <v>1.07</v>
      </c>
      <c r="G16" s="5">
        <f>CAVCapMultiplier!G32</f>
        <v>1.0900000000000001</v>
      </c>
      <c r="H16" s="5">
        <f>CAVCapMultiplier!H32</f>
        <v>1.1100000000000001</v>
      </c>
      <c r="I16" s="5">
        <f>CAVCapMultiplier!I32</f>
        <v>1.1299999999999999</v>
      </c>
      <c r="J16" s="5">
        <f>CAVCapMultiplier!J32</f>
        <v>1.1499999999999999</v>
      </c>
      <c r="K16" s="5">
        <f>CAVCapMultiplier!K32</f>
        <v>1.17</v>
      </c>
      <c r="L16" s="5">
        <f>CAVCapMultiplier!L32</f>
        <v>1.19</v>
      </c>
      <c r="M16" s="5">
        <f>CAVCapMultiplier!M32</f>
        <v>1.21</v>
      </c>
      <c r="N16" s="5">
        <f>CAVCapMultiplier!N32</f>
        <v>1.23</v>
      </c>
      <c r="O16" s="5">
        <f>CAVCapMultiplier!O32</f>
        <v>1.2629999999999999</v>
      </c>
      <c r="P16" s="5">
        <f>CAVCapMultiplier!P32</f>
        <v>1.2949999999999999</v>
      </c>
      <c r="Q16" s="5">
        <f>CAVCapMultiplier!Q32</f>
        <v>1.3280000000000001</v>
      </c>
      <c r="R16" s="5">
        <f>CAVCapMultiplier!R32</f>
        <v>1.36</v>
      </c>
      <c r="S16" s="5">
        <f>CAVCapMultiplier!S32</f>
        <v>1.405</v>
      </c>
      <c r="T16" s="5">
        <f>CAVCapMultiplier!T32</f>
        <v>1.45</v>
      </c>
      <c r="U16" s="5">
        <f>CAVCapMultiplier!U32</f>
        <v>1.4950000000000001</v>
      </c>
      <c r="V16" s="5">
        <f>CAVCapMultiplier!V32</f>
        <v>1.54</v>
      </c>
    </row>
    <row r="17" spans="1:22" x14ac:dyDescent="0.25">
      <c r="A17" s="5">
        <f>CAVCapMultiplier!A33</f>
        <v>2400</v>
      </c>
      <c r="B17" s="5">
        <f>CAVCapMultiplier!B33</f>
        <v>1</v>
      </c>
      <c r="C17" s="5">
        <f>CAVCapMultiplier!C33</f>
        <v>1.0049999999999999</v>
      </c>
      <c r="D17" s="5">
        <f>CAVCapMultiplier!D33</f>
        <v>1.01</v>
      </c>
      <c r="E17" s="5">
        <f>CAVCapMultiplier!E33</f>
        <v>1.0149999999999999</v>
      </c>
      <c r="F17" s="5">
        <f>CAVCapMultiplier!F33</f>
        <v>1.02</v>
      </c>
      <c r="G17" s="5">
        <f>CAVCapMultiplier!G33</f>
        <v>1.0329999999999999</v>
      </c>
      <c r="H17" s="5">
        <f>CAVCapMultiplier!H33</f>
        <v>1.0449999999999999</v>
      </c>
      <c r="I17" s="5">
        <f>CAVCapMultiplier!I33</f>
        <v>1.0580000000000001</v>
      </c>
      <c r="J17" s="5">
        <f>CAVCapMultiplier!J33</f>
        <v>1.07</v>
      </c>
      <c r="K17" s="5">
        <f>CAVCapMultiplier!K33</f>
        <v>1.083</v>
      </c>
      <c r="L17" s="5">
        <f>CAVCapMultiplier!L33</f>
        <v>1.095</v>
      </c>
      <c r="M17" s="5">
        <f>CAVCapMultiplier!M33</f>
        <v>1.1080000000000001</v>
      </c>
      <c r="N17" s="5">
        <f>CAVCapMultiplier!N33</f>
        <v>1.1200000000000001</v>
      </c>
      <c r="O17" s="5">
        <f>CAVCapMultiplier!O33</f>
        <v>1.143</v>
      </c>
      <c r="P17" s="5">
        <f>CAVCapMultiplier!P33</f>
        <v>1.165</v>
      </c>
      <c r="Q17" s="5">
        <f>CAVCapMultiplier!Q33</f>
        <v>1.1879999999999999</v>
      </c>
      <c r="R17" s="5">
        <f>CAVCapMultiplier!R33</f>
        <v>1.21</v>
      </c>
      <c r="S17" s="5">
        <f>CAVCapMultiplier!S33</f>
        <v>1.248</v>
      </c>
      <c r="T17" s="5">
        <f>CAVCapMultiplier!T33</f>
        <v>1.2849999999999999</v>
      </c>
      <c r="U17" s="5">
        <f>CAVCapMultiplier!U33</f>
        <v>1.323</v>
      </c>
      <c r="V17" s="5">
        <f>CAVCapMultiplier!V33</f>
        <v>1.36</v>
      </c>
    </row>
    <row r="18" spans="1:22" x14ac:dyDescent="0.25">
      <c r="A18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6911-9508-4FC9-A259-34C425787082}">
  <sheetPr>
    <tabColor theme="9" tint="-0.499984740745262"/>
  </sheetPr>
  <dimension ref="W1:BV106"/>
  <sheetViews>
    <sheetView zoomScale="70" zoomScaleNormal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P47" sqref="P47"/>
    </sheetView>
  </sheetViews>
  <sheetFormatPr defaultRowHeight="15" x14ac:dyDescent="0.25"/>
  <cols>
    <col min="1" max="1" width="4.7109375" style="29" customWidth="1"/>
    <col min="2" max="22" width="9.140625" style="29"/>
    <col min="23" max="24" width="13.7109375" style="29" customWidth="1"/>
    <col min="25" max="26" width="11.28515625" style="29" customWidth="1"/>
    <col min="27" max="27" width="15.85546875" style="29" customWidth="1"/>
    <col min="28" max="30" width="19.140625" style="29" bestFit="1" customWidth="1"/>
    <col min="31" max="31" width="19.5703125" style="29" bestFit="1" customWidth="1"/>
    <col min="32" max="34" width="19.140625" style="29" bestFit="1" customWidth="1"/>
    <col min="35" max="35" width="19.5703125" style="29" bestFit="1" customWidth="1"/>
    <col min="36" max="51" width="9.42578125" style="29" customWidth="1"/>
    <col min="52" max="52" width="9.140625" style="29"/>
    <col min="53" max="53" width="12.5703125" style="29" customWidth="1"/>
    <col min="54" max="74" width="10.42578125" style="29" customWidth="1"/>
    <col min="75" max="16384" width="9.140625" style="29"/>
  </cols>
  <sheetData>
    <row r="1" spans="23:74" s="34" customFormat="1" ht="23.25" x14ac:dyDescent="0.35">
      <c r="W1" s="34" t="s">
        <v>63</v>
      </c>
      <c r="BA1" s="34" t="s">
        <v>62</v>
      </c>
    </row>
    <row r="3" spans="23:74" x14ac:dyDescent="0.25">
      <c r="W3" s="38"/>
      <c r="X3" s="38"/>
      <c r="Y3" s="38"/>
      <c r="Z3" s="38"/>
      <c r="AA3" s="38"/>
      <c r="AB3" s="57" t="s">
        <v>70</v>
      </c>
      <c r="AC3" s="58"/>
      <c r="AD3" s="58"/>
      <c r="AE3" s="58"/>
      <c r="AF3" s="55" t="s">
        <v>69</v>
      </c>
      <c r="AG3" s="56"/>
      <c r="AH3" s="56"/>
      <c r="AI3" s="56"/>
      <c r="AJ3" s="51" t="s">
        <v>70</v>
      </c>
      <c r="AK3" s="46"/>
      <c r="AL3" s="46"/>
      <c r="AM3" s="46"/>
      <c r="AN3" s="46"/>
      <c r="AO3" s="46"/>
      <c r="AP3" s="46"/>
      <c r="AQ3" s="46"/>
      <c r="AR3" s="55" t="s">
        <v>69</v>
      </c>
      <c r="AS3" s="56"/>
      <c r="AT3" s="56"/>
      <c r="AU3" s="56"/>
      <c r="AV3" s="56"/>
      <c r="AW3" s="56"/>
      <c r="AX3" s="56"/>
      <c r="AY3" s="56"/>
    </row>
    <row r="4" spans="23:74" x14ac:dyDescent="0.25">
      <c r="W4" s="38"/>
      <c r="X4" s="38"/>
      <c r="Y4" s="38"/>
      <c r="Z4" s="38"/>
      <c r="AA4" s="38"/>
      <c r="AB4" s="48">
        <f>AJ5</f>
        <v>1500</v>
      </c>
      <c r="AC4" s="40">
        <f>AK5</f>
        <v>1800</v>
      </c>
      <c r="AD4" s="40">
        <f>AL5</f>
        <v>2100</v>
      </c>
      <c r="AE4" s="40">
        <f>AM5</f>
        <v>2400</v>
      </c>
      <c r="AF4" s="42">
        <f>AN5</f>
        <v>1500</v>
      </c>
      <c r="AG4" s="40">
        <f>AO5</f>
        <v>1800</v>
      </c>
      <c r="AH4" s="40">
        <f>AP5</f>
        <v>2100</v>
      </c>
      <c r="AI4" s="40">
        <f>AQ5</f>
        <v>2400</v>
      </c>
      <c r="AJ4" s="52" t="s">
        <v>64</v>
      </c>
      <c r="AK4" s="31"/>
      <c r="AL4" s="31"/>
      <c r="AM4" s="31"/>
      <c r="AN4" s="43" t="s">
        <v>65</v>
      </c>
      <c r="AO4" s="31"/>
      <c r="AP4" s="31"/>
      <c r="AQ4" s="31"/>
      <c r="AR4" s="43" t="s">
        <v>64</v>
      </c>
      <c r="AS4" s="31"/>
      <c r="AT4" s="31"/>
      <c r="AU4" s="31"/>
      <c r="AV4" s="43" t="s">
        <v>65</v>
      </c>
      <c r="AW4" s="31"/>
      <c r="AX4" s="31"/>
      <c r="AY4" s="31"/>
    </row>
    <row r="5" spans="23:74" ht="30.75" customHeight="1" x14ac:dyDescent="0.25">
      <c r="W5" s="31" t="s">
        <v>61</v>
      </c>
      <c r="X5" s="45" t="s">
        <v>60</v>
      </c>
      <c r="Y5" s="45" t="s">
        <v>66</v>
      </c>
      <c r="Z5" s="45" t="s">
        <v>67</v>
      </c>
      <c r="AA5" s="45" t="s">
        <v>68</v>
      </c>
      <c r="AB5" s="49" t="str">
        <f>$AB3 &amp;": Capacity=" &amp; AB4</f>
        <v>2 Lane: Capacity=1500</v>
      </c>
      <c r="AC5" s="45" t="str">
        <f>$AB3 &amp;": Capacity=" &amp; AC4</f>
        <v>2 Lane: Capacity=1800</v>
      </c>
      <c r="AD5" s="45" t="str">
        <f>$AB3 &amp;": Capacity=" &amp; AD4</f>
        <v>2 Lane: Capacity=2100</v>
      </c>
      <c r="AE5" s="45" t="str">
        <f>$AB3 &amp;": Capacity=" &amp; AE4</f>
        <v>2 Lane: Capacity=2400</v>
      </c>
      <c r="AF5" s="47" t="str">
        <f>$AF3 &amp;": Capacity=" &amp; AF4</f>
        <v>3+ Lane: Capacity=1500</v>
      </c>
      <c r="AG5" s="45" t="str">
        <f>$AF3 &amp;": Capacity=" &amp; AG4</f>
        <v>3+ Lane: Capacity=1800</v>
      </c>
      <c r="AH5" s="45" t="str">
        <f>$AF3 &amp;": Capacity=" &amp; AH4</f>
        <v>3+ Lane: Capacity=2100</v>
      </c>
      <c r="AI5" s="45" t="str">
        <f>$AF3 &amp;": Capacity=" &amp; AI4</f>
        <v>3+ Lane: Capacity=2400</v>
      </c>
      <c r="AJ5" s="53">
        <v>1500</v>
      </c>
      <c r="AK5" s="39">
        <v>1800</v>
      </c>
      <c r="AL5" s="39">
        <v>2100</v>
      </c>
      <c r="AM5" s="39">
        <v>2400</v>
      </c>
      <c r="AN5" s="42">
        <f>AJ5</f>
        <v>1500</v>
      </c>
      <c r="AO5" s="40">
        <f t="shared" ref="AO5:AQ5" si="0">AK5</f>
        <v>1800</v>
      </c>
      <c r="AP5" s="40">
        <f t="shared" si="0"/>
        <v>2100</v>
      </c>
      <c r="AQ5" s="40">
        <f t="shared" si="0"/>
        <v>2400</v>
      </c>
      <c r="AR5" s="41">
        <v>1500</v>
      </c>
      <c r="AS5" s="39">
        <v>1800</v>
      </c>
      <c r="AT5" s="39">
        <v>2100</v>
      </c>
      <c r="AU5" s="39">
        <v>2400</v>
      </c>
      <c r="AV5" s="42">
        <f>AR5</f>
        <v>1500</v>
      </c>
      <c r="AW5" s="40">
        <f t="shared" ref="AW5" si="1">AS5</f>
        <v>1800</v>
      </c>
      <c r="AX5" s="40">
        <f t="shared" ref="AX5" si="2">AT5</f>
        <v>2100</v>
      </c>
      <c r="AY5" s="40">
        <f t="shared" ref="AY5" si="3">AU5</f>
        <v>2400</v>
      </c>
    </row>
    <row r="6" spans="23:74" x14ac:dyDescent="0.25">
      <c r="W6" s="30">
        <v>0</v>
      </c>
      <c r="X6" s="32">
        <f>W6/5</f>
        <v>0</v>
      </c>
      <c r="Y6" s="32">
        <f>INT(X6)</f>
        <v>0</v>
      </c>
      <c r="Z6" s="32">
        <f>IF(Y6+1&gt;20, 20, Y6+1)</f>
        <v>1</v>
      </c>
      <c r="AA6" s="32">
        <f>X6 - Y6</f>
        <v>0</v>
      </c>
      <c r="AB6" s="50">
        <f>AJ6 + (AN6-AJ6) * $AA6</f>
        <v>1</v>
      </c>
      <c r="AC6" s="32">
        <f>AK6 + (AO6-AK6) * $AA6</f>
        <v>1</v>
      </c>
      <c r="AD6" s="32">
        <f>AL6 + (AP6-AL6) * $AA6</f>
        <v>1</v>
      </c>
      <c r="AE6" s="32">
        <f>AM6 + (AQ6-AM6) * $AA6</f>
        <v>1</v>
      </c>
      <c r="AF6" s="44">
        <f>AR6 + (AV6-AR6) * $AA6</f>
        <v>1</v>
      </c>
      <c r="AG6" s="32">
        <f>AS6 + (AW6-AS6) * $AA6</f>
        <v>1</v>
      </c>
      <c r="AH6" s="32">
        <f>AT6 + (AX6-AT6) * $AA6</f>
        <v>1</v>
      </c>
      <c r="AI6" s="32">
        <f>AU6 + (AY6-AU6) * $AA6</f>
        <v>1</v>
      </c>
      <c r="AJ6" s="54">
        <f>VLOOKUP(AJ$5, $BA$6:$BV$10, $Y6+2)</f>
        <v>1</v>
      </c>
      <c r="AK6" s="35">
        <f>VLOOKUP(AK$5, $BA$6:$BV$10, $Y6+2)</f>
        <v>1</v>
      </c>
      <c r="AL6" s="35">
        <f>VLOOKUP(AL$5, $BA$6:$BV$10, $Y6+2)</f>
        <v>1</v>
      </c>
      <c r="AM6" s="35">
        <f>VLOOKUP(AM$5, $BA$6:$BV$10, $Y6+2)</f>
        <v>1</v>
      </c>
      <c r="AN6" s="37">
        <f>VLOOKUP(AN$5, $BA$6:$BV$10, $Z6+2)</f>
        <v>1.0549999999999999</v>
      </c>
      <c r="AO6" s="35">
        <f>VLOOKUP(AO$5, $BA$6:$BV$10, $Z6+2)</f>
        <v>1.0349999999999999</v>
      </c>
      <c r="AP6" s="35">
        <f>VLOOKUP(AP$5, $BA$6:$BV$10, $Z6+2)</f>
        <v>1.018</v>
      </c>
      <c r="AQ6" s="35">
        <f>VLOOKUP(AQ$5, $BA$6:$BV$10, $Z6+2)</f>
        <v>1.0049999999999999</v>
      </c>
      <c r="AR6" s="37">
        <f>VLOOKUP(AR$5, $BA$12:$BV$16, $Y6+2)</f>
        <v>1</v>
      </c>
      <c r="AS6" s="35">
        <f>VLOOKUP(AS$5, $BA$12:$BV$16, $Y6+2)</f>
        <v>1</v>
      </c>
      <c r="AT6" s="35">
        <f>VLOOKUP(AT$5, $BA$12:$BV$16, $Y6+2)</f>
        <v>1</v>
      </c>
      <c r="AU6" s="35">
        <f>VLOOKUP(AU$5, $BA$12:$BV$16, $Y6+2)</f>
        <v>1</v>
      </c>
      <c r="AV6" s="37">
        <f>VLOOKUP(AV$5, $BA$12:$BV$16, $Z6+2)</f>
        <v>1.0449999999999999</v>
      </c>
      <c r="AW6" s="35">
        <f>VLOOKUP(AW$5, $BA$12:$BV$16, $Z6+2)</f>
        <v>1.0329999999999999</v>
      </c>
      <c r="AX6" s="35">
        <f>VLOOKUP(AX$5, $BA$12:$BV$16, $Z6+2)</f>
        <v>1.018</v>
      </c>
      <c r="AY6" s="35">
        <f>VLOOKUP(AY$5, $BA$12:$BV$16, $Z6+2)</f>
        <v>1.0049999999999999</v>
      </c>
      <c r="BA6" s="30" t="s">
        <v>58</v>
      </c>
      <c r="BB6" s="30" t="s">
        <v>3</v>
      </c>
      <c r="BC6" s="30" t="s">
        <v>4</v>
      </c>
      <c r="BD6" s="30" t="s">
        <v>5</v>
      </c>
      <c r="BE6" s="30" t="s">
        <v>6</v>
      </c>
      <c r="BF6" s="30" t="s">
        <v>7</v>
      </c>
      <c r="BG6" s="30" t="s">
        <v>8</v>
      </c>
      <c r="BH6" s="30" t="s">
        <v>9</v>
      </c>
      <c r="BI6" s="30" t="s">
        <v>10</v>
      </c>
      <c r="BJ6" s="30" t="s">
        <v>11</v>
      </c>
      <c r="BK6" s="30" t="s">
        <v>12</v>
      </c>
      <c r="BL6" s="30" t="s">
        <v>13</v>
      </c>
      <c r="BM6" s="30" t="s">
        <v>14</v>
      </c>
      <c r="BN6" s="30" t="s">
        <v>15</v>
      </c>
      <c r="BO6" s="30" t="s">
        <v>16</v>
      </c>
      <c r="BP6" s="30" t="s">
        <v>17</v>
      </c>
      <c r="BQ6" s="30" t="s">
        <v>18</v>
      </c>
      <c r="BR6" s="30" t="s">
        <v>19</v>
      </c>
      <c r="BS6" s="30" t="s">
        <v>20</v>
      </c>
      <c r="BT6" s="30" t="s">
        <v>21</v>
      </c>
      <c r="BU6" s="30" t="s">
        <v>22</v>
      </c>
      <c r="BV6" s="30" t="s">
        <v>23</v>
      </c>
    </row>
    <row r="7" spans="23:74" x14ac:dyDescent="0.25">
      <c r="W7" s="30">
        <v>1</v>
      </c>
      <c r="X7" s="32">
        <f t="shared" ref="X7:X70" si="4">W7/5</f>
        <v>0.2</v>
      </c>
      <c r="Y7" s="32">
        <f t="shared" ref="Y7:Y70" si="5">INT(X7)</f>
        <v>0</v>
      </c>
      <c r="Z7" s="32">
        <f>IF(Y7+1&gt;20, 20, Y7+1)</f>
        <v>1</v>
      </c>
      <c r="AA7" s="32">
        <f>X7 - Y7</f>
        <v>0.2</v>
      </c>
      <c r="AB7" s="50">
        <f>AJ7 + (AN7-AJ7) * $AA7</f>
        <v>1.0109999999999999</v>
      </c>
      <c r="AC7" s="32">
        <f>AK7 + (AO7-AK7) * $AA7</f>
        <v>1.0069999999999999</v>
      </c>
      <c r="AD7" s="32">
        <f>AL7 + (AP7-AL7) * $AA7</f>
        <v>1.0036</v>
      </c>
      <c r="AE7" s="32">
        <f>AM7 + (AQ7-AM7) * $AA7</f>
        <v>1.0009999999999999</v>
      </c>
      <c r="AF7" s="44">
        <f>AR7 + (AV7-AR7) * $AA7</f>
        <v>1.0089999999999999</v>
      </c>
      <c r="AG7" s="32">
        <f>AS7 + (AW7-AS7) * $AA7</f>
        <v>1.0065999999999999</v>
      </c>
      <c r="AH7" s="32">
        <f>AT7 + (AX7-AT7) * $AA7</f>
        <v>1.0036</v>
      </c>
      <c r="AI7" s="32">
        <f>AU7 + (AY7-AU7) * $AA7</f>
        <v>1.0009999999999999</v>
      </c>
      <c r="AJ7" s="54">
        <f>VLOOKUP(AJ$5, $BA$6:$BV$10, $Y7+2)</f>
        <v>1</v>
      </c>
      <c r="AK7" s="35">
        <f>VLOOKUP(AK$5, $BA$6:$BV$10, $Y7+2)</f>
        <v>1</v>
      </c>
      <c r="AL7" s="35">
        <f>VLOOKUP(AL$5, $BA$6:$BV$10, $Y7+2)</f>
        <v>1</v>
      </c>
      <c r="AM7" s="35">
        <f>VLOOKUP(AM$5, $BA$6:$BV$10, $Y7+2)</f>
        <v>1</v>
      </c>
      <c r="AN7" s="37">
        <f>VLOOKUP(AN$5, $BA$6:$BV$10, $Z7+2)</f>
        <v>1.0549999999999999</v>
      </c>
      <c r="AO7" s="35">
        <f>VLOOKUP(AO$5, $BA$6:$BV$10, $Z7+2)</f>
        <v>1.0349999999999999</v>
      </c>
      <c r="AP7" s="35">
        <f>VLOOKUP(AP$5, $BA$6:$BV$10, $Z7+2)</f>
        <v>1.018</v>
      </c>
      <c r="AQ7" s="35">
        <f>VLOOKUP(AQ$5, $BA$6:$BV$10, $Z7+2)</f>
        <v>1.0049999999999999</v>
      </c>
      <c r="AR7" s="37">
        <f>VLOOKUP(AR$5, $BA$12:$BV$16, $Y7+2)</f>
        <v>1</v>
      </c>
      <c r="AS7" s="35">
        <f>VLOOKUP(AS$5, $BA$12:$BV$16, $Y7+2)</f>
        <v>1</v>
      </c>
      <c r="AT7" s="35">
        <f>VLOOKUP(AT$5, $BA$12:$BV$16, $Y7+2)</f>
        <v>1</v>
      </c>
      <c r="AU7" s="35">
        <f>VLOOKUP(AU$5, $BA$12:$BV$16, $Y7+2)</f>
        <v>1</v>
      </c>
      <c r="AV7" s="37">
        <f>VLOOKUP(AV$5, $BA$12:$BV$16, $Z7+2)</f>
        <v>1.0449999999999999</v>
      </c>
      <c r="AW7" s="35">
        <f>VLOOKUP(AW$5, $BA$12:$BV$16, $Z7+2)</f>
        <v>1.0329999999999999</v>
      </c>
      <c r="AX7" s="35">
        <f>VLOOKUP(AX$5, $BA$12:$BV$16, $Z7+2)</f>
        <v>1.018</v>
      </c>
      <c r="AY7" s="35">
        <f>VLOOKUP(AY$5, $BA$12:$BV$16, $Z7+2)</f>
        <v>1.0049999999999999</v>
      </c>
      <c r="BA7" s="30">
        <v>1500</v>
      </c>
      <c r="BB7" s="33">
        <v>1</v>
      </c>
      <c r="BC7" s="33">
        <v>1.0549999999999999</v>
      </c>
      <c r="BD7" s="33">
        <v>1.1100000000000001</v>
      </c>
      <c r="BE7" s="33">
        <v>1.165</v>
      </c>
      <c r="BF7" s="33">
        <v>1.22</v>
      </c>
      <c r="BG7" s="33">
        <v>1.2729999999999999</v>
      </c>
      <c r="BH7" s="33">
        <v>1.325</v>
      </c>
      <c r="BI7" s="33">
        <v>1.3779999999999999</v>
      </c>
      <c r="BJ7" s="33">
        <v>1.43</v>
      </c>
      <c r="BK7" s="33">
        <v>1.4850000000000001</v>
      </c>
      <c r="BL7" s="33">
        <v>1.54</v>
      </c>
      <c r="BM7" s="33">
        <v>1.595</v>
      </c>
      <c r="BN7" s="33">
        <v>1.65</v>
      </c>
      <c r="BO7" s="33">
        <v>1.7130000000000001</v>
      </c>
      <c r="BP7" s="33">
        <v>1.7749999999999999</v>
      </c>
      <c r="BQ7" s="33">
        <v>1.8380000000000001</v>
      </c>
      <c r="BR7" s="33">
        <v>1.9</v>
      </c>
      <c r="BS7" s="33">
        <v>1.9750000000000001</v>
      </c>
      <c r="BT7" s="33">
        <v>2.0499999999999998</v>
      </c>
      <c r="BU7" s="33">
        <v>2.125</v>
      </c>
      <c r="BV7" s="33">
        <v>2.2000000000000002</v>
      </c>
    </row>
    <row r="8" spans="23:74" x14ac:dyDescent="0.25">
      <c r="W8" s="30">
        <v>2</v>
      </c>
      <c r="X8" s="32">
        <f t="shared" si="4"/>
        <v>0.4</v>
      </c>
      <c r="Y8" s="32">
        <f t="shared" si="5"/>
        <v>0</v>
      </c>
      <c r="Z8" s="32">
        <f t="shared" ref="Z8:Z70" si="6">IF(Y8+1&gt;20, 20, Y8+1)</f>
        <v>1</v>
      </c>
      <c r="AA8" s="32">
        <f>X8 - Y8</f>
        <v>0.4</v>
      </c>
      <c r="AB8" s="50">
        <f>AJ8 + (AN8-AJ8) * $AA8</f>
        <v>1.022</v>
      </c>
      <c r="AC8" s="32">
        <f>AK8 + (AO8-AK8) * $AA8</f>
        <v>1.014</v>
      </c>
      <c r="AD8" s="32">
        <f>AL8 + (AP8-AL8) * $AA8</f>
        <v>1.0072000000000001</v>
      </c>
      <c r="AE8" s="32">
        <f>AM8 + (AQ8-AM8) * $AA8</f>
        <v>1.002</v>
      </c>
      <c r="AF8" s="44">
        <f>AR8 + (AV8-AR8) * $AA8</f>
        <v>1.018</v>
      </c>
      <c r="AG8" s="32">
        <f>AS8 + (AW8-AS8) * $AA8</f>
        <v>1.0131999999999999</v>
      </c>
      <c r="AH8" s="32">
        <f>AT8 + (AX8-AT8) * $AA8</f>
        <v>1.0072000000000001</v>
      </c>
      <c r="AI8" s="32">
        <f>AU8 + (AY8-AU8) * $AA8</f>
        <v>1.002</v>
      </c>
      <c r="AJ8" s="54">
        <f>VLOOKUP(AJ$5, $BA$6:$BV$10, $Y8+2)</f>
        <v>1</v>
      </c>
      <c r="AK8" s="35">
        <f>VLOOKUP(AK$5, $BA$6:$BV$10, $Y8+2)</f>
        <v>1</v>
      </c>
      <c r="AL8" s="35">
        <f>VLOOKUP(AL$5, $BA$6:$BV$10, $Y8+2)</f>
        <v>1</v>
      </c>
      <c r="AM8" s="35">
        <f>VLOOKUP(AM$5, $BA$6:$BV$10, $Y8+2)</f>
        <v>1</v>
      </c>
      <c r="AN8" s="37">
        <f>VLOOKUP(AN$5, $BA$6:$BV$10, $Z8+2)</f>
        <v>1.0549999999999999</v>
      </c>
      <c r="AO8" s="35">
        <f>VLOOKUP(AO$5, $BA$6:$BV$10, $Z8+2)</f>
        <v>1.0349999999999999</v>
      </c>
      <c r="AP8" s="35">
        <f>VLOOKUP(AP$5, $BA$6:$BV$10, $Z8+2)</f>
        <v>1.018</v>
      </c>
      <c r="AQ8" s="35">
        <f>VLOOKUP(AQ$5, $BA$6:$BV$10, $Z8+2)</f>
        <v>1.0049999999999999</v>
      </c>
      <c r="AR8" s="37">
        <f>VLOOKUP(AR$5, $BA$12:$BV$16, $Y8+2)</f>
        <v>1</v>
      </c>
      <c r="AS8" s="35">
        <f>VLOOKUP(AS$5, $BA$12:$BV$16, $Y8+2)</f>
        <v>1</v>
      </c>
      <c r="AT8" s="35">
        <f>VLOOKUP(AT$5, $BA$12:$BV$16, $Y8+2)</f>
        <v>1</v>
      </c>
      <c r="AU8" s="35">
        <f>VLOOKUP(AU$5, $BA$12:$BV$16, $Y8+2)</f>
        <v>1</v>
      </c>
      <c r="AV8" s="37">
        <f>VLOOKUP(AV$5, $BA$12:$BV$16, $Z8+2)</f>
        <v>1.0449999999999999</v>
      </c>
      <c r="AW8" s="35">
        <f>VLOOKUP(AW$5, $BA$12:$BV$16, $Z8+2)</f>
        <v>1.0329999999999999</v>
      </c>
      <c r="AX8" s="35">
        <f>VLOOKUP(AX$5, $BA$12:$BV$16, $Z8+2)</f>
        <v>1.018</v>
      </c>
      <c r="AY8" s="35">
        <f>VLOOKUP(AY$5, $BA$12:$BV$16, $Z8+2)</f>
        <v>1.0049999999999999</v>
      </c>
      <c r="BA8" s="30">
        <v>1800</v>
      </c>
      <c r="BB8" s="33">
        <v>1</v>
      </c>
      <c r="BC8" s="33">
        <v>1.0349999999999999</v>
      </c>
      <c r="BD8" s="33">
        <v>1.07</v>
      </c>
      <c r="BE8" s="33">
        <v>1.105</v>
      </c>
      <c r="BF8" s="33">
        <v>1.1399999999999999</v>
      </c>
      <c r="BG8" s="33">
        <v>1.173</v>
      </c>
      <c r="BH8" s="33">
        <v>1.2050000000000001</v>
      </c>
      <c r="BI8" s="33">
        <v>1.238</v>
      </c>
      <c r="BJ8" s="33">
        <v>1.27</v>
      </c>
      <c r="BK8" s="33">
        <v>1.31</v>
      </c>
      <c r="BL8" s="33">
        <v>1.35</v>
      </c>
      <c r="BM8" s="33">
        <v>1.39</v>
      </c>
      <c r="BN8" s="33">
        <v>1.43</v>
      </c>
      <c r="BO8" s="33">
        <v>1.4730000000000001</v>
      </c>
      <c r="BP8" s="33">
        <v>1.5149999999999999</v>
      </c>
      <c r="BQ8" s="33">
        <v>1.5580000000000001</v>
      </c>
      <c r="BR8" s="33">
        <v>1.6</v>
      </c>
      <c r="BS8" s="33">
        <v>1.653</v>
      </c>
      <c r="BT8" s="33">
        <v>1.7050000000000001</v>
      </c>
      <c r="BU8" s="33">
        <v>1.758</v>
      </c>
      <c r="BV8" s="33">
        <v>1.81</v>
      </c>
    </row>
    <row r="9" spans="23:74" x14ac:dyDescent="0.25">
      <c r="W9" s="30">
        <v>3</v>
      </c>
      <c r="X9" s="32">
        <f t="shared" si="4"/>
        <v>0.6</v>
      </c>
      <c r="Y9" s="32">
        <f t="shared" si="5"/>
        <v>0</v>
      </c>
      <c r="Z9" s="32">
        <f t="shared" si="6"/>
        <v>1</v>
      </c>
      <c r="AA9" s="32">
        <f>X9 - Y9</f>
        <v>0.6</v>
      </c>
      <c r="AB9" s="50">
        <f>AJ9 + (AN9-AJ9) * $AA9</f>
        <v>1.0329999999999999</v>
      </c>
      <c r="AC9" s="32">
        <f>AK9 + (AO9-AK9) * $AA9</f>
        <v>1.0209999999999999</v>
      </c>
      <c r="AD9" s="32">
        <f>AL9 + (AP9-AL9) * $AA9</f>
        <v>1.0107999999999999</v>
      </c>
      <c r="AE9" s="32">
        <f>AM9 + (AQ9-AM9) * $AA9</f>
        <v>1.0029999999999999</v>
      </c>
      <c r="AF9" s="44">
        <f>AR9 + (AV9-AR9) * $AA9</f>
        <v>1.0269999999999999</v>
      </c>
      <c r="AG9" s="32">
        <f>AS9 + (AW9-AS9) * $AA9</f>
        <v>1.0198</v>
      </c>
      <c r="AH9" s="32">
        <f>AT9 + (AX9-AT9) * $AA9</f>
        <v>1.0107999999999999</v>
      </c>
      <c r="AI9" s="32">
        <f>AU9 + (AY9-AU9) * $AA9</f>
        <v>1.0029999999999999</v>
      </c>
      <c r="AJ9" s="54">
        <f>VLOOKUP(AJ$5, $BA$6:$BV$10, $Y9+2)</f>
        <v>1</v>
      </c>
      <c r="AK9" s="35">
        <f>VLOOKUP(AK$5, $BA$6:$BV$10, $Y9+2)</f>
        <v>1</v>
      </c>
      <c r="AL9" s="35">
        <f>VLOOKUP(AL$5, $BA$6:$BV$10, $Y9+2)</f>
        <v>1</v>
      </c>
      <c r="AM9" s="35">
        <f>VLOOKUP(AM$5, $BA$6:$BV$10, $Y9+2)</f>
        <v>1</v>
      </c>
      <c r="AN9" s="37">
        <f>VLOOKUP(AN$5, $BA$6:$BV$10, $Z9+2)</f>
        <v>1.0549999999999999</v>
      </c>
      <c r="AO9" s="35">
        <f>VLOOKUP(AO$5, $BA$6:$BV$10, $Z9+2)</f>
        <v>1.0349999999999999</v>
      </c>
      <c r="AP9" s="35">
        <f>VLOOKUP(AP$5, $BA$6:$BV$10, $Z9+2)</f>
        <v>1.018</v>
      </c>
      <c r="AQ9" s="35">
        <f>VLOOKUP(AQ$5, $BA$6:$BV$10, $Z9+2)</f>
        <v>1.0049999999999999</v>
      </c>
      <c r="AR9" s="37">
        <f>VLOOKUP(AR$5, $BA$12:$BV$16, $Y9+2)</f>
        <v>1</v>
      </c>
      <c r="AS9" s="35">
        <f>VLOOKUP(AS$5, $BA$12:$BV$16, $Y9+2)</f>
        <v>1</v>
      </c>
      <c r="AT9" s="35">
        <f>VLOOKUP(AT$5, $BA$12:$BV$16, $Y9+2)</f>
        <v>1</v>
      </c>
      <c r="AU9" s="35">
        <f>VLOOKUP(AU$5, $BA$12:$BV$16, $Y9+2)</f>
        <v>1</v>
      </c>
      <c r="AV9" s="37">
        <f>VLOOKUP(AV$5, $BA$12:$BV$16, $Z9+2)</f>
        <v>1.0449999999999999</v>
      </c>
      <c r="AW9" s="35">
        <f>VLOOKUP(AW$5, $BA$12:$BV$16, $Z9+2)</f>
        <v>1.0329999999999999</v>
      </c>
      <c r="AX9" s="35">
        <f>VLOOKUP(AX$5, $BA$12:$BV$16, $Z9+2)</f>
        <v>1.018</v>
      </c>
      <c r="AY9" s="35">
        <f>VLOOKUP(AY$5, $BA$12:$BV$16, $Z9+2)</f>
        <v>1.0049999999999999</v>
      </c>
      <c r="BA9" s="30">
        <v>2100</v>
      </c>
      <c r="BB9" s="33">
        <v>1</v>
      </c>
      <c r="BC9" s="33">
        <v>1.018</v>
      </c>
      <c r="BD9" s="33">
        <v>1.0349999999999999</v>
      </c>
      <c r="BE9" s="33">
        <v>1.0529999999999999</v>
      </c>
      <c r="BF9" s="33">
        <v>1.07</v>
      </c>
      <c r="BG9" s="33">
        <v>1.0900000000000001</v>
      </c>
      <c r="BH9" s="33">
        <v>1.1100000000000001</v>
      </c>
      <c r="BI9" s="33">
        <v>1.1299999999999999</v>
      </c>
      <c r="BJ9" s="33">
        <v>1.1499999999999999</v>
      </c>
      <c r="BK9" s="33">
        <v>1.175</v>
      </c>
      <c r="BL9" s="33">
        <v>1.2</v>
      </c>
      <c r="BM9" s="33">
        <v>1.2250000000000001</v>
      </c>
      <c r="BN9" s="33">
        <v>1.25</v>
      </c>
      <c r="BO9" s="33">
        <v>1.28</v>
      </c>
      <c r="BP9" s="33">
        <v>1.31</v>
      </c>
      <c r="BQ9" s="33">
        <v>1.34</v>
      </c>
      <c r="BR9" s="33">
        <v>1.37</v>
      </c>
      <c r="BS9" s="33">
        <v>1.4079999999999999</v>
      </c>
      <c r="BT9" s="33">
        <v>1.4450000000000001</v>
      </c>
      <c r="BU9" s="33">
        <v>1.4830000000000001</v>
      </c>
      <c r="BV9" s="33">
        <v>1.52</v>
      </c>
    </row>
    <row r="10" spans="23:74" x14ac:dyDescent="0.25">
      <c r="W10" s="30">
        <v>4</v>
      </c>
      <c r="X10" s="32">
        <f t="shared" si="4"/>
        <v>0.8</v>
      </c>
      <c r="Y10" s="32">
        <f t="shared" si="5"/>
        <v>0</v>
      </c>
      <c r="Z10" s="32">
        <f t="shared" si="6"/>
        <v>1</v>
      </c>
      <c r="AA10" s="32">
        <f>X10 - Y10</f>
        <v>0.8</v>
      </c>
      <c r="AB10" s="50">
        <f>AJ10 + (AN10-AJ10) * $AA10</f>
        <v>1.044</v>
      </c>
      <c r="AC10" s="32">
        <f>AK10 + (AO10-AK10) * $AA10</f>
        <v>1.028</v>
      </c>
      <c r="AD10" s="32">
        <f>AL10 + (AP10-AL10) * $AA10</f>
        <v>1.0144</v>
      </c>
      <c r="AE10" s="32">
        <f>AM10 + (AQ10-AM10) * $AA10</f>
        <v>1.004</v>
      </c>
      <c r="AF10" s="44">
        <f>AR10 + (AV10-AR10) * $AA10</f>
        <v>1.036</v>
      </c>
      <c r="AG10" s="32">
        <f>AS10 + (AW10-AS10) * $AA10</f>
        <v>1.0264</v>
      </c>
      <c r="AH10" s="32">
        <f>AT10 + (AX10-AT10) * $AA10</f>
        <v>1.0144</v>
      </c>
      <c r="AI10" s="32">
        <f>AU10 + (AY10-AU10) * $AA10</f>
        <v>1.004</v>
      </c>
      <c r="AJ10" s="54">
        <f>VLOOKUP(AJ$5, $BA$6:$BV$10, $Y10+2)</f>
        <v>1</v>
      </c>
      <c r="AK10" s="35">
        <f>VLOOKUP(AK$5, $BA$6:$BV$10, $Y10+2)</f>
        <v>1</v>
      </c>
      <c r="AL10" s="35">
        <f>VLOOKUP(AL$5, $BA$6:$BV$10, $Y10+2)</f>
        <v>1</v>
      </c>
      <c r="AM10" s="35">
        <f>VLOOKUP(AM$5, $BA$6:$BV$10, $Y10+2)</f>
        <v>1</v>
      </c>
      <c r="AN10" s="37">
        <f>VLOOKUP(AN$5, $BA$6:$BV$10, $Z10+2)</f>
        <v>1.0549999999999999</v>
      </c>
      <c r="AO10" s="35">
        <f>VLOOKUP(AO$5, $BA$6:$BV$10, $Z10+2)</f>
        <v>1.0349999999999999</v>
      </c>
      <c r="AP10" s="35">
        <f>VLOOKUP(AP$5, $BA$6:$BV$10, $Z10+2)</f>
        <v>1.018</v>
      </c>
      <c r="AQ10" s="35">
        <f>VLOOKUP(AQ$5, $BA$6:$BV$10, $Z10+2)</f>
        <v>1.0049999999999999</v>
      </c>
      <c r="AR10" s="37">
        <f>VLOOKUP(AR$5, $BA$12:$BV$16, $Y10+2)</f>
        <v>1</v>
      </c>
      <c r="AS10" s="35">
        <f>VLOOKUP(AS$5, $BA$12:$BV$16, $Y10+2)</f>
        <v>1</v>
      </c>
      <c r="AT10" s="35">
        <f>VLOOKUP(AT$5, $BA$12:$BV$16, $Y10+2)</f>
        <v>1</v>
      </c>
      <c r="AU10" s="35">
        <f>VLOOKUP(AU$5, $BA$12:$BV$16, $Y10+2)</f>
        <v>1</v>
      </c>
      <c r="AV10" s="37">
        <f>VLOOKUP(AV$5, $BA$12:$BV$16, $Z10+2)</f>
        <v>1.0449999999999999</v>
      </c>
      <c r="AW10" s="35">
        <f>VLOOKUP(AW$5, $BA$12:$BV$16, $Z10+2)</f>
        <v>1.0329999999999999</v>
      </c>
      <c r="AX10" s="35">
        <f>VLOOKUP(AX$5, $BA$12:$BV$16, $Z10+2)</f>
        <v>1.018</v>
      </c>
      <c r="AY10" s="35">
        <f>VLOOKUP(AY$5, $BA$12:$BV$16, $Z10+2)</f>
        <v>1.0049999999999999</v>
      </c>
      <c r="BA10" s="30">
        <v>2400</v>
      </c>
      <c r="BB10" s="33">
        <v>1</v>
      </c>
      <c r="BC10" s="33">
        <v>1.0049999999999999</v>
      </c>
      <c r="BD10" s="33">
        <v>1.01</v>
      </c>
      <c r="BE10" s="33">
        <v>1.0149999999999999</v>
      </c>
      <c r="BF10" s="33">
        <v>1.02</v>
      </c>
      <c r="BG10" s="33">
        <v>1.0329999999999999</v>
      </c>
      <c r="BH10" s="33">
        <v>1.0449999999999999</v>
      </c>
      <c r="BI10" s="33">
        <v>1.0580000000000001</v>
      </c>
      <c r="BJ10" s="33">
        <v>1.07</v>
      </c>
      <c r="BK10" s="33">
        <v>1.085</v>
      </c>
      <c r="BL10" s="33">
        <v>1.1000000000000001</v>
      </c>
      <c r="BM10" s="33">
        <v>1.115</v>
      </c>
      <c r="BN10" s="33">
        <v>1.1299999999999999</v>
      </c>
      <c r="BO10" s="33">
        <v>1.153</v>
      </c>
      <c r="BP10" s="33">
        <v>1.175</v>
      </c>
      <c r="BQ10" s="33">
        <v>1.198</v>
      </c>
      <c r="BR10" s="33">
        <v>1.22</v>
      </c>
      <c r="BS10" s="33">
        <v>1.25</v>
      </c>
      <c r="BT10" s="33">
        <v>1.28</v>
      </c>
      <c r="BU10" s="33">
        <v>1.31</v>
      </c>
      <c r="BV10" s="33">
        <v>1.34</v>
      </c>
    </row>
    <row r="11" spans="23:74" x14ac:dyDescent="0.25">
      <c r="W11" s="30">
        <v>5</v>
      </c>
      <c r="X11" s="32">
        <f t="shared" si="4"/>
        <v>1</v>
      </c>
      <c r="Y11" s="32">
        <f t="shared" si="5"/>
        <v>1</v>
      </c>
      <c r="Z11" s="32">
        <f t="shared" si="6"/>
        <v>2</v>
      </c>
      <c r="AA11" s="32">
        <f>X11 - Y11</f>
        <v>0</v>
      </c>
      <c r="AB11" s="50">
        <f>AJ11 + (AN11-AJ11) * $AA11</f>
        <v>1.0549999999999999</v>
      </c>
      <c r="AC11" s="32">
        <f>AK11 + (AO11-AK11) * $AA11</f>
        <v>1.0349999999999999</v>
      </c>
      <c r="AD11" s="32">
        <f>AL11 + (AP11-AL11) * $AA11</f>
        <v>1.018</v>
      </c>
      <c r="AE11" s="32">
        <f>AM11 + (AQ11-AM11) * $AA11</f>
        <v>1.0049999999999999</v>
      </c>
      <c r="AF11" s="44">
        <f>AR11 + (AV11-AR11) * $AA11</f>
        <v>1.0449999999999999</v>
      </c>
      <c r="AG11" s="32">
        <f>AS11 + (AW11-AS11) * $AA11</f>
        <v>1.0329999999999999</v>
      </c>
      <c r="AH11" s="32">
        <f>AT11 + (AX11-AT11) * $AA11</f>
        <v>1.018</v>
      </c>
      <c r="AI11" s="32">
        <f>AU11 + (AY11-AU11) * $AA11</f>
        <v>1.0049999999999999</v>
      </c>
      <c r="AJ11" s="54">
        <f>VLOOKUP(AJ$5, $BA$6:$BV$10, $Y11+2)</f>
        <v>1.0549999999999999</v>
      </c>
      <c r="AK11" s="35">
        <f>VLOOKUP(AK$5, $BA$6:$BV$10, $Y11+2)</f>
        <v>1.0349999999999999</v>
      </c>
      <c r="AL11" s="35">
        <f>VLOOKUP(AL$5, $BA$6:$BV$10, $Y11+2)</f>
        <v>1.018</v>
      </c>
      <c r="AM11" s="35">
        <f>VLOOKUP(AM$5, $BA$6:$BV$10, $Y11+2)</f>
        <v>1.0049999999999999</v>
      </c>
      <c r="AN11" s="37">
        <f>VLOOKUP(AN$5, $BA$6:$BV$10, $Z11+2)</f>
        <v>1.1100000000000001</v>
      </c>
      <c r="AO11" s="35">
        <f>VLOOKUP(AO$5, $BA$6:$BV$10, $Z11+2)</f>
        <v>1.07</v>
      </c>
      <c r="AP11" s="35">
        <f>VLOOKUP(AP$5, $BA$6:$BV$10, $Z11+2)</f>
        <v>1.0349999999999999</v>
      </c>
      <c r="AQ11" s="35">
        <f>VLOOKUP(AQ$5, $BA$6:$BV$10, $Z11+2)</f>
        <v>1.01</v>
      </c>
      <c r="AR11" s="37">
        <f>VLOOKUP(AR$5, $BA$12:$BV$16, $Y11+2)</f>
        <v>1.0449999999999999</v>
      </c>
      <c r="AS11" s="35">
        <f>VLOOKUP(AS$5, $BA$12:$BV$16, $Y11+2)</f>
        <v>1.0329999999999999</v>
      </c>
      <c r="AT11" s="35">
        <f>VLOOKUP(AT$5, $BA$12:$BV$16, $Y11+2)</f>
        <v>1.018</v>
      </c>
      <c r="AU11" s="35">
        <f>VLOOKUP(AU$5, $BA$12:$BV$16, $Y11+2)</f>
        <v>1.0049999999999999</v>
      </c>
      <c r="AV11" s="37">
        <f>VLOOKUP(AV$5, $BA$12:$BV$16, $Z11+2)</f>
        <v>1.0900000000000001</v>
      </c>
      <c r="AW11" s="35">
        <f>VLOOKUP(AW$5, $BA$12:$BV$16, $Z11+2)</f>
        <v>1.0649999999999999</v>
      </c>
      <c r="AX11" s="35">
        <f>VLOOKUP(AX$5, $BA$12:$BV$16, $Z11+2)</f>
        <v>1.0349999999999999</v>
      </c>
      <c r="AY11" s="35">
        <f>VLOOKUP(AY$5, $BA$12:$BV$16, $Z11+2)</f>
        <v>1.01</v>
      </c>
    </row>
    <row r="12" spans="23:74" x14ac:dyDescent="0.25">
      <c r="W12" s="30">
        <v>6</v>
      </c>
      <c r="X12" s="32">
        <f>W12/5</f>
        <v>1.2</v>
      </c>
      <c r="Y12" s="32">
        <f t="shared" si="5"/>
        <v>1</v>
      </c>
      <c r="Z12" s="32">
        <f>IF(Y12+1&gt;20, 20, Y12+1)</f>
        <v>2</v>
      </c>
      <c r="AA12" s="32">
        <f>X12 - Y12</f>
        <v>0.19999999999999996</v>
      </c>
      <c r="AB12" s="50">
        <f>AJ12 + (AN12-AJ12) * $AA12</f>
        <v>1.0660000000000001</v>
      </c>
      <c r="AC12" s="32">
        <f>AK12 + (AO12-AK12) * $AA12</f>
        <v>1.042</v>
      </c>
      <c r="AD12" s="32">
        <f>AL12 + (AP12-AL12) * $AA12</f>
        <v>1.0214000000000001</v>
      </c>
      <c r="AE12" s="32">
        <f>AM12 + (AQ12-AM12) * $AA12</f>
        <v>1.006</v>
      </c>
      <c r="AF12" s="44">
        <f>AR12 + (AV12-AR12) * $AA12</f>
        <v>1.054</v>
      </c>
      <c r="AG12" s="32">
        <f>AS12 + (AW12-AS12) * $AA12</f>
        <v>1.0393999999999999</v>
      </c>
      <c r="AH12" s="32">
        <f>AT12 + (AX12-AT12) * $AA12</f>
        <v>1.0214000000000001</v>
      </c>
      <c r="AI12" s="32">
        <f>AU12 + (AY12-AU12) * $AA12</f>
        <v>1.006</v>
      </c>
      <c r="AJ12" s="54">
        <f>VLOOKUP(AJ$5, $BA$6:$BV$10, $Y12+2)</f>
        <v>1.0549999999999999</v>
      </c>
      <c r="AK12" s="35">
        <f>VLOOKUP(AK$5, $BA$6:$BV$10, $Y12+2)</f>
        <v>1.0349999999999999</v>
      </c>
      <c r="AL12" s="35">
        <f>VLOOKUP(AL$5, $BA$6:$BV$10, $Y12+2)</f>
        <v>1.018</v>
      </c>
      <c r="AM12" s="35">
        <f>VLOOKUP(AM$5, $BA$6:$BV$10, $Y12+2)</f>
        <v>1.0049999999999999</v>
      </c>
      <c r="AN12" s="37">
        <f>VLOOKUP(AN$5, $BA$6:$BV$10, $Z12+2)</f>
        <v>1.1100000000000001</v>
      </c>
      <c r="AO12" s="35">
        <f>VLOOKUP(AO$5, $BA$6:$BV$10, $Z12+2)</f>
        <v>1.07</v>
      </c>
      <c r="AP12" s="35">
        <f>VLOOKUP(AP$5, $BA$6:$BV$10, $Z12+2)</f>
        <v>1.0349999999999999</v>
      </c>
      <c r="AQ12" s="35">
        <f>VLOOKUP(AQ$5, $BA$6:$BV$10, $Z12+2)</f>
        <v>1.01</v>
      </c>
      <c r="AR12" s="37">
        <f>VLOOKUP(AR$5, $BA$12:$BV$16, $Y12+2)</f>
        <v>1.0449999999999999</v>
      </c>
      <c r="AS12" s="35">
        <f>VLOOKUP(AS$5, $BA$12:$BV$16, $Y12+2)</f>
        <v>1.0329999999999999</v>
      </c>
      <c r="AT12" s="35">
        <f>VLOOKUP(AT$5, $BA$12:$BV$16, $Y12+2)</f>
        <v>1.018</v>
      </c>
      <c r="AU12" s="35">
        <f>VLOOKUP(AU$5, $BA$12:$BV$16, $Y12+2)</f>
        <v>1.0049999999999999</v>
      </c>
      <c r="AV12" s="37">
        <f>VLOOKUP(AV$5, $BA$12:$BV$16, $Z12+2)</f>
        <v>1.0900000000000001</v>
      </c>
      <c r="AW12" s="35">
        <f>VLOOKUP(AW$5, $BA$12:$BV$16, $Z12+2)</f>
        <v>1.0649999999999999</v>
      </c>
      <c r="AX12" s="35">
        <f>VLOOKUP(AX$5, $BA$12:$BV$16, $Z12+2)</f>
        <v>1.0349999999999999</v>
      </c>
      <c r="AY12" s="35">
        <f>VLOOKUP(AY$5, $BA$12:$BV$16, $Z12+2)</f>
        <v>1.01</v>
      </c>
      <c r="BA12" s="30" t="s">
        <v>59</v>
      </c>
      <c r="BB12" s="30" t="s">
        <v>3</v>
      </c>
      <c r="BC12" s="30" t="s">
        <v>4</v>
      </c>
      <c r="BD12" s="30" t="s">
        <v>5</v>
      </c>
      <c r="BE12" s="30" t="s">
        <v>6</v>
      </c>
      <c r="BF12" s="30" t="s">
        <v>7</v>
      </c>
      <c r="BG12" s="30" t="s">
        <v>8</v>
      </c>
      <c r="BH12" s="30" t="s">
        <v>9</v>
      </c>
      <c r="BI12" s="30" t="s">
        <v>10</v>
      </c>
      <c r="BJ12" s="30" t="s">
        <v>11</v>
      </c>
      <c r="BK12" s="30" t="s">
        <v>12</v>
      </c>
      <c r="BL12" s="30" t="s">
        <v>13</v>
      </c>
      <c r="BM12" s="30" t="s">
        <v>14</v>
      </c>
      <c r="BN12" s="30" t="s">
        <v>15</v>
      </c>
      <c r="BO12" s="30" t="s">
        <v>16</v>
      </c>
      <c r="BP12" s="30" t="s">
        <v>17</v>
      </c>
      <c r="BQ12" s="30" t="s">
        <v>18</v>
      </c>
      <c r="BR12" s="30" t="s">
        <v>19</v>
      </c>
      <c r="BS12" s="30" t="s">
        <v>20</v>
      </c>
      <c r="BT12" s="30" t="s">
        <v>21</v>
      </c>
      <c r="BU12" s="30" t="s">
        <v>22</v>
      </c>
      <c r="BV12" s="30" t="s">
        <v>23</v>
      </c>
    </row>
    <row r="13" spans="23:74" x14ac:dyDescent="0.25">
      <c r="W13" s="30">
        <v>7</v>
      </c>
      <c r="X13" s="32">
        <f t="shared" si="4"/>
        <v>1.4</v>
      </c>
      <c r="Y13" s="32">
        <f t="shared" si="5"/>
        <v>1</v>
      </c>
      <c r="Z13" s="32">
        <f t="shared" si="6"/>
        <v>2</v>
      </c>
      <c r="AA13" s="32">
        <f>X13 - Y13</f>
        <v>0.39999999999999991</v>
      </c>
      <c r="AB13" s="50">
        <f>AJ13 + (AN13-AJ13) * $AA13</f>
        <v>1.077</v>
      </c>
      <c r="AC13" s="32">
        <f>AK13 + (AO13-AK13) * $AA13</f>
        <v>1.0489999999999999</v>
      </c>
      <c r="AD13" s="32">
        <f>AL13 + (AP13-AL13) * $AA13</f>
        <v>1.0247999999999999</v>
      </c>
      <c r="AE13" s="32">
        <f>AM13 + (AQ13-AM13) * $AA13</f>
        <v>1.0069999999999999</v>
      </c>
      <c r="AF13" s="44">
        <f>AR13 + (AV13-AR13) * $AA13</f>
        <v>1.0629999999999999</v>
      </c>
      <c r="AG13" s="32">
        <f>AS13 + (AW13-AS13) * $AA13</f>
        <v>1.0457999999999998</v>
      </c>
      <c r="AH13" s="32">
        <f>AT13 + (AX13-AT13) * $AA13</f>
        <v>1.0247999999999999</v>
      </c>
      <c r="AI13" s="32">
        <f>AU13 + (AY13-AU13) * $AA13</f>
        <v>1.0069999999999999</v>
      </c>
      <c r="AJ13" s="54">
        <f>VLOOKUP(AJ$5, $BA$6:$BV$10, $Y13+2)</f>
        <v>1.0549999999999999</v>
      </c>
      <c r="AK13" s="35">
        <f>VLOOKUP(AK$5, $BA$6:$BV$10, $Y13+2)</f>
        <v>1.0349999999999999</v>
      </c>
      <c r="AL13" s="35">
        <f>VLOOKUP(AL$5, $BA$6:$BV$10, $Y13+2)</f>
        <v>1.018</v>
      </c>
      <c r="AM13" s="35">
        <f>VLOOKUP(AM$5, $BA$6:$BV$10, $Y13+2)</f>
        <v>1.0049999999999999</v>
      </c>
      <c r="AN13" s="37">
        <f>VLOOKUP(AN$5, $BA$6:$BV$10, $Z13+2)</f>
        <v>1.1100000000000001</v>
      </c>
      <c r="AO13" s="35">
        <f>VLOOKUP(AO$5, $BA$6:$BV$10, $Z13+2)</f>
        <v>1.07</v>
      </c>
      <c r="AP13" s="35">
        <f>VLOOKUP(AP$5, $BA$6:$BV$10, $Z13+2)</f>
        <v>1.0349999999999999</v>
      </c>
      <c r="AQ13" s="35">
        <f>VLOOKUP(AQ$5, $BA$6:$BV$10, $Z13+2)</f>
        <v>1.01</v>
      </c>
      <c r="AR13" s="37">
        <f>VLOOKUP(AR$5, $BA$12:$BV$16, $Y13+2)</f>
        <v>1.0449999999999999</v>
      </c>
      <c r="AS13" s="35">
        <f>VLOOKUP(AS$5, $BA$12:$BV$16, $Y13+2)</f>
        <v>1.0329999999999999</v>
      </c>
      <c r="AT13" s="35">
        <f>VLOOKUP(AT$5, $BA$12:$BV$16, $Y13+2)</f>
        <v>1.018</v>
      </c>
      <c r="AU13" s="35">
        <f>VLOOKUP(AU$5, $BA$12:$BV$16, $Y13+2)</f>
        <v>1.0049999999999999</v>
      </c>
      <c r="AV13" s="37">
        <f>VLOOKUP(AV$5, $BA$12:$BV$16, $Z13+2)</f>
        <v>1.0900000000000001</v>
      </c>
      <c r="AW13" s="35">
        <f>VLOOKUP(AW$5, $BA$12:$BV$16, $Z13+2)</f>
        <v>1.0649999999999999</v>
      </c>
      <c r="AX13" s="35">
        <f>VLOOKUP(AX$5, $BA$12:$BV$16, $Z13+2)</f>
        <v>1.0349999999999999</v>
      </c>
      <c r="AY13" s="35">
        <f>VLOOKUP(AY$5, $BA$12:$BV$16, $Z13+2)</f>
        <v>1.01</v>
      </c>
      <c r="BA13" s="30">
        <v>1500</v>
      </c>
      <c r="BB13" s="33">
        <v>1</v>
      </c>
      <c r="BC13" s="33">
        <v>1.0449999999999999</v>
      </c>
      <c r="BD13" s="33">
        <v>1.0900000000000001</v>
      </c>
      <c r="BE13" s="33">
        <v>1.135</v>
      </c>
      <c r="BF13" s="33">
        <v>1.18</v>
      </c>
      <c r="BG13" s="33">
        <v>1.2250000000000001</v>
      </c>
      <c r="BH13" s="33">
        <v>1.27</v>
      </c>
      <c r="BI13" s="33">
        <v>1.3149999999999999</v>
      </c>
      <c r="BJ13" s="33">
        <v>1.36</v>
      </c>
      <c r="BK13" s="33">
        <v>1.4079999999999999</v>
      </c>
      <c r="BL13" s="33">
        <v>1.4550000000000001</v>
      </c>
      <c r="BM13" s="33">
        <v>1.5029999999999999</v>
      </c>
      <c r="BN13" s="33">
        <v>1.55</v>
      </c>
      <c r="BO13" s="33">
        <v>1.613</v>
      </c>
      <c r="BP13" s="33">
        <v>1.675</v>
      </c>
      <c r="BQ13" s="33">
        <v>1.738</v>
      </c>
      <c r="BR13" s="33">
        <v>1.8</v>
      </c>
      <c r="BS13" s="33">
        <v>1.875</v>
      </c>
      <c r="BT13" s="33">
        <v>1.95</v>
      </c>
      <c r="BU13" s="33">
        <v>2.0249999999999999</v>
      </c>
      <c r="BV13" s="33">
        <v>2.1</v>
      </c>
    </row>
    <row r="14" spans="23:74" x14ac:dyDescent="0.25">
      <c r="W14" s="30">
        <v>8</v>
      </c>
      <c r="X14" s="32">
        <f t="shared" si="4"/>
        <v>1.6</v>
      </c>
      <c r="Y14" s="32">
        <f t="shared" si="5"/>
        <v>1</v>
      </c>
      <c r="Z14" s="32">
        <f t="shared" si="6"/>
        <v>2</v>
      </c>
      <c r="AA14" s="32">
        <f>X14 - Y14</f>
        <v>0.60000000000000009</v>
      </c>
      <c r="AB14" s="50">
        <f>AJ14 + (AN14-AJ14) * $AA14</f>
        <v>1.0880000000000001</v>
      </c>
      <c r="AC14" s="32">
        <f>AK14 + (AO14-AK14) * $AA14</f>
        <v>1.056</v>
      </c>
      <c r="AD14" s="32">
        <f>AL14 + (AP14-AL14) * $AA14</f>
        <v>1.0282</v>
      </c>
      <c r="AE14" s="32">
        <f>AM14 + (AQ14-AM14) * $AA14</f>
        <v>1.008</v>
      </c>
      <c r="AF14" s="44">
        <f>AR14 + (AV14-AR14) * $AA14</f>
        <v>1.0720000000000001</v>
      </c>
      <c r="AG14" s="32">
        <f>AS14 + (AW14-AS14) * $AA14</f>
        <v>1.0522</v>
      </c>
      <c r="AH14" s="32">
        <f>AT14 + (AX14-AT14) * $AA14</f>
        <v>1.0282</v>
      </c>
      <c r="AI14" s="32">
        <f>AU14 + (AY14-AU14) * $AA14</f>
        <v>1.008</v>
      </c>
      <c r="AJ14" s="54">
        <f>VLOOKUP(AJ$5, $BA$6:$BV$10, $Y14+2)</f>
        <v>1.0549999999999999</v>
      </c>
      <c r="AK14" s="35">
        <f>VLOOKUP(AK$5, $BA$6:$BV$10, $Y14+2)</f>
        <v>1.0349999999999999</v>
      </c>
      <c r="AL14" s="35">
        <f>VLOOKUP(AL$5, $BA$6:$BV$10, $Y14+2)</f>
        <v>1.018</v>
      </c>
      <c r="AM14" s="35">
        <f>VLOOKUP(AM$5, $BA$6:$BV$10, $Y14+2)</f>
        <v>1.0049999999999999</v>
      </c>
      <c r="AN14" s="37">
        <f>VLOOKUP(AN$5, $BA$6:$BV$10, $Z14+2)</f>
        <v>1.1100000000000001</v>
      </c>
      <c r="AO14" s="35">
        <f>VLOOKUP(AO$5, $BA$6:$BV$10, $Z14+2)</f>
        <v>1.07</v>
      </c>
      <c r="AP14" s="35">
        <f>VLOOKUP(AP$5, $BA$6:$BV$10, $Z14+2)</f>
        <v>1.0349999999999999</v>
      </c>
      <c r="AQ14" s="35">
        <f>VLOOKUP(AQ$5, $BA$6:$BV$10, $Z14+2)</f>
        <v>1.01</v>
      </c>
      <c r="AR14" s="37">
        <f>VLOOKUP(AR$5, $BA$12:$BV$16, $Y14+2)</f>
        <v>1.0449999999999999</v>
      </c>
      <c r="AS14" s="35">
        <f>VLOOKUP(AS$5, $BA$12:$BV$16, $Y14+2)</f>
        <v>1.0329999999999999</v>
      </c>
      <c r="AT14" s="35">
        <f>VLOOKUP(AT$5, $BA$12:$BV$16, $Y14+2)</f>
        <v>1.018</v>
      </c>
      <c r="AU14" s="35">
        <f>VLOOKUP(AU$5, $BA$12:$BV$16, $Y14+2)</f>
        <v>1.0049999999999999</v>
      </c>
      <c r="AV14" s="37">
        <f>VLOOKUP(AV$5, $BA$12:$BV$16, $Z14+2)</f>
        <v>1.0900000000000001</v>
      </c>
      <c r="AW14" s="35">
        <f>VLOOKUP(AW$5, $BA$12:$BV$16, $Z14+2)</f>
        <v>1.0649999999999999</v>
      </c>
      <c r="AX14" s="35">
        <f>VLOOKUP(AX$5, $BA$12:$BV$16, $Z14+2)</f>
        <v>1.0349999999999999</v>
      </c>
      <c r="AY14" s="35">
        <f>VLOOKUP(AY$5, $BA$12:$BV$16, $Z14+2)</f>
        <v>1.01</v>
      </c>
      <c r="BA14" s="30">
        <v>1800</v>
      </c>
      <c r="BB14" s="33">
        <v>1</v>
      </c>
      <c r="BC14" s="33">
        <v>1.0329999999999999</v>
      </c>
      <c r="BD14" s="33">
        <v>1.0649999999999999</v>
      </c>
      <c r="BE14" s="33">
        <v>1.0980000000000001</v>
      </c>
      <c r="BF14" s="33">
        <v>1.1299999999999999</v>
      </c>
      <c r="BG14" s="33">
        <v>1.1599999999999999</v>
      </c>
      <c r="BH14" s="33">
        <v>1.19</v>
      </c>
      <c r="BI14" s="33">
        <v>1.22</v>
      </c>
      <c r="BJ14" s="33">
        <v>1.25</v>
      </c>
      <c r="BK14" s="33">
        <v>1.28</v>
      </c>
      <c r="BL14" s="33">
        <v>1.31</v>
      </c>
      <c r="BM14" s="33">
        <v>1.34</v>
      </c>
      <c r="BN14" s="33">
        <v>1.37</v>
      </c>
      <c r="BO14" s="33">
        <v>1.4179999999999999</v>
      </c>
      <c r="BP14" s="33">
        <v>1.4650000000000001</v>
      </c>
      <c r="BQ14" s="33">
        <v>1.5129999999999999</v>
      </c>
      <c r="BR14" s="33">
        <v>1.56</v>
      </c>
      <c r="BS14" s="33">
        <v>1.6180000000000001</v>
      </c>
      <c r="BT14" s="33">
        <v>1.675</v>
      </c>
      <c r="BU14" s="33">
        <v>1.7330000000000001</v>
      </c>
      <c r="BV14" s="33">
        <v>1.79</v>
      </c>
    </row>
    <row r="15" spans="23:74" x14ac:dyDescent="0.25">
      <c r="W15" s="30">
        <v>9</v>
      </c>
      <c r="X15" s="32">
        <f t="shared" si="4"/>
        <v>1.8</v>
      </c>
      <c r="Y15" s="32">
        <f t="shared" si="5"/>
        <v>1</v>
      </c>
      <c r="Z15" s="32">
        <f t="shared" si="6"/>
        <v>2</v>
      </c>
      <c r="AA15" s="32">
        <f>X15 - Y15</f>
        <v>0.8</v>
      </c>
      <c r="AB15" s="50">
        <f>AJ15 + (AN15-AJ15) * $AA15</f>
        <v>1.099</v>
      </c>
      <c r="AC15" s="32">
        <f>AK15 + (AO15-AK15) * $AA15</f>
        <v>1.0629999999999999</v>
      </c>
      <c r="AD15" s="32">
        <f>AL15 + (AP15-AL15) * $AA15</f>
        <v>1.0315999999999999</v>
      </c>
      <c r="AE15" s="32">
        <f>AM15 + (AQ15-AM15) * $AA15</f>
        <v>1.0089999999999999</v>
      </c>
      <c r="AF15" s="44">
        <f>AR15 + (AV15-AR15) * $AA15</f>
        <v>1.081</v>
      </c>
      <c r="AG15" s="32">
        <f>AS15 + (AW15-AS15) * $AA15</f>
        <v>1.0586</v>
      </c>
      <c r="AH15" s="32">
        <f>AT15 + (AX15-AT15) * $AA15</f>
        <v>1.0315999999999999</v>
      </c>
      <c r="AI15" s="32">
        <f>AU15 + (AY15-AU15) * $AA15</f>
        <v>1.0089999999999999</v>
      </c>
      <c r="AJ15" s="54">
        <f>VLOOKUP(AJ$5, $BA$6:$BV$10, $Y15+2)</f>
        <v>1.0549999999999999</v>
      </c>
      <c r="AK15" s="35">
        <f>VLOOKUP(AK$5, $BA$6:$BV$10, $Y15+2)</f>
        <v>1.0349999999999999</v>
      </c>
      <c r="AL15" s="35">
        <f>VLOOKUP(AL$5, $BA$6:$BV$10, $Y15+2)</f>
        <v>1.018</v>
      </c>
      <c r="AM15" s="35">
        <f>VLOOKUP(AM$5, $BA$6:$BV$10, $Y15+2)</f>
        <v>1.0049999999999999</v>
      </c>
      <c r="AN15" s="37">
        <f>VLOOKUP(AN$5, $BA$6:$BV$10, $Z15+2)</f>
        <v>1.1100000000000001</v>
      </c>
      <c r="AO15" s="35">
        <f>VLOOKUP(AO$5, $BA$6:$BV$10, $Z15+2)</f>
        <v>1.07</v>
      </c>
      <c r="AP15" s="35">
        <f>VLOOKUP(AP$5, $BA$6:$BV$10, $Z15+2)</f>
        <v>1.0349999999999999</v>
      </c>
      <c r="AQ15" s="35">
        <f>VLOOKUP(AQ$5, $BA$6:$BV$10, $Z15+2)</f>
        <v>1.01</v>
      </c>
      <c r="AR15" s="37">
        <f>VLOOKUP(AR$5, $BA$12:$BV$16, $Y15+2)</f>
        <v>1.0449999999999999</v>
      </c>
      <c r="AS15" s="35">
        <f>VLOOKUP(AS$5, $BA$12:$BV$16, $Y15+2)</f>
        <v>1.0329999999999999</v>
      </c>
      <c r="AT15" s="35">
        <f>VLOOKUP(AT$5, $BA$12:$BV$16, $Y15+2)</f>
        <v>1.018</v>
      </c>
      <c r="AU15" s="35">
        <f>VLOOKUP(AU$5, $BA$12:$BV$16, $Y15+2)</f>
        <v>1.0049999999999999</v>
      </c>
      <c r="AV15" s="37">
        <f>VLOOKUP(AV$5, $BA$12:$BV$16, $Z15+2)</f>
        <v>1.0900000000000001</v>
      </c>
      <c r="AW15" s="35">
        <f>VLOOKUP(AW$5, $BA$12:$BV$16, $Z15+2)</f>
        <v>1.0649999999999999</v>
      </c>
      <c r="AX15" s="35">
        <f>VLOOKUP(AX$5, $BA$12:$BV$16, $Z15+2)</f>
        <v>1.0349999999999999</v>
      </c>
      <c r="AY15" s="35">
        <f>VLOOKUP(AY$5, $BA$12:$BV$16, $Z15+2)</f>
        <v>1.01</v>
      </c>
      <c r="BA15" s="30">
        <v>2100</v>
      </c>
      <c r="BB15" s="33">
        <v>1</v>
      </c>
      <c r="BC15" s="33">
        <v>1.018</v>
      </c>
      <c r="BD15" s="33">
        <v>1.0349999999999999</v>
      </c>
      <c r="BE15" s="33">
        <v>1.0529999999999999</v>
      </c>
      <c r="BF15" s="33">
        <v>1.07</v>
      </c>
      <c r="BG15" s="33">
        <v>1.0900000000000001</v>
      </c>
      <c r="BH15" s="33">
        <v>1.1100000000000001</v>
      </c>
      <c r="BI15" s="33">
        <v>1.1299999999999999</v>
      </c>
      <c r="BJ15" s="33">
        <v>1.1499999999999999</v>
      </c>
      <c r="BK15" s="33">
        <v>1.17</v>
      </c>
      <c r="BL15" s="33">
        <v>1.19</v>
      </c>
      <c r="BM15" s="33">
        <v>1.21</v>
      </c>
      <c r="BN15" s="33">
        <v>1.23</v>
      </c>
      <c r="BO15" s="33">
        <v>1.2629999999999999</v>
      </c>
      <c r="BP15" s="33">
        <v>1.2949999999999999</v>
      </c>
      <c r="BQ15" s="33">
        <v>1.3280000000000001</v>
      </c>
      <c r="BR15" s="33">
        <v>1.36</v>
      </c>
      <c r="BS15" s="33">
        <v>1.405</v>
      </c>
      <c r="BT15" s="33">
        <v>1.45</v>
      </c>
      <c r="BU15" s="33">
        <v>1.4950000000000001</v>
      </c>
      <c r="BV15" s="33">
        <v>1.54</v>
      </c>
    </row>
    <row r="16" spans="23:74" x14ac:dyDescent="0.25">
      <c r="W16" s="30">
        <v>10</v>
      </c>
      <c r="X16" s="32">
        <f t="shared" si="4"/>
        <v>2</v>
      </c>
      <c r="Y16" s="32">
        <f t="shared" si="5"/>
        <v>2</v>
      </c>
      <c r="Z16" s="32">
        <f t="shared" si="6"/>
        <v>3</v>
      </c>
      <c r="AA16" s="32">
        <f>X16 - Y16</f>
        <v>0</v>
      </c>
      <c r="AB16" s="50">
        <f>AJ16 + (AN16-AJ16) * $AA16</f>
        <v>1.1100000000000001</v>
      </c>
      <c r="AC16" s="32">
        <f>AK16 + (AO16-AK16) * $AA16</f>
        <v>1.07</v>
      </c>
      <c r="AD16" s="32">
        <f>AL16 + (AP16-AL16) * $AA16</f>
        <v>1.0349999999999999</v>
      </c>
      <c r="AE16" s="32">
        <f>AM16 + (AQ16-AM16) * $AA16</f>
        <v>1.01</v>
      </c>
      <c r="AF16" s="44">
        <f>AR16 + (AV16-AR16) * $AA16</f>
        <v>1.0900000000000001</v>
      </c>
      <c r="AG16" s="32">
        <f>AS16 + (AW16-AS16) * $AA16</f>
        <v>1.0649999999999999</v>
      </c>
      <c r="AH16" s="32">
        <f>AT16 + (AX16-AT16) * $AA16</f>
        <v>1.0349999999999999</v>
      </c>
      <c r="AI16" s="32">
        <f>AU16 + (AY16-AU16) * $AA16</f>
        <v>1.01</v>
      </c>
      <c r="AJ16" s="54">
        <f>VLOOKUP(AJ$5, $BA$6:$BV$10, $Y16+2)</f>
        <v>1.1100000000000001</v>
      </c>
      <c r="AK16" s="35">
        <f>VLOOKUP(AK$5, $BA$6:$BV$10, $Y16+2)</f>
        <v>1.07</v>
      </c>
      <c r="AL16" s="35">
        <f>VLOOKUP(AL$5, $BA$6:$BV$10, $Y16+2)</f>
        <v>1.0349999999999999</v>
      </c>
      <c r="AM16" s="35">
        <f>VLOOKUP(AM$5, $BA$6:$BV$10, $Y16+2)</f>
        <v>1.01</v>
      </c>
      <c r="AN16" s="37">
        <f>VLOOKUP(AN$5, $BA$6:$BV$10, $Z16+2)</f>
        <v>1.165</v>
      </c>
      <c r="AO16" s="35">
        <f>VLOOKUP(AO$5, $BA$6:$BV$10, $Z16+2)</f>
        <v>1.105</v>
      </c>
      <c r="AP16" s="35">
        <f>VLOOKUP(AP$5, $BA$6:$BV$10, $Z16+2)</f>
        <v>1.0529999999999999</v>
      </c>
      <c r="AQ16" s="35">
        <f>VLOOKUP(AQ$5, $BA$6:$BV$10, $Z16+2)</f>
        <v>1.0149999999999999</v>
      </c>
      <c r="AR16" s="37">
        <f>VLOOKUP(AR$5, $BA$12:$BV$16, $Y16+2)</f>
        <v>1.0900000000000001</v>
      </c>
      <c r="AS16" s="35">
        <f>VLOOKUP(AS$5, $BA$12:$BV$16, $Y16+2)</f>
        <v>1.0649999999999999</v>
      </c>
      <c r="AT16" s="35">
        <f>VLOOKUP(AT$5, $BA$12:$BV$16, $Y16+2)</f>
        <v>1.0349999999999999</v>
      </c>
      <c r="AU16" s="35">
        <f>VLOOKUP(AU$5, $BA$12:$BV$16, $Y16+2)</f>
        <v>1.01</v>
      </c>
      <c r="AV16" s="37">
        <f>VLOOKUP(AV$5, $BA$12:$BV$16, $Z16+2)</f>
        <v>1.135</v>
      </c>
      <c r="AW16" s="35">
        <f>VLOOKUP(AW$5, $BA$12:$BV$16, $Z16+2)</f>
        <v>1.0980000000000001</v>
      </c>
      <c r="AX16" s="35">
        <f>VLOOKUP(AX$5, $BA$12:$BV$16, $Z16+2)</f>
        <v>1.0529999999999999</v>
      </c>
      <c r="AY16" s="35">
        <f>VLOOKUP(AY$5, $BA$12:$BV$16, $Z16+2)</f>
        <v>1.0149999999999999</v>
      </c>
      <c r="BA16" s="30">
        <v>2400</v>
      </c>
      <c r="BB16" s="33">
        <v>1</v>
      </c>
      <c r="BC16" s="33">
        <v>1.0049999999999999</v>
      </c>
      <c r="BD16" s="33">
        <v>1.01</v>
      </c>
      <c r="BE16" s="33">
        <v>1.0149999999999999</v>
      </c>
      <c r="BF16" s="33">
        <v>1.02</v>
      </c>
      <c r="BG16" s="33">
        <v>1.0329999999999999</v>
      </c>
      <c r="BH16" s="33">
        <v>1.0449999999999999</v>
      </c>
      <c r="BI16" s="33">
        <v>1.0580000000000001</v>
      </c>
      <c r="BJ16" s="33">
        <v>1.07</v>
      </c>
      <c r="BK16" s="33">
        <v>1.083</v>
      </c>
      <c r="BL16" s="33">
        <v>1.095</v>
      </c>
      <c r="BM16" s="33">
        <v>1.1080000000000001</v>
      </c>
      <c r="BN16" s="33">
        <v>1.1200000000000001</v>
      </c>
      <c r="BO16" s="33">
        <v>1.143</v>
      </c>
      <c r="BP16" s="33">
        <v>1.165</v>
      </c>
      <c r="BQ16" s="33">
        <v>1.1879999999999999</v>
      </c>
      <c r="BR16" s="33">
        <v>1.21</v>
      </c>
      <c r="BS16" s="33">
        <v>1.248</v>
      </c>
      <c r="BT16" s="33">
        <v>1.2849999999999999</v>
      </c>
      <c r="BU16" s="33">
        <v>1.323</v>
      </c>
      <c r="BV16" s="33">
        <v>1.36</v>
      </c>
    </row>
    <row r="17" spans="23:51" x14ac:dyDescent="0.25">
      <c r="W17" s="30">
        <v>11</v>
      </c>
      <c r="X17" s="32">
        <f t="shared" si="4"/>
        <v>2.2000000000000002</v>
      </c>
      <c r="Y17" s="32">
        <f t="shared" si="5"/>
        <v>2</v>
      </c>
      <c r="Z17" s="32">
        <f t="shared" si="6"/>
        <v>3</v>
      </c>
      <c r="AA17" s="32">
        <f>X17 - Y17</f>
        <v>0.20000000000000018</v>
      </c>
      <c r="AB17" s="50">
        <f>AJ17 + (AN17-AJ17) * $AA17</f>
        <v>1.121</v>
      </c>
      <c r="AC17" s="32">
        <f>AK17 + (AO17-AK17) * $AA17</f>
        <v>1.077</v>
      </c>
      <c r="AD17" s="32">
        <f>AL17 + (AP17-AL17) * $AA17</f>
        <v>1.0386</v>
      </c>
      <c r="AE17" s="32">
        <f>AM17 + (AQ17-AM17) * $AA17</f>
        <v>1.0109999999999999</v>
      </c>
      <c r="AF17" s="44">
        <f>AR17 + (AV17-AR17) * $AA17</f>
        <v>1.099</v>
      </c>
      <c r="AG17" s="32">
        <f>AS17 + (AW17-AS17) * $AA17</f>
        <v>1.0715999999999999</v>
      </c>
      <c r="AH17" s="32">
        <f>AT17 + (AX17-AT17) * $AA17</f>
        <v>1.0386</v>
      </c>
      <c r="AI17" s="32">
        <f>AU17 + (AY17-AU17) * $AA17</f>
        <v>1.0109999999999999</v>
      </c>
      <c r="AJ17" s="54">
        <f>VLOOKUP(AJ$5, $BA$6:$BV$10, $Y17+2)</f>
        <v>1.1100000000000001</v>
      </c>
      <c r="AK17" s="35">
        <f>VLOOKUP(AK$5, $BA$6:$BV$10, $Y17+2)</f>
        <v>1.07</v>
      </c>
      <c r="AL17" s="35">
        <f>VLOOKUP(AL$5, $BA$6:$BV$10, $Y17+2)</f>
        <v>1.0349999999999999</v>
      </c>
      <c r="AM17" s="35">
        <f>VLOOKUP(AM$5, $BA$6:$BV$10, $Y17+2)</f>
        <v>1.01</v>
      </c>
      <c r="AN17" s="37">
        <f>VLOOKUP(AN$5, $BA$6:$BV$10, $Z17+2)</f>
        <v>1.165</v>
      </c>
      <c r="AO17" s="35">
        <f>VLOOKUP(AO$5, $BA$6:$BV$10, $Z17+2)</f>
        <v>1.105</v>
      </c>
      <c r="AP17" s="35">
        <f>VLOOKUP(AP$5, $BA$6:$BV$10, $Z17+2)</f>
        <v>1.0529999999999999</v>
      </c>
      <c r="AQ17" s="35">
        <f>VLOOKUP(AQ$5, $BA$6:$BV$10, $Z17+2)</f>
        <v>1.0149999999999999</v>
      </c>
      <c r="AR17" s="37">
        <f>VLOOKUP(AR$5, $BA$12:$BV$16, $Y17+2)</f>
        <v>1.0900000000000001</v>
      </c>
      <c r="AS17" s="35">
        <f>VLOOKUP(AS$5, $BA$12:$BV$16, $Y17+2)</f>
        <v>1.0649999999999999</v>
      </c>
      <c r="AT17" s="35">
        <f>VLOOKUP(AT$5, $BA$12:$BV$16, $Y17+2)</f>
        <v>1.0349999999999999</v>
      </c>
      <c r="AU17" s="35">
        <f>VLOOKUP(AU$5, $BA$12:$BV$16, $Y17+2)</f>
        <v>1.01</v>
      </c>
      <c r="AV17" s="37">
        <f>VLOOKUP(AV$5, $BA$12:$BV$16, $Z17+2)</f>
        <v>1.135</v>
      </c>
      <c r="AW17" s="35">
        <f>VLOOKUP(AW$5, $BA$12:$BV$16, $Z17+2)</f>
        <v>1.0980000000000001</v>
      </c>
      <c r="AX17" s="35">
        <f>VLOOKUP(AX$5, $BA$12:$BV$16, $Z17+2)</f>
        <v>1.0529999999999999</v>
      </c>
      <c r="AY17" s="35">
        <f>VLOOKUP(AY$5, $BA$12:$BV$16, $Z17+2)</f>
        <v>1.0149999999999999</v>
      </c>
    </row>
    <row r="18" spans="23:51" x14ac:dyDescent="0.25">
      <c r="W18" s="30">
        <v>12</v>
      </c>
      <c r="X18" s="32">
        <f t="shared" si="4"/>
        <v>2.4</v>
      </c>
      <c r="Y18" s="32">
        <f t="shared" si="5"/>
        <v>2</v>
      </c>
      <c r="Z18" s="32">
        <f t="shared" si="6"/>
        <v>3</v>
      </c>
      <c r="AA18" s="32">
        <f>X18 - Y18</f>
        <v>0.39999999999999991</v>
      </c>
      <c r="AB18" s="50">
        <f>AJ18 + (AN18-AJ18) * $AA18</f>
        <v>1.1320000000000001</v>
      </c>
      <c r="AC18" s="32">
        <f>AK18 + (AO18-AK18) * $AA18</f>
        <v>1.0840000000000001</v>
      </c>
      <c r="AD18" s="32">
        <f>AL18 + (AP18-AL18) * $AA18</f>
        <v>1.0422</v>
      </c>
      <c r="AE18" s="32">
        <f>AM18 + (AQ18-AM18) * $AA18</f>
        <v>1.012</v>
      </c>
      <c r="AF18" s="44">
        <f>AR18 + (AV18-AR18) * $AA18</f>
        <v>1.1080000000000001</v>
      </c>
      <c r="AG18" s="32">
        <f>AS18 + (AW18-AS18) * $AA18</f>
        <v>1.0782</v>
      </c>
      <c r="AH18" s="32">
        <f>AT18 + (AX18-AT18) * $AA18</f>
        <v>1.0422</v>
      </c>
      <c r="AI18" s="32">
        <f>AU18 + (AY18-AU18) * $AA18</f>
        <v>1.012</v>
      </c>
      <c r="AJ18" s="54">
        <f>VLOOKUP(AJ$5, $BA$6:$BV$10, $Y18+2)</f>
        <v>1.1100000000000001</v>
      </c>
      <c r="AK18" s="35">
        <f>VLOOKUP(AK$5, $BA$6:$BV$10, $Y18+2)</f>
        <v>1.07</v>
      </c>
      <c r="AL18" s="35">
        <f>VLOOKUP(AL$5, $BA$6:$BV$10, $Y18+2)</f>
        <v>1.0349999999999999</v>
      </c>
      <c r="AM18" s="35">
        <f>VLOOKUP(AM$5, $BA$6:$BV$10, $Y18+2)</f>
        <v>1.01</v>
      </c>
      <c r="AN18" s="37">
        <f>VLOOKUP(AN$5, $BA$6:$BV$10, $Z18+2)</f>
        <v>1.165</v>
      </c>
      <c r="AO18" s="35">
        <f>VLOOKUP(AO$5, $BA$6:$BV$10, $Z18+2)</f>
        <v>1.105</v>
      </c>
      <c r="AP18" s="35">
        <f>VLOOKUP(AP$5, $BA$6:$BV$10, $Z18+2)</f>
        <v>1.0529999999999999</v>
      </c>
      <c r="AQ18" s="35">
        <f>VLOOKUP(AQ$5, $BA$6:$BV$10, $Z18+2)</f>
        <v>1.0149999999999999</v>
      </c>
      <c r="AR18" s="37">
        <f>VLOOKUP(AR$5, $BA$12:$BV$16, $Y18+2)</f>
        <v>1.0900000000000001</v>
      </c>
      <c r="AS18" s="35">
        <f>VLOOKUP(AS$5, $BA$12:$BV$16, $Y18+2)</f>
        <v>1.0649999999999999</v>
      </c>
      <c r="AT18" s="35">
        <f>VLOOKUP(AT$5, $BA$12:$BV$16, $Y18+2)</f>
        <v>1.0349999999999999</v>
      </c>
      <c r="AU18" s="35">
        <f>VLOOKUP(AU$5, $BA$12:$BV$16, $Y18+2)</f>
        <v>1.01</v>
      </c>
      <c r="AV18" s="37">
        <f>VLOOKUP(AV$5, $BA$12:$BV$16, $Z18+2)</f>
        <v>1.135</v>
      </c>
      <c r="AW18" s="35">
        <f>VLOOKUP(AW$5, $BA$12:$BV$16, $Z18+2)</f>
        <v>1.0980000000000001</v>
      </c>
      <c r="AX18" s="35">
        <f>VLOOKUP(AX$5, $BA$12:$BV$16, $Z18+2)</f>
        <v>1.0529999999999999</v>
      </c>
      <c r="AY18" s="35">
        <f>VLOOKUP(AY$5, $BA$12:$BV$16, $Z18+2)</f>
        <v>1.0149999999999999</v>
      </c>
    </row>
    <row r="19" spans="23:51" x14ac:dyDescent="0.25">
      <c r="W19" s="30">
        <v>13</v>
      </c>
      <c r="X19" s="32">
        <f t="shared" si="4"/>
        <v>2.6</v>
      </c>
      <c r="Y19" s="32">
        <f t="shared" si="5"/>
        <v>2</v>
      </c>
      <c r="Z19" s="32">
        <f t="shared" si="6"/>
        <v>3</v>
      </c>
      <c r="AA19" s="32">
        <f>X19 - Y19</f>
        <v>0.60000000000000009</v>
      </c>
      <c r="AB19" s="50">
        <f>AJ19 + (AN19-AJ19) * $AA19</f>
        <v>1.143</v>
      </c>
      <c r="AC19" s="32">
        <f>AK19 + (AO19-AK19) * $AA19</f>
        <v>1.091</v>
      </c>
      <c r="AD19" s="32">
        <f>AL19 + (AP19-AL19) * $AA19</f>
        <v>1.0457999999999998</v>
      </c>
      <c r="AE19" s="32">
        <f>AM19 + (AQ19-AM19) * $AA19</f>
        <v>1.0129999999999999</v>
      </c>
      <c r="AF19" s="44">
        <f>AR19 + (AV19-AR19) * $AA19</f>
        <v>1.117</v>
      </c>
      <c r="AG19" s="32">
        <f>AS19 + (AW19-AS19) * $AA19</f>
        <v>1.0848</v>
      </c>
      <c r="AH19" s="32">
        <f>AT19 + (AX19-AT19) * $AA19</f>
        <v>1.0457999999999998</v>
      </c>
      <c r="AI19" s="32">
        <f>AU19 + (AY19-AU19) * $AA19</f>
        <v>1.0129999999999999</v>
      </c>
      <c r="AJ19" s="54">
        <f>VLOOKUP(AJ$5, $BA$6:$BV$10, $Y19+2)</f>
        <v>1.1100000000000001</v>
      </c>
      <c r="AK19" s="35">
        <f>VLOOKUP(AK$5, $BA$6:$BV$10, $Y19+2)</f>
        <v>1.07</v>
      </c>
      <c r="AL19" s="35">
        <f>VLOOKUP(AL$5, $BA$6:$BV$10, $Y19+2)</f>
        <v>1.0349999999999999</v>
      </c>
      <c r="AM19" s="35">
        <f>VLOOKUP(AM$5, $BA$6:$BV$10, $Y19+2)</f>
        <v>1.01</v>
      </c>
      <c r="AN19" s="37">
        <f>VLOOKUP(AN$5, $BA$6:$BV$10, $Z19+2)</f>
        <v>1.165</v>
      </c>
      <c r="AO19" s="35">
        <f>VLOOKUP(AO$5, $BA$6:$BV$10, $Z19+2)</f>
        <v>1.105</v>
      </c>
      <c r="AP19" s="35">
        <f>VLOOKUP(AP$5, $BA$6:$BV$10, $Z19+2)</f>
        <v>1.0529999999999999</v>
      </c>
      <c r="AQ19" s="35">
        <f>VLOOKUP(AQ$5, $BA$6:$BV$10, $Z19+2)</f>
        <v>1.0149999999999999</v>
      </c>
      <c r="AR19" s="37">
        <f>VLOOKUP(AR$5, $BA$12:$BV$16, $Y19+2)</f>
        <v>1.0900000000000001</v>
      </c>
      <c r="AS19" s="35">
        <f>VLOOKUP(AS$5, $BA$12:$BV$16, $Y19+2)</f>
        <v>1.0649999999999999</v>
      </c>
      <c r="AT19" s="35">
        <f>VLOOKUP(AT$5, $BA$12:$BV$16, $Y19+2)</f>
        <v>1.0349999999999999</v>
      </c>
      <c r="AU19" s="35">
        <f>VLOOKUP(AU$5, $BA$12:$BV$16, $Y19+2)</f>
        <v>1.01</v>
      </c>
      <c r="AV19" s="37">
        <f>VLOOKUP(AV$5, $BA$12:$BV$16, $Z19+2)</f>
        <v>1.135</v>
      </c>
      <c r="AW19" s="35">
        <f>VLOOKUP(AW$5, $BA$12:$BV$16, $Z19+2)</f>
        <v>1.0980000000000001</v>
      </c>
      <c r="AX19" s="35">
        <f>VLOOKUP(AX$5, $BA$12:$BV$16, $Z19+2)</f>
        <v>1.0529999999999999</v>
      </c>
      <c r="AY19" s="35">
        <f>VLOOKUP(AY$5, $BA$12:$BV$16, $Z19+2)</f>
        <v>1.0149999999999999</v>
      </c>
    </row>
    <row r="20" spans="23:51" x14ac:dyDescent="0.25">
      <c r="W20" s="30">
        <v>14</v>
      </c>
      <c r="X20" s="32">
        <f t="shared" si="4"/>
        <v>2.8</v>
      </c>
      <c r="Y20" s="32">
        <f t="shared" si="5"/>
        <v>2</v>
      </c>
      <c r="Z20" s="32">
        <f t="shared" si="6"/>
        <v>3</v>
      </c>
      <c r="AA20" s="32">
        <f>X20 - Y20</f>
        <v>0.79999999999999982</v>
      </c>
      <c r="AB20" s="50">
        <f>AJ20 + (AN20-AJ20) * $AA20</f>
        <v>1.1540000000000001</v>
      </c>
      <c r="AC20" s="32">
        <f>AK20 + (AO20-AK20) * $AA20</f>
        <v>1.0980000000000001</v>
      </c>
      <c r="AD20" s="32">
        <f>AL20 + (AP20-AL20) * $AA20</f>
        <v>1.0493999999999999</v>
      </c>
      <c r="AE20" s="32">
        <f>AM20 + (AQ20-AM20) * $AA20</f>
        <v>1.014</v>
      </c>
      <c r="AF20" s="44">
        <f>AR20 + (AV20-AR20) * $AA20</f>
        <v>1.1260000000000001</v>
      </c>
      <c r="AG20" s="32">
        <f>AS20 + (AW20-AS20) * $AA20</f>
        <v>1.0914000000000001</v>
      </c>
      <c r="AH20" s="32">
        <f>AT20 + (AX20-AT20) * $AA20</f>
        <v>1.0493999999999999</v>
      </c>
      <c r="AI20" s="32">
        <f>AU20 + (AY20-AU20) * $AA20</f>
        <v>1.014</v>
      </c>
      <c r="AJ20" s="54">
        <f>VLOOKUP(AJ$5, $BA$6:$BV$10, $Y20+2)</f>
        <v>1.1100000000000001</v>
      </c>
      <c r="AK20" s="35">
        <f>VLOOKUP(AK$5, $BA$6:$BV$10, $Y20+2)</f>
        <v>1.07</v>
      </c>
      <c r="AL20" s="35">
        <f>VLOOKUP(AL$5, $BA$6:$BV$10, $Y20+2)</f>
        <v>1.0349999999999999</v>
      </c>
      <c r="AM20" s="35">
        <f>VLOOKUP(AM$5, $BA$6:$BV$10, $Y20+2)</f>
        <v>1.01</v>
      </c>
      <c r="AN20" s="37">
        <f>VLOOKUP(AN$5, $BA$6:$BV$10, $Z20+2)</f>
        <v>1.165</v>
      </c>
      <c r="AO20" s="35">
        <f>VLOOKUP(AO$5, $BA$6:$BV$10, $Z20+2)</f>
        <v>1.105</v>
      </c>
      <c r="AP20" s="35">
        <f>VLOOKUP(AP$5, $BA$6:$BV$10, $Z20+2)</f>
        <v>1.0529999999999999</v>
      </c>
      <c r="AQ20" s="35">
        <f>VLOOKUP(AQ$5, $BA$6:$BV$10, $Z20+2)</f>
        <v>1.0149999999999999</v>
      </c>
      <c r="AR20" s="37">
        <f>VLOOKUP(AR$5, $BA$12:$BV$16, $Y20+2)</f>
        <v>1.0900000000000001</v>
      </c>
      <c r="AS20" s="35">
        <f>VLOOKUP(AS$5, $BA$12:$BV$16, $Y20+2)</f>
        <v>1.0649999999999999</v>
      </c>
      <c r="AT20" s="35">
        <f>VLOOKUP(AT$5, $BA$12:$BV$16, $Y20+2)</f>
        <v>1.0349999999999999</v>
      </c>
      <c r="AU20" s="35">
        <f>VLOOKUP(AU$5, $BA$12:$BV$16, $Y20+2)</f>
        <v>1.01</v>
      </c>
      <c r="AV20" s="37">
        <f>VLOOKUP(AV$5, $BA$12:$BV$16, $Z20+2)</f>
        <v>1.135</v>
      </c>
      <c r="AW20" s="35">
        <f>VLOOKUP(AW$5, $BA$12:$BV$16, $Z20+2)</f>
        <v>1.0980000000000001</v>
      </c>
      <c r="AX20" s="35">
        <f>VLOOKUP(AX$5, $BA$12:$BV$16, $Z20+2)</f>
        <v>1.0529999999999999</v>
      </c>
      <c r="AY20" s="35">
        <f>VLOOKUP(AY$5, $BA$12:$BV$16, $Z20+2)</f>
        <v>1.0149999999999999</v>
      </c>
    </row>
    <row r="21" spans="23:51" x14ac:dyDescent="0.25">
      <c r="W21" s="30">
        <v>15</v>
      </c>
      <c r="X21" s="32">
        <f t="shared" si="4"/>
        <v>3</v>
      </c>
      <c r="Y21" s="32">
        <f t="shared" si="5"/>
        <v>3</v>
      </c>
      <c r="Z21" s="32">
        <f t="shared" si="6"/>
        <v>4</v>
      </c>
      <c r="AA21" s="32">
        <f>X21 - Y21</f>
        <v>0</v>
      </c>
      <c r="AB21" s="50">
        <f>AJ21 + (AN21-AJ21) * $AA21</f>
        <v>1.165</v>
      </c>
      <c r="AC21" s="32">
        <f>AK21 + (AO21-AK21) * $AA21</f>
        <v>1.105</v>
      </c>
      <c r="AD21" s="32">
        <f>AL21 + (AP21-AL21) * $AA21</f>
        <v>1.0529999999999999</v>
      </c>
      <c r="AE21" s="32">
        <f>AM21 + (AQ21-AM21) * $AA21</f>
        <v>1.0149999999999999</v>
      </c>
      <c r="AF21" s="44">
        <f>AR21 + (AV21-AR21) * $AA21</f>
        <v>1.135</v>
      </c>
      <c r="AG21" s="32">
        <f>AS21 + (AW21-AS21) * $AA21</f>
        <v>1.0980000000000001</v>
      </c>
      <c r="AH21" s="32">
        <f>AT21 + (AX21-AT21) * $AA21</f>
        <v>1.0529999999999999</v>
      </c>
      <c r="AI21" s="32">
        <f>AU21 + (AY21-AU21) * $AA21</f>
        <v>1.0149999999999999</v>
      </c>
      <c r="AJ21" s="54">
        <f>VLOOKUP(AJ$5, $BA$6:$BV$10, $Y21+2)</f>
        <v>1.165</v>
      </c>
      <c r="AK21" s="35">
        <f>VLOOKUP(AK$5, $BA$6:$BV$10, $Y21+2)</f>
        <v>1.105</v>
      </c>
      <c r="AL21" s="35">
        <f>VLOOKUP(AL$5, $BA$6:$BV$10, $Y21+2)</f>
        <v>1.0529999999999999</v>
      </c>
      <c r="AM21" s="35">
        <f>VLOOKUP(AM$5, $BA$6:$BV$10, $Y21+2)</f>
        <v>1.0149999999999999</v>
      </c>
      <c r="AN21" s="37">
        <f>VLOOKUP(AN$5, $BA$6:$BV$10, $Z21+2)</f>
        <v>1.22</v>
      </c>
      <c r="AO21" s="35">
        <f>VLOOKUP(AO$5, $BA$6:$BV$10, $Z21+2)</f>
        <v>1.1399999999999999</v>
      </c>
      <c r="AP21" s="35">
        <f>VLOOKUP(AP$5, $BA$6:$BV$10, $Z21+2)</f>
        <v>1.07</v>
      </c>
      <c r="AQ21" s="35">
        <f>VLOOKUP(AQ$5, $BA$6:$BV$10, $Z21+2)</f>
        <v>1.02</v>
      </c>
      <c r="AR21" s="37">
        <f>VLOOKUP(AR$5, $BA$12:$BV$16, $Y21+2)</f>
        <v>1.135</v>
      </c>
      <c r="AS21" s="35">
        <f>VLOOKUP(AS$5, $BA$12:$BV$16, $Y21+2)</f>
        <v>1.0980000000000001</v>
      </c>
      <c r="AT21" s="35">
        <f>VLOOKUP(AT$5, $BA$12:$BV$16, $Y21+2)</f>
        <v>1.0529999999999999</v>
      </c>
      <c r="AU21" s="35">
        <f>VLOOKUP(AU$5, $BA$12:$BV$16, $Y21+2)</f>
        <v>1.0149999999999999</v>
      </c>
      <c r="AV21" s="37">
        <f>VLOOKUP(AV$5, $BA$12:$BV$16, $Z21+2)</f>
        <v>1.18</v>
      </c>
      <c r="AW21" s="35">
        <f>VLOOKUP(AW$5, $BA$12:$BV$16, $Z21+2)</f>
        <v>1.1299999999999999</v>
      </c>
      <c r="AX21" s="35">
        <f>VLOOKUP(AX$5, $BA$12:$BV$16, $Z21+2)</f>
        <v>1.07</v>
      </c>
      <c r="AY21" s="35">
        <f>VLOOKUP(AY$5, $BA$12:$BV$16, $Z21+2)</f>
        <v>1.02</v>
      </c>
    </row>
    <row r="22" spans="23:51" x14ac:dyDescent="0.25">
      <c r="W22" s="30">
        <v>16</v>
      </c>
      <c r="X22" s="32">
        <f t="shared" si="4"/>
        <v>3.2</v>
      </c>
      <c r="Y22" s="32">
        <f t="shared" si="5"/>
        <v>3</v>
      </c>
      <c r="Z22" s="32">
        <f t="shared" si="6"/>
        <v>4</v>
      </c>
      <c r="AA22" s="32">
        <f>X22 - Y22</f>
        <v>0.20000000000000018</v>
      </c>
      <c r="AB22" s="50">
        <f>AJ22 + (AN22-AJ22) * $AA22</f>
        <v>1.1759999999999999</v>
      </c>
      <c r="AC22" s="32">
        <f>AK22 + (AO22-AK22) * $AA22</f>
        <v>1.1119999999999999</v>
      </c>
      <c r="AD22" s="32">
        <f>AL22 + (AP22-AL22) * $AA22</f>
        <v>1.0564</v>
      </c>
      <c r="AE22" s="32">
        <f>AM22 + (AQ22-AM22) * $AA22</f>
        <v>1.016</v>
      </c>
      <c r="AF22" s="44">
        <f>AR22 + (AV22-AR22) * $AA22</f>
        <v>1.1439999999999999</v>
      </c>
      <c r="AG22" s="32">
        <f>AS22 + (AW22-AS22) * $AA22</f>
        <v>1.1044</v>
      </c>
      <c r="AH22" s="32">
        <f>AT22 + (AX22-AT22) * $AA22</f>
        <v>1.0564</v>
      </c>
      <c r="AI22" s="32">
        <f>AU22 + (AY22-AU22) * $AA22</f>
        <v>1.016</v>
      </c>
      <c r="AJ22" s="54">
        <f>VLOOKUP(AJ$5, $BA$6:$BV$10, $Y22+2)</f>
        <v>1.165</v>
      </c>
      <c r="AK22" s="35">
        <f>VLOOKUP(AK$5, $BA$6:$BV$10, $Y22+2)</f>
        <v>1.105</v>
      </c>
      <c r="AL22" s="35">
        <f>VLOOKUP(AL$5, $BA$6:$BV$10, $Y22+2)</f>
        <v>1.0529999999999999</v>
      </c>
      <c r="AM22" s="35">
        <f>VLOOKUP(AM$5, $BA$6:$BV$10, $Y22+2)</f>
        <v>1.0149999999999999</v>
      </c>
      <c r="AN22" s="37">
        <f>VLOOKUP(AN$5, $BA$6:$BV$10, $Z22+2)</f>
        <v>1.22</v>
      </c>
      <c r="AO22" s="35">
        <f>VLOOKUP(AO$5, $BA$6:$BV$10, $Z22+2)</f>
        <v>1.1399999999999999</v>
      </c>
      <c r="AP22" s="35">
        <f>VLOOKUP(AP$5, $BA$6:$BV$10, $Z22+2)</f>
        <v>1.07</v>
      </c>
      <c r="AQ22" s="35">
        <f>VLOOKUP(AQ$5, $BA$6:$BV$10, $Z22+2)</f>
        <v>1.02</v>
      </c>
      <c r="AR22" s="37">
        <f>VLOOKUP(AR$5, $BA$12:$BV$16, $Y22+2)</f>
        <v>1.135</v>
      </c>
      <c r="AS22" s="35">
        <f>VLOOKUP(AS$5, $BA$12:$BV$16, $Y22+2)</f>
        <v>1.0980000000000001</v>
      </c>
      <c r="AT22" s="35">
        <f>VLOOKUP(AT$5, $BA$12:$BV$16, $Y22+2)</f>
        <v>1.0529999999999999</v>
      </c>
      <c r="AU22" s="35">
        <f>VLOOKUP(AU$5, $BA$12:$BV$16, $Y22+2)</f>
        <v>1.0149999999999999</v>
      </c>
      <c r="AV22" s="37">
        <f>VLOOKUP(AV$5, $BA$12:$BV$16, $Z22+2)</f>
        <v>1.18</v>
      </c>
      <c r="AW22" s="35">
        <f>VLOOKUP(AW$5, $BA$12:$BV$16, $Z22+2)</f>
        <v>1.1299999999999999</v>
      </c>
      <c r="AX22" s="35">
        <f>VLOOKUP(AX$5, $BA$12:$BV$16, $Z22+2)</f>
        <v>1.07</v>
      </c>
      <c r="AY22" s="35">
        <f>VLOOKUP(AY$5, $BA$12:$BV$16, $Z22+2)</f>
        <v>1.02</v>
      </c>
    </row>
    <row r="23" spans="23:51" x14ac:dyDescent="0.25">
      <c r="W23" s="30">
        <v>17</v>
      </c>
      <c r="X23" s="32">
        <f t="shared" si="4"/>
        <v>3.4</v>
      </c>
      <c r="Y23" s="32">
        <f t="shared" si="5"/>
        <v>3</v>
      </c>
      <c r="Z23" s="32">
        <f t="shared" si="6"/>
        <v>4</v>
      </c>
      <c r="AA23" s="32">
        <f>X23 - Y23</f>
        <v>0.39999999999999991</v>
      </c>
      <c r="AB23" s="50">
        <f>AJ23 + (AN23-AJ23) * $AA23</f>
        <v>1.1870000000000001</v>
      </c>
      <c r="AC23" s="32">
        <f>AK23 + (AO23-AK23) * $AA23</f>
        <v>1.119</v>
      </c>
      <c r="AD23" s="32">
        <f>AL23 + (AP23-AL23) * $AA23</f>
        <v>1.0598000000000001</v>
      </c>
      <c r="AE23" s="32">
        <f>AM23 + (AQ23-AM23) * $AA23</f>
        <v>1.0169999999999999</v>
      </c>
      <c r="AF23" s="44">
        <f>AR23 + (AV23-AR23) * $AA23</f>
        <v>1.153</v>
      </c>
      <c r="AG23" s="32">
        <f>AS23 + (AW23-AS23) * $AA23</f>
        <v>1.1108</v>
      </c>
      <c r="AH23" s="32">
        <f>AT23 + (AX23-AT23) * $AA23</f>
        <v>1.0598000000000001</v>
      </c>
      <c r="AI23" s="32">
        <f>AU23 + (AY23-AU23) * $AA23</f>
        <v>1.0169999999999999</v>
      </c>
      <c r="AJ23" s="54">
        <f>VLOOKUP(AJ$5, $BA$6:$BV$10, $Y23+2)</f>
        <v>1.165</v>
      </c>
      <c r="AK23" s="35">
        <f>VLOOKUP(AK$5, $BA$6:$BV$10, $Y23+2)</f>
        <v>1.105</v>
      </c>
      <c r="AL23" s="35">
        <f>VLOOKUP(AL$5, $BA$6:$BV$10, $Y23+2)</f>
        <v>1.0529999999999999</v>
      </c>
      <c r="AM23" s="35">
        <f>VLOOKUP(AM$5, $BA$6:$BV$10, $Y23+2)</f>
        <v>1.0149999999999999</v>
      </c>
      <c r="AN23" s="37">
        <f>VLOOKUP(AN$5, $BA$6:$BV$10, $Z23+2)</f>
        <v>1.22</v>
      </c>
      <c r="AO23" s="35">
        <f>VLOOKUP(AO$5, $BA$6:$BV$10, $Z23+2)</f>
        <v>1.1399999999999999</v>
      </c>
      <c r="AP23" s="35">
        <f>VLOOKUP(AP$5, $BA$6:$BV$10, $Z23+2)</f>
        <v>1.07</v>
      </c>
      <c r="AQ23" s="35">
        <f>VLOOKUP(AQ$5, $BA$6:$BV$10, $Z23+2)</f>
        <v>1.02</v>
      </c>
      <c r="AR23" s="37">
        <f>VLOOKUP(AR$5, $BA$12:$BV$16, $Y23+2)</f>
        <v>1.135</v>
      </c>
      <c r="AS23" s="35">
        <f>VLOOKUP(AS$5, $BA$12:$BV$16, $Y23+2)</f>
        <v>1.0980000000000001</v>
      </c>
      <c r="AT23" s="35">
        <f>VLOOKUP(AT$5, $BA$12:$BV$16, $Y23+2)</f>
        <v>1.0529999999999999</v>
      </c>
      <c r="AU23" s="35">
        <f>VLOOKUP(AU$5, $BA$12:$BV$16, $Y23+2)</f>
        <v>1.0149999999999999</v>
      </c>
      <c r="AV23" s="37">
        <f>VLOOKUP(AV$5, $BA$12:$BV$16, $Z23+2)</f>
        <v>1.18</v>
      </c>
      <c r="AW23" s="35">
        <f>VLOOKUP(AW$5, $BA$12:$BV$16, $Z23+2)</f>
        <v>1.1299999999999999</v>
      </c>
      <c r="AX23" s="35">
        <f>VLOOKUP(AX$5, $BA$12:$BV$16, $Z23+2)</f>
        <v>1.07</v>
      </c>
      <c r="AY23" s="35">
        <f>VLOOKUP(AY$5, $BA$12:$BV$16, $Z23+2)</f>
        <v>1.02</v>
      </c>
    </row>
    <row r="24" spans="23:51" x14ac:dyDescent="0.25">
      <c r="W24" s="30">
        <v>18</v>
      </c>
      <c r="X24" s="32">
        <f t="shared" si="4"/>
        <v>3.6</v>
      </c>
      <c r="Y24" s="32">
        <f t="shared" si="5"/>
        <v>3</v>
      </c>
      <c r="Z24" s="32">
        <f t="shared" si="6"/>
        <v>4</v>
      </c>
      <c r="AA24" s="32">
        <f>X24 - Y24</f>
        <v>0.60000000000000009</v>
      </c>
      <c r="AB24" s="50">
        <f>AJ24 + (AN24-AJ24) * $AA24</f>
        <v>1.198</v>
      </c>
      <c r="AC24" s="32">
        <f>AK24 + (AO24-AK24) * $AA24</f>
        <v>1.1259999999999999</v>
      </c>
      <c r="AD24" s="32">
        <f>AL24 + (AP24-AL24) * $AA24</f>
        <v>1.0631999999999999</v>
      </c>
      <c r="AE24" s="32">
        <f>AM24 + (AQ24-AM24) * $AA24</f>
        <v>1.018</v>
      </c>
      <c r="AF24" s="44">
        <f>AR24 + (AV24-AR24) * $AA24</f>
        <v>1.1619999999999999</v>
      </c>
      <c r="AG24" s="32">
        <f>AS24 + (AW24-AS24) * $AA24</f>
        <v>1.1172</v>
      </c>
      <c r="AH24" s="32">
        <f>AT24 + (AX24-AT24) * $AA24</f>
        <v>1.0631999999999999</v>
      </c>
      <c r="AI24" s="32">
        <f>AU24 + (AY24-AU24) * $AA24</f>
        <v>1.018</v>
      </c>
      <c r="AJ24" s="54">
        <f>VLOOKUP(AJ$5, $BA$6:$BV$10, $Y24+2)</f>
        <v>1.165</v>
      </c>
      <c r="AK24" s="35">
        <f>VLOOKUP(AK$5, $BA$6:$BV$10, $Y24+2)</f>
        <v>1.105</v>
      </c>
      <c r="AL24" s="35">
        <f>VLOOKUP(AL$5, $BA$6:$BV$10, $Y24+2)</f>
        <v>1.0529999999999999</v>
      </c>
      <c r="AM24" s="35">
        <f>VLOOKUP(AM$5, $BA$6:$BV$10, $Y24+2)</f>
        <v>1.0149999999999999</v>
      </c>
      <c r="AN24" s="37">
        <f>VLOOKUP(AN$5, $BA$6:$BV$10, $Z24+2)</f>
        <v>1.22</v>
      </c>
      <c r="AO24" s="35">
        <f>VLOOKUP(AO$5, $BA$6:$BV$10, $Z24+2)</f>
        <v>1.1399999999999999</v>
      </c>
      <c r="AP24" s="35">
        <f>VLOOKUP(AP$5, $BA$6:$BV$10, $Z24+2)</f>
        <v>1.07</v>
      </c>
      <c r="AQ24" s="35">
        <f>VLOOKUP(AQ$5, $BA$6:$BV$10, $Z24+2)</f>
        <v>1.02</v>
      </c>
      <c r="AR24" s="37">
        <f>VLOOKUP(AR$5, $BA$12:$BV$16, $Y24+2)</f>
        <v>1.135</v>
      </c>
      <c r="AS24" s="35">
        <f>VLOOKUP(AS$5, $BA$12:$BV$16, $Y24+2)</f>
        <v>1.0980000000000001</v>
      </c>
      <c r="AT24" s="35">
        <f>VLOOKUP(AT$5, $BA$12:$BV$16, $Y24+2)</f>
        <v>1.0529999999999999</v>
      </c>
      <c r="AU24" s="35">
        <f>VLOOKUP(AU$5, $BA$12:$BV$16, $Y24+2)</f>
        <v>1.0149999999999999</v>
      </c>
      <c r="AV24" s="37">
        <f>VLOOKUP(AV$5, $BA$12:$BV$16, $Z24+2)</f>
        <v>1.18</v>
      </c>
      <c r="AW24" s="35">
        <f>VLOOKUP(AW$5, $BA$12:$BV$16, $Z24+2)</f>
        <v>1.1299999999999999</v>
      </c>
      <c r="AX24" s="35">
        <f>VLOOKUP(AX$5, $BA$12:$BV$16, $Z24+2)</f>
        <v>1.07</v>
      </c>
      <c r="AY24" s="35">
        <f>VLOOKUP(AY$5, $BA$12:$BV$16, $Z24+2)</f>
        <v>1.02</v>
      </c>
    </row>
    <row r="25" spans="23:51" x14ac:dyDescent="0.25">
      <c r="W25" s="30">
        <v>19</v>
      </c>
      <c r="X25" s="32">
        <f t="shared" si="4"/>
        <v>3.8</v>
      </c>
      <c r="Y25" s="32">
        <f t="shared" si="5"/>
        <v>3</v>
      </c>
      <c r="Z25" s="32">
        <f t="shared" si="6"/>
        <v>4</v>
      </c>
      <c r="AA25" s="32">
        <f>X25 - Y25</f>
        <v>0.79999999999999982</v>
      </c>
      <c r="AB25" s="50">
        <f>AJ25 + (AN25-AJ25) * $AA25</f>
        <v>1.2090000000000001</v>
      </c>
      <c r="AC25" s="32">
        <f>AK25 + (AO25-AK25) * $AA25</f>
        <v>1.133</v>
      </c>
      <c r="AD25" s="32">
        <f>AL25 + (AP25-AL25) * $AA25</f>
        <v>1.0666</v>
      </c>
      <c r="AE25" s="32">
        <f>AM25 + (AQ25-AM25) * $AA25</f>
        <v>1.0189999999999999</v>
      </c>
      <c r="AF25" s="44">
        <f>AR25 + (AV25-AR25) * $AA25</f>
        <v>1.171</v>
      </c>
      <c r="AG25" s="32">
        <f>AS25 + (AW25-AS25) * $AA25</f>
        <v>1.1235999999999999</v>
      </c>
      <c r="AH25" s="32">
        <f>AT25 + (AX25-AT25) * $AA25</f>
        <v>1.0666</v>
      </c>
      <c r="AI25" s="32">
        <f>AU25 + (AY25-AU25) * $AA25</f>
        <v>1.0189999999999999</v>
      </c>
      <c r="AJ25" s="54">
        <f>VLOOKUP(AJ$5, $BA$6:$BV$10, $Y25+2)</f>
        <v>1.165</v>
      </c>
      <c r="AK25" s="35">
        <f>VLOOKUP(AK$5, $BA$6:$BV$10, $Y25+2)</f>
        <v>1.105</v>
      </c>
      <c r="AL25" s="35">
        <f>VLOOKUP(AL$5, $BA$6:$BV$10, $Y25+2)</f>
        <v>1.0529999999999999</v>
      </c>
      <c r="AM25" s="35">
        <f>VLOOKUP(AM$5, $BA$6:$BV$10, $Y25+2)</f>
        <v>1.0149999999999999</v>
      </c>
      <c r="AN25" s="37">
        <f>VLOOKUP(AN$5, $BA$6:$BV$10, $Z25+2)</f>
        <v>1.22</v>
      </c>
      <c r="AO25" s="35">
        <f>VLOOKUP(AO$5, $BA$6:$BV$10, $Z25+2)</f>
        <v>1.1399999999999999</v>
      </c>
      <c r="AP25" s="35">
        <f>VLOOKUP(AP$5, $BA$6:$BV$10, $Z25+2)</f>
        <v>1.07</v>
      </c>
      <c r="AQ25" s="35">
        <f>VLOOKUP(AQ$5, $BA$6:$BV$10, $Z25+2)</f>
        <v>1.02</v>
      </c>
      <c r="AR25" s="37">
        <f>VLOOKUP(AR$5, $BA$12:$BV$16, $Y25+2)</f>
        <v>1.135</v>
      </c>
      <c r="AS25" s="35">
        <f>VLOOKUP(AS$5, $BA$12:$BV$16, $Y25+2)</f>
        <v>1.0980000000000001</v>
      </c>
      <c r="AT25" s="35">
        <f>VLOOKUP(AT$5, $BA$12:$BV$16, $Y25+2)</f>
        <v>1.0529999999999999</v>
      </c>
      <c r="AU25" s="35">
        <f>VLOOKUP(AU$5, $BA$12:$BV$16, $Y25+2)</f>
        <v>1.0149999999999999</v>
      </c>
      <c r="AV25" s="37">
        <f>VLOOKUP(AV$5, $BA$12:$BV$16, $Z25+2)</f>
        <v>1.18</v>
      </c>
      <c r="AW25" s="35">
        <f>VLOOKUP(AW$5, $BA$12:$BV$16, $Z25+2)</f>
        <v>1.1299999999999999</v>
      </c>
      <c r="AX25" s="35">
        <f>VLOOKUP(AX$5, $BA$12:$BV$16, $Z25+2)</f>
        <v>1.07</v>
      </c>
      <c r="AY25" s="35">
        <f>VLOOKUP(AY$5, $BA$12:$BV$16, $Z25+2)</f>
        <v>1.02</v>
      </c>
    </row>
    <row r="26" spans="23:51" x14ac:dyDescent="0.25">
      <c r="W26" s="30">
        <v>20</v>
      </c>
      <c r="X26" s="32">
        <f t="shared" si="4"/>
        <v>4</v>
      </c>
      <c r="Y26" s="32">
        <f t="shared" si="5"/>
        <v>4</v>
      </c>
      <c r="Z26" s="32">
        <f t="shared" si="6"/>
        <v>5</v>
      </c>
      <c r="AA26" s="32">
        <f>X26 - Y26</f>
        <v>0</v>
      </c>
      <c r="AB26" s="50">
        <f>AJ26 + (AN26-AJ26) * $AA26</f>
        <v>1.22</v>
      </c>
      <c r="AC26" s="32">
        <f>AK26 + (AO26-AK26) * $AA26</f>
        <v>1.1399999999999999</v>
      </c>
      <c r="AD26" s="32">
        <f>AL26 + (AP26-AL26) * $AA26</f>
        <v>1.07</v>
      </c>
      <c r="AE26" s="32">
        <f>AM26 + (AQ26-AM26) * $AA26</f>
        <v>1.02</v>
      </c>
      <c r="AF26" s="44">
        <f>AR26 + (AV26-AR26) * $AA26</f>
        <v>1.18</v>
      </c>
      <c r="AG26" s="32">
        <f>AS26 + (AW26-AS26) * $AA26</f>
        <v>1.1299999999999999</v>
      </c>
      <c r="AH26" s="32">
        <f>AT26 + (AX26-AT26) * $AA26</f>
        <v>1.07</v>
      </c>
      <c r="AI26" s="32">
        <f>AU26 + (AY26-AU26) * $AA26</f>
        <v>1.02</v>
      </c>
      <c r="AJ26" s="54">
        <f>VLOOKUP(AJ$5, $BA$6:$BV$10, $Y26+2)</f>
        <v>1.22</v>
      </c>
      <c r="AK26" s="35">
        <f>VLOOKUP(AK$5, $BA$6:$BV$10, $Y26+2)</f>
        <v>1.1399999999999999</v>
      </c>
      <c r="AL26" s="35">
        <f>VLOOKUP(AL$5, $BA$6:$BV$10, $Y26+2)</f>
        <v>1.07</v>
      </c>
      <c r="AM26" s="35">
        <f>VLOOKUP(AM$5, $BA$6:$BV$10, $Y26+2)</f>
        <v>1.02</v>
      </c>
      <c r="AN26" s="37">
        <f>VLOOKUP(AN$5, $BA$6:$BV$10, $Z26+2)</f>
        <v>1.2729999999999999</v>
      </c>
      <c r="AO26" s="35">
        <f>VLOOKUP(AO$5, $BA$6:$BV$10, $Z26+2)</f>
        <v>1.173</v>
      </c>
      <c r="AP26" s="35">
        <f>VLOOKUP(AP$5, $BA$6:$BV$10, $Z26+2)</f>
        <v>1.0900000000000001</v>
      </c>
      <c r="AQ26" s="35">
        <f>VLOOKUP(AQ$5, $BA$6:$BV$10, $Z26+2)</f>
        <v>1.0329999999999999</v>
      </c>
      <c r="AR26" s="37">
        <f>VLOOKUP(AR$5, $BA$12:$BV$16, $Y26+2)</f>
        <v>1.18</v>
      </c>
      <c r="AS26" s="35">
        <f>VLOOKUP(AS$5, $BA$12:$BV$16, $Y26+2)</f>
        <v>1.1299999999999999</v>
      </c>
      <c r="AT26" s="35">
        <f>VLOOKUP(AT$5, $BA$12:$BV$16, $Y26+2)</f>
        <v>1.07</v>
      </c>
      <c r="AU26" s="35">
        <f>VLOOKUP(AU$5, $BA$12:$BV$16, $Y26+2)</f>
        <v>1.02</v>
      </c>
      <c r="AV26" s="37">
        <f>VLOOKUP(AV$5, $BA$12:$BV$16, $Z26+2)</f>
        <v>1.2250000000000001</v>
      </c>
      <c r="AW26" s="35">
        <f>VLOOKUP(AW$5, $BA$12:$BV$16, $Z26+2)</f>
        <v>1.1599999999999999</v>
      </c>
      <c r="AX26" s="35">
        <f>VLOOKUP(AX$5, $BA$12:$BV$16, $Z26+2)</f>
        <v>1.0900000000000001</v>
      </c>
      <c r="AY26" s="35">
        <f>VLOOKUP(AY$5, $BA$12:$BV$16, $Z26+2)</f>
        <v>1.0329999999999999</v>
      </c>
    </row>
    <row r="27" spans="23:51" x14ac:dyDescent="0.25">
      <c r="W27" s="30">
        <v>21</v>
      </c>
      <c r="X27" s="32">
        <f t="shared" si="4"/>
        <v>4.2</v>
      </c>
      <c r="Y27" s="32">
        <f t="shared" si="5"/>
        <v>4</v>
      </c>
      <c r="Z27" s="32">
        <f t="shared" si="6"/>
        <v>5</v>
      </c>
      <c r="AA27" s="32">
        <f>X27 - Y27</f>
        <v>0.20000000000000018</v>
      </c>
      <c r="AB27" s="50">
        <f>AJ27 + (AN27-AJ27) * $AA27</f>
        <v>1.2305999999999999</v>
      </c>
      <c r="AC27" s="32">
        <f>AK27 + (AO27-AK27) * $AA27</f>
        <v>1.1465999999999998</v>
      </c>
      <c r="AD27" s="32">
        <f>AL27 + (AP27-AL27) * $AA27</f>
        <v>1.0740000000000001</v>
      </c>
      <c r="AE27" s="32">
        <f>AM27 + (AQ27-AM27) * $AA27</f>
        <v>1.0226</v>
      </c>
      <c r="AF27" s="44">
        <f>AR27 + (AV27-AR27) * $AA27</f>
        <v>1.1890000000000001</v>
      </c>
      <c r="AG27" s="32">
        <f>AS27 + (AW27-AS27) * $AA27</f>
        <v>1.1359999999999999</v>
      </c>
      <c r="AH27" s="32">
        <f>AT27 + (AX27-AT27) * $AA27</f>
        <v>1.0740000000000001</v>
      </c>
      <c r="AI27" s="32">
        <f>AU27 + (AY27-AU27) * $AA27</f>
        <v>1.0226</v>
      </c>
      <c r="AJ27" s="54">
        <f>VLOOKUP(AJ$5, $BA$6:$BV$10, $Y27+2)</f>
        <v>1.22</v>
      </c>
      <c r="AK27" s="35">
        <f>VLOOKUP(AK$5, $BA$6:$BV$10, $Y27+2)</f>
        <v>1.1399999999999999</v>
      </c>
      <c r="AL27" s="35">
        <f>VLOOKUP(AL$5, $BA$6:$BV$10, $Y27+2)</f>
        <v>1.07</v>
      </c>
      <c r="AM27" s="35">
        <f>VLOOKUP(AM$5, $BA$6:$BV$10, $Y27+2)</f>
        <v>1.02</v>
      </c>
      <c r="AN27" s="37">
        <f>VLOOKUP(AN$5, $BA$6:$BV$10, $Z27+2)</f>
        <v>1.2729999999999999</v>
      </c>
      <c r="AO27" s="35">
        <f>VLOOKUP(AO$5, $BA$6:$BV$10, $Z27+2)</f>
        <v>1.173</v>
      </c>
      <c r="AP27" s="35">
        <f>VLOOKUP(AP$5, $BA$6:$BV$10, $Z27+2)</f>
        <v>1.0900000000000001</v>
      </c>
      <c r="AQ27" s="35">
        <f>VLOOKUP(AQ$5, $BA$6:$BV$10, $Z27+2)</f>
        <v>1.0329999999999999</v>
      </c>
      <c r="AR27" s="37">
        <f>VLOOKUP(AR$5, $BA$12:$BV$16, $Y27+2)</f>
        <v>1.18</v>
      </c>
      <c r="AS27" s="35">
        <f>VLOOKUP(AS$5, $BA$12:$BV$16, $Y27+2)</f>
        <v>1.1299999999999999</v>
      </c>
      <c r="AT27" s="35">
        <f>VLOOKUP(AT$5, $BA$12:$BV$16, $Y27+2)</f>
        <v>1.07</v>
      </c>
      <c r="AU27" s="35">
        <f>VLOOKUP(AU$5, $BA$12:$BV$16, $Y27+2)</f>
        <v>1.02</v>
      </c>
      <c r="AV27" s="37">
        <f>VLOOKUP(AV$5, $BA$12:$BV$16, $Z27+2)</f>
        <v>1.2250000000000001</v>
      </c>
      <c r="AW27" s="35">
        <f>VLOOKUP(AW$5, $BA$12:$BV$16, $Z27+2)</f>
        <v>1.1599999999999999</v>
      </c>
      <c r="AX27" s="35">
        <f>VLOOKUP(AX$5, $BA$12:$BV$16, $Z27+2)</f>
        <v>1.0900000000000001</v>
      </c>
      <c r="AY27" s="35">
        <f>VLOOKUP(AY$5, $BA$12:$BV$16, $Z27+2)</f>
        <v>1.0329999999999999</v>
      </c>
    </row>
    <row r="28" spans="23:51" x14ac:dyDescent="0.25">
      <c r="W28" s="30">
        <v>22</v>
      </c>
      <c r="X28" s="32">
        <f t="shared" si="4"/>
        <v>4.4000000000000004</v>
      </c>
      <c r="Y28" s="32">
        <f t="shared" si="5"/>
        <v>4</v>
      </c>
      <c r="Z28" s="32">
        <f t="shared" si="6"/>
        <v>5</v>
      </c>
      <c r="AA28" s="32">
        <f>X28 - Y28</f>
        <v>0.40000000000000036</v>
      </c>
      <c r="AB28" s="50">
        <f>AJ28 + (AN28-AJ28) * $AA28</f>
        <v>1.2411999999999999</v>
      </c>
      <c r="AC28" s="32">
        <f>AK28 + (AO28-AK28) * $AA28</f>
        <v>1.1532</v>
      </c>
      <c r="AD28" s="32">
        <f>AL28 + (AP28-AL28) * $AA28</f>
        <v>1.0780000000000001</v>
      </c>
      <c r="AE28" s="32">
        <f>AM28 + (AQ28-AM28) * $AA28</f>
        <v>1.0251999999999999</v>
      </c>
      <c r="AF28" s="44">
        <f>AR28 + (AV28-AR28) * $AA28</f>
        <v>1.198</v>
      </c>
      <c r="AG28" s="32">
        <f>AS28 + (AW28-AS28) * $AA28</f>
        <v>1.1419999999999999</v>
      </c>
      <c r="AH28" s="32">
        <f>AT28 + (AX28-AT28) * $AA28</f>
        <v>1.0780000000000001</v>
      </c>
      <c r="AI28" s="32">
        <f>AU28 + (AY28-AU28) * $AA28</f>
        <v>1.0251999999999999</v>
      </c>
      <c r="AJ28" s="54">
        <f>VLOOKUP(AJ$5, $BA$6:$BV$10, $Y28+2)</f>
        <v>1.22</v>
      </c>
      <c r="AK28" s="35">
        <f>VLOOKUP(AK$5, $BA$6:$BV$10, $Y28+2)</f>
        <v>1.1399999999999999</v>
      </c>
      <c r="AL28" s="35">
        <f>VLOOKUP(AL$5, $BA$6:$BV$10, $Y28+2)</f>
        <v>1.07</v>
      </c>
      <c r="AM28" s="35">
        <f>VLOOKUP(AM$5, $BA$6:$BV$10, $Y28+2)</f>
        <v>1.02</v>
      </c>
      <c r="AN28" s="37">
        <f>VLOOKUP(AN$5, $BA$6:$BV$10, $Z28+2)</f>
        <v>1.2729999999999999</v>
      </c>
      <c r="AO28" s="35">
        <f>VLOOKUP(AO$5, $BA$6:$BV$10, $Z28+2)</f>
        <v>1.173</v>
      </c>
      <c r="AP28" s="35">
        <f>VLOOKUP(AP$5, $BA$6:$BV$10, $Z28+2)</f>
        <v>1.0900000000000001</v>
      </c>
      <c r="AQ28" s="35">
        <f>VLOOKUP(AQ$5, $BA$6:$BV$10, $Z28+2)</f>
        <v>1.0329999999999999</v>
      </c>
      <c r="AR28" s="37">
        <f>VLOOKUP(AR$5, $BA$12:$BV$16, $Y28+2)</f>
        <v>1.18</v>
      </c>
      <c r="AS28" s="35">
        <f>VLOOKUP(AS$5, $BA$12:$BV$16, $Y28+2)</f>
        <v>1.1299999999999999</v>
      </c>
      <c r="AT28" s="35">
        <f>VLOOKUP(AT$5, $BA$12:$BV$16, $Y28+2)</f>
        <v>1.07</v>
      </c>
      <c r="AU28" s="35">
        <f>VLOOKUP(AU$5, $BA$12:$BV$16, $Y28+2)</f>
        <v>1.02</v>
      </c>
      <c r="AV28" s="37">
        <f>VLOOKUP(AV$5, $BA$12:$BV$16, $Z28+2)</f>
        <v>1.2250000000000001</v>
      </c>
      <c r="AW28" s="35">
        <f>VLOOKUP(AW$5, $BA$12:$BV$16, $Z28+2)</f>
        <v>1.1599999999999999</v>
      </c>
      <c r="AX28" s="35">
        <f>VLOOKUP(AX$5, $BA$12:$BV$16, $Z28+2)</f>
        <v>1.0900000000000001</v>
      </c>
      <c r="AY28" s="35">
        <f>VLOOKUP(AY$5, $BA$12:$BV$16, $Z28+2)</f>
        <v>1.0329999999999999</v>
      </c>
    </row>
    <row r="29" spans="23:51" x14ac:dyDescent="0.25">
      <c r="W29" s="30">
        <v>23</v>
      </c>
      <c r="X29" s="32">
        <f t="shared" si="4"/>
        <v>4.5999999999999996</v>
      </c>
      <c r="Y29" s="32">
        <f t="shared" si="5"/>
        <v>4</v>
      </c>
      <c r="Z29" s="32">
        <f t="shared" si="6"/>
        <v>5</v>
      </c>
      <c r="AA29" s="32">
        <f>X29 - Y29</f>
        <v>0.59999999999999964</v>
      </c>
      <c r="AB29" s="50">
        <f>AJ29 + (AN29-AJ29) * $AA29</f>
        <v>1.2517999999999998</v>
      </c>
      <c r="AC29" s="32">
        <f>AK29 + (AO29-AK29) * $AA29</f>
        <v>1.1597999999999999</v>
      </c>
      <c r="AD29" s="32">
        <f>AL29 + (AP29-AL29) * $AA29</f>
        <v>1.0820000000000001</v>
      </c>
      <c r="AE29" s="32">
        <f>AM29 + (AQ29-AM29) * $AA29</f>
        <v>1.0278</v>
      </c>
      <c r="AF29" s="44">
        <f>AR29 + (AV29-AR29) * $AA29</f>
        <v>1.2070000000000001</v>
      </c>
      <c r="AG29" s="32">
        <f>AS29 + (AW29-AS29) * $AA29</f>
        <v>1.1479999999999999</v>
      </c>
      <c r="AH29" s="32">
        <f>AT29 + (AX29-AT29) * $AA29</f>
        <v>1.0820000000000001</v>
      </c>
      <c r="AI29" s="32">
        <f>AU29 + (AY29-AU29) * $AA29</f>
        <v>1.0278</v>
      </c>
      <c r="AJ29" s="54">
        <f>VLOOKUP(AJ$5, $BA$6:$BV$10, $Y29+2)</f>
        <v>1.22</v>
      </c>
      <c r="AK29" s="35">
        <f>VLOOKUP(AK$5, $BA$6:$BV$10, $Y29+2)</f>
        <v>1.1399999999999999</v>
      </c>
      <c r="AL29" s="35">
        <f>VLOOKUP(AL$5, $BA$6:$BV$10, $Y29+2)</f>
        <v>1.07</v>
      </c>
      <c r="AM29" s="35">
        <f>VLOOKUP(AM$5, $BA$6:$BV$10, $Y29+2)</f>
        <v>1.02</v>
      </c>
      <c r="AN29" s="37">
        <f>VLOOKUP(AN$5, $BA$6:$BV$10, $Z29+2)</f>
        <v>1.2729999999999999</v>
      </c>
      <c r="AO29" s="35">
        <f>VLOOKUP(AO$5, $BA$6:$BV$10, $Z29+2)</f>
        <v>1.173</v>
      </c>
      <c r="AP29" s="35">
        <f>VLOOKUP(AP$5, $BA$6:$BV$10, $Z29+2)</f>
        <v>1.0900000000000001</v>
      </c>
      <c r="AQ29" s="35">
        <f>VLOOKUP(AQ$5, $BA$6:$BV$10, $Z29+2)</f>
        <v>1.0329999999999999</v>
      </c>
      <c r="AR29" s="37">
        <f>VLOOKUP(AR$5, $BA$12:$BV$16, $Y29+2)</f>
        <v>1.18</v>
      </c>
      <c r="AS29" s="35">
        <f>VLOOKUP(AS$5, $BA$12:$BV$16, $Y29+2)</f>
        <v>1.1299999999999999</v>
      </c>
      <c r="AT29" s="35">
        <f>VLOOKUP(AT$5, $BA$12:$BV$16, $Y29+2)</f>
        <v>1.07</v>
      </c>
      <c r="AU29" s="35">
        <f>VLOOKUP(AU$5, $BA$12:$BV$16, $Y29+2)</f>
        <v>1.02</v>
      </c>
      <c r="AV29" s="37">
        <f>VLOOKUP(AV$5, $BA$12:$BV$16, $Z29+2)</f>
        <v>1.2250000000000001</v>
      </c>
      <c r="AW29" s="35">
        <f>VLOOKUP(AW$5, $BA$12:$BV$16, $Z29+2)</f>
        <v>1.1599999999999999</v>
      </c>
      <c r="AX29" s="35">
        <f>VLOOKUP(AX$5, $BA$12:$BV$16, $Z29+2)</f>
        <v>1.0900000000000001</v>
      </c>
      <c r="AY29" s="35">
        <f>VLOOKUP(AY$5, $BA$12:$BV$16, $Z29+2)</f>
        <v>1.0329999999999999</v>
      </c>
    </row>
    <row r="30" spans="23:51" x14ac:dyDescent="0.25">
      <c r="W30" s="30">
        <v>24</v>
      </c>
      <c r="X30" s="32">
        <f t="shared" si="4"/>
        <v>4.8</v>
      </c>
      <c r="Y30" s="32">
        <f t="shared" si="5"/>
        <v>4</v>
      </c>
      <c r="Z30" s="32">
        <f t="shared" si="6"/>
        <v>5</v>
      </c>
      <c r="AA30" s="32">
        <f>X30 - Y30</f>
        <v>0.79999999999999982</v>
      </c>
      <c r="AB30" s="50">
        <f>AJ30 + (AN30-AJ30) * $AA30</f>
        <v>1.2624</v>
      </c>
      <c r="AC30" s="32">
        <f>AK30 + (AO30-AK30) * $AA30</f>
        <v>1.1664000000000001</v>
      </c>
      <c r="AD30" s="32">
        <f>AL30 + (AP30-AL30) * $AA30</f>
        <v>1.0860000000000001</v>
      </c>
      <c r="AE30" s="32">
        <f>AM30 + (AQ30-AM30) * $AA30</f>
        <v>1.0304</v>
      </c>
      <c r="AF30" s="44">
        <f>AR30 + (AV30-AR30) * $AA30</f>
        <v>1.216</v>
      </c>
      <c r="AG30" s="32">
        <f>AS30 + (AW30-AS30) * $AA30</f>
        <v>1.1539999999999999</v>
      </c>
      <c r="AH30" s="32">
        <f>AT30 + (AX30-AT30) * $AA30</f>
        <v>1.0860000000000001</v>
      </c>
      <c r="AI30" s="32">
        <f>AU30 + (AY30-AU30) * $AA30</f>
        <v>1.0304</v>
      </c>
      <c r="AJ30" s="54">
        <f>VLOOKUP(AJ$5, $BA$6:$BV$10, $Y30+2)</f>
        <v>1.22</v>
      </c>
      <c r="AK30" s="35">
        <f>VLOOKUP(AK$5, $BA$6:$BV$10, $Y30+2)</f>
        <v>1.1399999999999999</v>
      </c>
      <c r="AL30" s="35">
        <f>VLOOKUP(AL$5, $BA$6:$BV$10, $Y30+2)</f>
        <v>1.07</v>
      </c>
      <c r="AM30" s="35">
        <f>VLOOKUP(AM$5, $BA$6:$BV$10, $Y30+2)</f>
        <v>1.02</v>
      </c>
      <c r="AN30" s="37">
        <f>VLOOKUP(AN$5, $BA$6:$BV$10, $Z30+2)</f>
        <v>1.2729999999999999</v>
      </c>
      <c r="AO30" s="35">
        <f>VLOOKUP(AO$5, $BA$6:$BV$10, $Z30+2)</f>
        <v>1.173</v>
      </c>
      <c r="AP30" s="35">
        <f>VLOOKUP(AP$5, $BA$6:$BV$10, $Z30+2)</f>
        <v>1.0900000000000001</v>
      </c>
      <c r="AQ30" s="35">
        <f>VLOOKUP(AQ$5, $BA$6:$BV$10, $Z30+2)</f>
        <v>1.0329999999999999</v>
      </c>
      <c r="AR30" s="37">
        <f>VLOOKUP(AR$5, $BA$12:$BV$16, $Y30+2)</f>
        <v>1.18</v>
      </c>
      <c r="AS30" s="35">
        <f>VLOOKUP(AS$5, $BA$12:$BV$16, $Y30+2)</f>
        <v>1.1299999999999999</v>
      </c>
      <c r="AT30" s="35">
        <f>VLOOKUP(AT$5, $BA$12:$BV$16, $Y30+2)</f>
        <v>1.07</v>
      </c>
      <c r="AU30" s="35">
        <f>VLOOKUP(AU$5, $BA$12:$BV$16, $Y30+2)</f>
        <v>1.02</v>
      </c>
      <c r="AV30" s="37">
        <f>VLOOKUP(AV$5, $BA$12:$BV$16, $Z30+2)</f>
        <v>1.2250000000000001</v>
      </c>
      <c r="AW30" s="35">
        <f>VLOOKUP(AW$5, $BA$12:$BV$16, $Z30+2)</f>
        <v>1.1599999999999999</v>
      </c>
      <c r="AX30" s="35">
        <f>VLOOKUP(AX$5, $BA$12:$BV$16, $Z30+2)</f>
        <v>1.0900000000000001</v>
      </c>
      <c r="AY30" s="35">
        <f>VLOOKUP(AY$5, $BA$12:$BV$16, $Z30+2)</f>
        <v>1.0329999999999999</v>
      </c>
    </row>
    <row r="31" spans="23:51" x14ac:dyDescent="0.25">
      <c r="W31" s="30">
        <v>25</v>
      </c>
      <c r="X31" s="32">
        <f t="shared" si="4"/>
        <v>5</v>
      </c>
      <c r="Y31" s="32">
        <f t="shared" si="5"/>
        <v>5</v>
      </c>
      <c r="Z31" s="32">
        <f t="shared" si="6"/>
        <v>6</v>
      </c>
      <c r="AA31" s="32">
        <f>X31 - Y31</f>
        <v>0</v>
      </c>
      <c r="AB31" s="50">
        <f>AJ31 + (AN31-AJ31) * $AA31</f>
        <v>1.2729999999999999</v>
      </c>
      <c r="AC31" s="32">
        <f>AK31 + (AO31-AK31) * $AA31</f>
        <v>1.173</v>
      </c>
      <c r="AD31" s="32">
        <f>AL31 + (AP31-AL31) * $AA31</f>
        <v>1.0900000000000001</v>
      </c>
      <c r="AE31" s="32">
        <f>AM31 + (AQ31-AM31) * $AA31</f>
        <v>1.0329999999999999</v>
      </c>
      <c r="AF31" s="44">
        <f>AR31 + (AV31-AR31) * $AA31</f>
        <v>1.2250000000000001</v>
      </c>
      <c r="AG31" s="32">
        <f>AS31 + (AW31-AS31) * $AA31</f>
        <v>1.1599999999999999</v>
      </c>
      <c r="AH31" s="32">
        <f>AT31 + (AX31-AT31) * $AA31</f>
        <v>1.0900000000000001</v>
      </c>
      <c r="AI31" s="32">
        <f>AU31 + (AY31-AU31) * $AA31</f>
        <v>1.0329999999999999</v>
      </c>
      <c r="AJ31" s="54">
        <f>VLOOKUP(AJ$5, $BA$6:$BV$10, $Y31+2)</f>
        <v>1.2729999999999999</v>
      </c>
      <c r="AK31" s="35">
        <f>VLOOKUP(AK$5, $BA$6:$BV$10, $Y31+2)</f>
        <v>1.173</v>
      </c>
      <c r="AL31" s="35">
        <f>VLOOKUP(AL$5, $BA$6:$BV$10, $Y31+2)</f>
        <v>1.0900000000000001</v>
      </c>
      <c r="AM31" s="35">
        <f>VLOOKUP(AM$5, $BA$6:$BV$10, $Y31+2)</f>
        <v>1.0329999999999999</v>
      </c>
      <c r="AN31" s="37">
        <f>VLOOKUP(AN$5, $BA$6:$BV$10, $Z31+2)</f>
        <v>1.325</v>
      </c>
      <c r="AO31" s="35">
        <f>VLOOKUP(AO$5, $BA$6:$BV$10, $Z31+2)</f>
        <v>1.2050000000000001</v>
      </c>
      <c r="AP31" s="35">
        <f>VLOOKUP(AP$5, $BA$6:$BV$10, $Z31+2)</f>
        <v>1.1100000000000001</v>
      </c>
      <c r="AQ31" s="35">
        <f>VLOOKUP(AQ$5, $BA$6:$BV$10, $Z31+2)</f>
        <v>1.0449999999999999</v>
      </c>
      <c r="AR31" s="37">
        <f>VLOOKUP(AR$5, $BA$12:$BV$16, $Y31+2)</f>
        <v>1.2250000000000001</v>
      </c>
      <c r="AS31" s="35">
        <f>VLOOKUP(AS$5, $BA$12:$BV$16, $Y31+2)</f>
        <v>1.1599999999999999</v>
      </c>
      <c r="AT31" s="35">
        <f>VLOOKUP(AT$5, $BA$12:$BV$16, $Y31+2)</f>
        <v>1.0900000000000001</v>
      </c>
      <c r="AU31" s="35">
        <f>VLOOKUP(AU$5, $BA$12:$BV$16, $Y31+2)</f>
        <v>1.0329999999999999</v>
      </c>
      <c r="AV31" s="37">
        <f>VLOOKUP(AV$5, $BA$12:$BV$16, $Z31+2)</f>
        <v>1.27</v>
      </c>
      <c r="AW31" s="35">
        <f>VLOOKUP(AW$5, $BA$12:$BV$16, $Z31+2)</f>
        <v>1.19</v>
      </c>
      <c r="AX31" s="35">
        <f>VLOOKUP(AX$5, $BA$12:$BV$16, $Z31+2)</f>
        <v>1.1100000000000001</v>
      </c>
      <c r="AY31" s="35">
        <f>VLOOKUP(AY$5, $BA$12:$BV$16, $Z31+2)</f>
        <v>1.0449999999999999</v>
      </c>
    </row>
    <row r="32" spans="23:51" x14ac:dyDescent="0.25">
      <c r="W32" s="30">
        <v>26</v>
      </c>
      <c r="X32" s="32">
        <f t="shared" si="4"/>
        <v>5.2</v>
      </c>
      <c r="Y32" s="32">
        <f t="shared" si="5"/>
        <v>5</v>
      </c>
      <c r="Z32" s="32">
        <f t="shared" si="6"/>
        <v>6</v>
      </c>
      <c r="AA32" s="32">
        <f>X32 - Y32</f>
        <v>0.20000000000000018</v>
      </c>
      <c r="AB32" s="50">
        <f>AJ32 + (AN32-AJ32) * $AA32</f>
        <v>1.2833999999999999</v>
      </c>
      <c r="AC32" s="32">
        <f>AK32 + (AO32-AK32) * $AA32</f>
        <v>1.1794</v>
      </c>
      <c r="AD32" s="32">
        <f>AL32 + (AP32-AL32) * $AA32</f>
        <v>1.0940000000000001</v>
      </c>
      <c r="AE32" s="32">
        <f>AM32 + (AQ32-AM32) * $AA32</f>
        <v>1.0353999999999999</v>
      </c>
      <c r="AF32" s="44">
        <f>AR32 + (AV32-AR32) * $AA32</f>
        <v>1.234</v>
      </c>
      <c r="AG32" s="32">
        <f>AS32 + (AW32-AS32) * $AA32</f>
        <v>1.1659999999999999</v>
      </c>
      <c r="AH32" s="32">
        <f>AT32 + (AX32-AT32) * $AA32</f>
        <v>1.0940000000000001</v>
      </c>
      <c r="AI32" s="32">
        <f>AU32 + (AY32-AU32) * $AA32</f>
        <v>1.0353999999999999</v>
      </c>
      <c r="AJ32" s="54">
        <f>VLOOKUP(AJ$5, $BA$6:$BV$10, $Y32+2)</f>
        <v>1.2729999999999999</v>
      </c>
      <c r="AK32" s="35">
        <f>VLOOKUP(AK$5, $BA$6:$BV$10, $Y32+2)</f>
        <v>1.173</v>
      </c>
      <c r="AL32" s="35">
        <f>VLOOKUP(AL$5, $BA$6:$BV$10, $Y32+2)</f>
        <v>1.0900000000000001</v>
      </c>
      <c r="AM32" s="35">
        <f>VLOOKUP(AM$5, $BA$6:$BV$10, $Y32+2)</f>
        <v>1.0329999999999999</v>
      </c>
      <c r="AN32" s="37">
        <f>VLOOKUP(AN$5, $BA$6:$BV$10, $Z32+2)</f>
        <v>1.325</v>
      </c>
      <c r="AO32" s="35">
        <f>VLOOKUP(AO$5, $BA$6:$BV$10, $Z32+2)</f>
        <v>1.2050000000000001</v>
      </c>
      <c r="AP32" s="35">
        <f>VLOOKUP(AP$5, $BA$6:$BV$10, $Z32+2)</f>
        <v>1.1100000000000001</v>
      </c>
      <c r="AQ32" s="35">
        <f>VLOOKUP(AQ$5, $BA$6:$BV$10, $Z32+2)</f>
        <v>1.0449999999999999</v>
      </c>
      <c r="AR32" s="37">
        <f>VLOOKUP(AR$5, $BA$12:$BV$16, $Y32+2)</f>
        <v>1.2250000000000001</v>
      </c>
      <c r="AS32" s="35">
        <f>VLOOKUP(AS$5, $BA$12:$BV$16, $Y32+2)</f>
        <v>1.1599999999999999</v>
      </c>
      <c r="AT32" s="35">
        <f>VLOOKUP(AT$5, $BA$12:$BV$16, $Y32+2)</f>
        <v>1.0900000000000001</v>
      </c>
      <c r="AU32" s="35">
        <f>VLOOKUP(AU$5, $BA$12:$BV$16, $Y32+2)</f>
        <v>1.0329999999999999</v>
      </c>
      <c r="AV32" s="37">
        <f>VLOOKUP(AV$5, $BA$12:$BV$16, $Z32+2)</f>
        <v>1.27</v>
      </c>
      <c r="AW32" s="35">
        <f>VLOOKUP(AW$5, $BA$12:$BV$16, $Z32+2)</f>
        <v>1.19</v>
      </c>
      <c r="AX32" s="35">
        <f>VLOOKUP(AX$5, $BA$12:$BV$16, $Z32+2)</f>
        <v>1.1100000000000001</v>
      </c>
      <c r="AY32" s="35">
        <f>VLOOKUP(AY$5, $BA$12:$BV$16, $Z32+2)</f>
        <v>1.0449999999999999</v>
      </c>
    </row>
    <row r="33" spans="23:51" x14ac:dyDescent="0.25">
      <c r="W33" s="30">
        <v>27</v>
      </c>
      <c r="X33" s="32">
        <f t="shared" si="4"/>
        <v>5.4</v>
      </c>
      <c r="Y33" s="32">
        <f t="shared" si="5"/>
        <v>5</v>
      </c>
      <c r="Z33" s="32">
        <f t="shared" si="6"/>
        <v>6</v>
      </c>
      <c r="AA33" s="32">
        <f>X33 - Y33</f>
        <v>0.40000000000000036</v>
      </c>
      <c r="AB33" s="50">
        <f>AJ33 + (AN33-AJ33) * $AA33</f>
        <v>1.2937999999999998</v>
      </c>
      <c r="AC33" s="32">
        <f>AK33 + (AO33-AK33) * $AA33</f>
        <v>1.1858</v>
      </c>
      <c r="AD33" s="32">
        <f>AL33 + (AP33-AL33) * $AA33</f>
        <v>1.0980000000000001</v>
      </c>
      <c r="AE33" s="32">
        <f>AM33 + (AQ33-AM33) * $AA33</f>
        <v>1.0377999999999998</v>
      </c>
      <c r="AF33" s="44">
        <f>AR33 + (AV33-AR33) * $AA33</f>
        <v>1.2430000000000001</v>
      </c>
      <c r="AG33" s="32">
        <f>AS33 + (AW33-AS33) * $AA33</f>
        <v>1.1719999999999999</v>
      </c>
      <c r="AH33" s="32">
        <f>AT33 + (AX33-AT33) * $AA33</f>
        <v>1.0980000000000001</v>
      </c>
      <c r="AI33" s="32">
        <f>AU33 + (AY33-AU33) * $AA33</f>
        <v>1.0377999999999998</v>
      </c>
      <c r="AJ33" s="54">
        <f>VLOOKUP(AJ$5, $BA$6:$BV$10, $Y33+2)</f>
        <v>1.2729999999999999</v>
      </c>
      <c r="AK33" s="35">
        <f>VLOOKUP(AK$5, $BA$6:$BV$10, $Y33+2)</f>
        <v>1.173</v>
      </c>
      <c r="AL33" s="35">
        <f>VLOOKUP(AL$5, $BA$6:$BV$10, $Y33+2)</f>
        <v>1.0900000000000001</v>
      </c>
      <c r="AM33" s="35">
        <f>VLOOKUP(AM$5, $BA$6:$BV$10, $Y33+2)</f>
        <v>1.0329999999999999</v>
      </c>
      <c r="AN33" s="37">
        <f>VLOOKUP(AN$5, $BA$6:$BV$10, $Z33+2)</f>
        <v>1.325</v>
      </c>
      <c r="AO33" s="35">
        <f>VLOOKUP(AO$5, $BA$6:$BV$10, $Z33+2)</f>
        <v>1.2050000000000001</v>
      </c>
      <c r="AP33" s="35">
        <f>VLOOKUP(AP$5, $BA$6:$BV$10, $Z33+2)</f>
        <v>1.1100000000000001</v>
      </c>
      <c r="AQ33" s="35">
        <f>VLOOKUP(AQ$5, $BA$6:$BV$10, $Z33+2)</f>
        <v>1.0449999999999999</v>
      </c>
      <c r="AR33" s="37">
        <f>VLOOKUP(AR$5, $BA$12:$BV$16, $Y33+2)</f>
        <v>1.2250000000000001</v>
      </c>
      <c r="AS33" s="35">
        <f>VLOOKUP(AS$5, $BA$12:$BV$16, $Y33+2)</f>
        <v>1.1599999999999999</v>
      </c>
      <c r="AT33" s="35">
        <f>VLOOKUP(AT$5, $BA$12:$BV$16, $Y33+2)</f>
        <v>1.0900000000000001</v>
      </c>
      <c r="AU33" s="35">
        <f>VLOOKUP(AU$5, $BA$12:$BV$16, $Y33+2)</f>
        <v>1.0329999999999999</v>
      </c>
      <c r="AV33" s="37">
        <f>VLOOKUP(AV$5, $BA$12:$BV$16, $Z33+2)</f>
        <v>1.27</v>
      </c>
      <c r="AW33" s="35">
        <f>VLOOKUP(AW$5, $BA$12:$BV$16, $Z33+2)</f>
        <v>1.19</v>
      </c>
      <c r="AX33" s="35">
        <f>VLOOKUP(AX$5, $BA$12:$BV$16, $Z33+2)</f>
        <v>1.1100000000000001</v>
      </c>
      <c r="AY33" s="35">
        <f>VLOOKUP(AY$5, $BA$12:$BV$16, $Z33+2)</f>
        <v>1.0449999999999999</v>
      </c>
    </row>
    <row r="34" spans="23:51" x14ac:dyDescent="0.25">
      <c r="W34" s="30">
        <v>28</v>
      </c>
      <c r="X34" s="32">
        <f t="shared" si="4"/>
        <v>5.6</v>
      </c>
      <c r="Y34" s="32">
        <f t="shared" si="5"/>
        <v>5</v>
      </c>
      <c r="Z34" s="32">
        <f t="shared" si="6"/>
        <v>6</v>
      </c>
      <c r="AA34" s="32">
        <f>X34 - Y34</f>
        <v>0.59999999999999964</v>
      </c>
      <c r="AB34" s="50">
        <f>AJ34 + (AN34-AJ34) * $AA34</f>
        <v>1.3042</v>
      </c>
      <c r="AC34" s="32">
        <f>AK34 + (AO34-AK34) * $AA34</f>
        <v>1.1922000000000001</v>
      </c>
      <c r="AD34" s="32">
        <f>AL34 + (AP34-AL34) * $AA34</f>
        <v>1.1020000000000001</v>
      </c>
      <c r="AE34" s="32">
        <f>AM34 + (AQ34-AM34) * $AA34</f>
        <v>1.0402</v>
      </c>
      <c r="AF34" s="44">
        <f>AR34 + (AV34-AR34) * $AA34</f>
        <v>1.252</v>
      </c>
      <c r="AG34" s="32">
        <f>AS34 + (AW34-AS34) * $AA34</f>
        <v>1.1779999999999999</v>
      </c>
      <c r="AH34" s="32">
        <f>AT34 + (AX34-AT34) * $AA34</f>
        <v>1.1020000000000001</v>
      </c>
      <c r="AI34" s="32">
        <f>AU34 + (AY34-AU34) * $AA34</f>
        <v>1.0402</v>
      </c>
      <c r="AJ34" s="54">
        <f>VLOOKUP(AJ$5, $BA$6:$BV$10, $Y34+2)</f>
        <v>1.2729999999999999</v>
      </c>
      <c r="AK34" s="35">
        <f>VLOOKUP(AK$5, $BA$6:$BV$10, $Y34+2)</f>
        <v>1.173</v>
      </c>
      <c r="AL34" s="35">
        <f>VLOOKUP(AL$5, $BA$6:$BV$10, $Y34+2)</f>
        <v>1.0900000000000001</v>
      </c>
      <c r="AM34" s="35">
        <f>VLOOKUP(AM$5, $BA$6:$BV$10, $Y34+2)</f>
        <v>1.0329999999999999</v>
      </c>
      <c r="AN34" s="37">
        <f>VLOOKUP(AN$5, $BA$6:$BV$10, $Z34+2)</f>
        <v>1.325</v>
      </c>
      <c r="AO34" s="35">
        <f>VLOOKUP(AO$5, $BA$6:$BV$10, $Z34+2)</f>
        <v>1.2050000000000001</v>
      </c>
      <c r="AP34" s="35">
        <f>VLOOKUP(AP$5, $BA$6:$BV$10, $Z34+2)</f>
        <v>1.1100000000000001</v>
      </c>
      <c r="AQ34" s="35">
        <f>VLOOKUP(AQ$5, $BA$6:$BV$10, $Z34+2)</f>
        <v>1.0449999999999999</v>
      </c>
      <c r="AR34" s="37">
        <f>VLOOKUP(AR$5, $BA$12:$BV$16, $Y34+2)</f>
        <v>1.2250000000000001</v>
      </c>
      <c r="AS34" s="35">
        <f>VLOOKUP(AS$5, $BA$12:$BV$16, $Y34+2)</f>
        <v>1.1599999999999999</v>
      </c>
      <c r="AT34" s="35">
        <f>VLOOKUP(AT$5, $BA$12:$BV$16, $Y34+2)</f>
        <v>1.0900000000000001</v>
      </c>
      <c r="AU34" s="35">
        <f>VLOOKUP(AU$5, $BA$12:$BV$16, $Y34+2)</f>
        <v>1.0329999999999999</v>
      </c>
      <c r="AV34" s="37">
        <f>VLOOKUP(AV$5, $BA$12:$BV$16, $Z34+2)</f>
        <v>1.27</v>
      </c>
      <c r="AW34" s="35">
        <f>VLOOKUP(AW$5, $BA$12:$BV$16, $Z34+2)</f>
        <v>1.19</v>
      </c>
      <c r="AX34" s="35">
        <f>VLOOKUP(AX$5, $BA$12:$BV$16, $Z34+2)</f>
        <v>1.1100000000000001</v>
      </c>
      <c r="AY34" s="35">
        <f>VLOOKUP(AY$5, $BA$12:$BV$16, $Z34+2)</f>
        <v>1.0449999999999999</v>
      </c>
    </row>
    <row r="35" spans="23:51" x14ac:dyDescent="0.25">
      <c r="W35" s="30">
        <v>29</v>
      </c>
      <c r="X35" s="32">
        <f t="shared" si="4"/>
        <v>5.8</v>
      </c>
      <c r="Y35" s="32">
        <f t="shared" si="5"/>
        <v>5</v>
      </c>
      <c r="Z35" s="32">
        <f t="shared" si="6"/>
        <v>6</v>
      </c>
      <c r="AA35" s="32">
        <f>X35 - Y35</f>
        <v>0.79999999999999982</v>
      </c>
      <c r="AB35" s="50">
        <f>AJ35 + (AN35-AJ35) * $AA35</f>
        <v>1.3146</v>
      </c>
      <c r="AC35" s="32">
        <f>AK35 + (AO35-AK35) * $AA35</f>
        <v>1.1986000000000001</v>
      </c>
      <c r="AD35" s="32">
        <f>AL35 + (AP35-AL35) * $AA35</f>
        <v>1.1060000000000001</v>
      </c>
      <c r="AE35" s="32">
        <f>AM35 + (AQ35-AM35) * $AA35</f>
        <v>1.0426</v>
      </c>
      <c r="AF35" s="44">
        <f>AR35 + (AV35-AR35) * $AA35</f>
        <v>1.2610000000000001</v>
      </c>
      <c r="AG35" s="32">
        <f>AS35 + (AW35-AS35) * $AA35</f>
        <v>1.1839999999999999</v>
      </c>
      <c r="AH35" s="32">
        <f>AT35 + (AX35-AT35) * $AA35</f>
        <v>1.1060000000000001</v>
      </c>
      <c r="AI35" s="32">
        <f>AU35 + (AY35-AU35) * $AA35</f>
        <v>1.0426</v>
      </c>
      <c r="AJ35" s="54">
        <f>VLOOKUP(AJ$5, $BA$6:$BV$10, $Y35+2)</f>
        <v>1.2729999999999999</v>
      </c>
      <c r="AK35" s="35">
        <f>VLOOKUP(AK$5, $BA$6:$BV$10, $Y35+2)</f>
        <v>1.173</v>
      </c>
      <c r="AL35" s="35">
        <f>VLOOKUP(AL$5, $BA$6:$BV$10, $Y35+2)</f>
        <v>1.0900000000000001</v>
      </c>
      <c r="AM35" s="35">
        <f>VLOOKUP(AM$5, $BA$6:$BV$10, $Y35+2)</f>
        <v>1.0329999999999999</v>
      </c>
      <c r="AN35" s="37">
        <f>VLOOKUP(AN$5, $BA$6:$BV$10, $Z35+2)</f>
        <v>1.325</v>
      </c>
      <c r="AO35" s="35">
        <f>VLOOKUP(AO$5, $BA$6:$BV$10, $Z35+2)</f>
        <v>1.2050000000000001</v>
      </c>
      <c r="AP35" s="35">
        <f>VLOOKUP(AP$5, $BA$6:$BV$10, $Z35+2)</f>
        <v>1.1100000000000001</v>
      </c>
      <c r="AQ35" s="35">
        <f>VLOOKUP(AQ$5, $BA$6:$BV$10, $Z35+2)</f>
        <v>1.0449999999999999</v>
      </c>
      <c r="AR35" s="37">
        <f>VLOOKUP(AR$5, $BA$12:$BV$16, $Y35+2)</f>
        <v>1.2250000000000001</v>
      </c>
      <c r="AS35" s="35">
        <f>VLOOKUP(AS$5, $BA$12:$BV$16, $Y35+2)</f>
        <v>1.1599999999999999</v>
      </c>
      <c r="AT35" s="35">
        <f>VLOOKUP(AT$5, $BA$12:$BV$16, $Y35+2)</f>
        <v>1.0900000000000001</v>
      </c>
      <c r="AU35" s="35">
        <f>VLOOKUP(AU$5, $BA$12:$BV$16, $Y35+2)</f>
        <v>1.0329999999999999</v>
      </c>
      <c r="AV35" s="37">
        <f>VLOOKUP(AV$5, $BA$12:$BV$16, $Z35+2)</f>
        <v>1.27</v>
      </c>
      <c r="AW35" s="35">
        <f>VLOOKUP(AW$5, $BA$12:$BV$16, $Z35+2)</f>
        <v>1.19</v>
      </c>
      <c r="AX35" s="35">
        <f>VLOOKUP(AX$5, $BA$12:$BV$16, $Z35+2)</f>
        <v>1.1100000000000001</v>
      </c>
      <c r="AY35" s="35">
        <f>VLOOKUP(AY$5, $BA$12:$BV$16, $Z35+2)</f>
        <v>1.0449999999999999</v>
      </c>
    </row>
    <row r="36" spans="23:51" x14ac:dyDescent="0.25">
      <c r="W36" s="30">
        <v>30</v>
      </c>
      <c r="X36" s="32">
        <f t="shared" si="4"/>
        <v>6</v>
      </c>
      <c r="Y36" s="32">
        <f t="shared" si="5"/>
        <v>6</v>
      </c>
      <c r="Z36" s="32">
        <f t="shared" si="6"/>
        <v>7</v>
      </c>
      <c r="AA36" s="32">
        <f>X36 - Y36</f>
        <v>0</v>
      </c>
      <c r="AB36" s="50">
        <f>AJ36 + (AN36-AJ36) * $AA36</f>
        <v>1.325</v>
      </c>
      <c r="AC36" s="32">
        <f>AK36 + (AO36-AK36) * $AA36</f>
        <v>1.2050000000000001</v>
      </c>
      <c r="AD36" s="32">
        <f>AL36 + (AP36-AL36) * $AA36</f>
        <v>1.1100000000000001</v>
      </c>
      <c r="AE36" s="32">
        <f>AM36 + (AQ36-AM36) * $AA36</f>
        <v>1.0449999999999999</v>
      </c>
      <c r="AF36" s="44">
        <f>AR36 + (AV36-AR36) * $AA36</f>
        <v>1.27</v>
      </c>
      <c r="AG36" s="32">
        <f>AS36 + (AW36-AS36) * $AA36</f>
        <v>1.19</v>
      </c>
      <c r="AH36" s="32">
        <f>AT36 + (AX36-AT36) * $AA36</f>
        <v>1.1100000000000001</v>
      </c>
      <c r="AI36" s="32">
        <f>AU36 + (AY36-AU36) * $AA36</f>
        <v>1.0449999999999999</v>
      </c>
      <c r="AJ36" s="54">
        <f>VLOOKUP(AJ$5, $BA$6:$BV$10, $Y36+2)</f>
        <v>1.325</v>
      </c>
      <c r="AK36" s="35">
        <f>VLOOKUP(AK$5, $BA$6:$BV$10, $Y36+2)</f>
        <v>1.2050000000000001</v>
      </c>
      <c r="AL36" s="35">
        <f>VLOOKUP(AL$5, $BA$6:$BV$10, $Y36+2)</f>
        <v>1.1100000000000001</v>
      </c>
      <c r="AM36" s="35">
        <f>VLOOKUP(AM$5, $BA$6:$BV$10, $Y36+2)</f>
        <v>1.0449999999999999</v>
      </c>
      <c r="AN36" s="37">
        <f>VLOOKUP(AN$5, $BA$6:$BV$10, $Z36+2)</f>
        <v>1.3779999999999999</v>
      </c>
      <c r="AO36" s="35">
        <f>VLOOKUP(AO$5, $BA$6:$BV$10, $Z36+2)</f>
        <v>1.238</v>
      </c>
      <c r="AP36" s="35">
        <f>VLOOKUP(AP$5, $BA$6:$BV$10, $Z36+2)</f>
        <v>1.1299999999999999</v>
      </c>
      <c r="AQ36" s="35">
        <f>VLOOKUP(AQ$5, $BA$6:$BV$10, $Z36+2)</f>
        <v>1.0580000000000001</v>
      </c>
      <c r="AR36" s="37">
        <f>VLOOKUP(AR$5, $BA$12:$BV$16, $Y36+2)</f>
        <v>1.27</v>
      </c>
      <c r="AS36" s="35">
        <f>VLOOKUP(AS$5, $BA$12:$BV$16, $Y36+2)</f>
        <v>1.19</v>
      </c>
      <c r="AT36" s="35">
        <f>VLOOKUP(AT$5, $BA$12:$BV$16, $Y36+2)</f>
        <v>1.1100000000000001</v>
      </c>
      <c r="AU36" s="35">
        <f>VLOOKUP(AU$5, $BA$12:$BV$16, $Y36+2)</f>
        <v>1.0449999999999999</v>
      </c>
      <c r="AV36" s="37">
        <f>VLOOKUP(AV$5, $BA$12:$BV$16, $Z36+2)</f>
        <v>1.3149999999999999</v>
      </c>
      <c r="AW36" s="35">
        <f>VLOOKUP(AW$5, $BA$12:$BV$16, $Z36+2)</f>
        <v>1.22</v>
      </c>
      <c r="AX36" s="35">
        <f>VLOOKUP(AX$5, $BA$12:$BV$16, $Z36+2)</f>
        <v>1.1299999999999999</v>
      </c>
      <c r="AY36" s="35">
        <f>VLOOKUP(AY$5, $BA$12:$BV$16, $Z36+2)</f>
        <v>1.0580000000000001</v>
      </c>
    </row>
    <row r="37" spans="23:51" x14ac:dyDescent="0.25">
      <c r="W37" s="30">
        <v>31</v>
      </c>
      <c r="X37" s="32">
        <f t="shared" si="4"/>
        <v>6.2</v>
      </c>
      <c r="Y37" s="32">
        <f t="shared" si="5"/>
        <v>6</v>
      </c>
      <c r="Z37" s="32">
        <f t="shared" si="6"/>
        <v>7</v>
      </c>
      <c r="AA37" s="32">
        <f>X37 - Y37</f>
        <v>0.20000000000000018</v>
      </c>
      <c r="AB37" s="50">
        <f>AJ37 + (AN37-AJ37) * $AA37</f>
        <v>1.3355999999999999</v>
      </c>
      <c r="AC37" s="32">
        <f>AK37 + (AO37-AK37) * $AA37</f>
        <v>1.2116</v>
      </c>
      <c r="AD37" s="32">
        <f>AL37 + (AP37-AL37) * $AA37</f>
        <v>1.1140000000000001</v>
      </c>
      <c r="AE37" s="32">
        <f>AM37 + (AQ37-AM37) * $AA37</f>
        <v>1.0475999999999999</v>
      </c>
      <c r="AF37" s="44">
        <f>AR37 + (AV37-AR37) * $AA37</f>
        <v>1.2789999999999999</v>
      </c>
      <c r="AG37" s="32">
        <f>AS37 + (AW37-AS37) * $AA37</f>
        <v>1.196</v>
      </c>
      <c r="AH37" s="32">
        <f>AT37 + (AX37-AT37) * $AA37</f>
        <v>1.1140000000000001</v>
      </c>
      <c r="AI37" s="32">
        <f>AU37 + (AY37-AU37) * $AA37</f>
        <v>1.0475999999999999</v>
      </c>
      <c r="AJ37" s="54">
        <f>VLOOKUP(AJ$5, $BA$6:$BV$10, $Y37+2)</f>
        <v>1.325</v>
      </c>
      <c r="AK37" s="35">
        <f>VLOOKUP(AK$5, $BA$6:$BV$10, $Y37+2)</f>
        <v>1.2050000000000001</v>
      </c>
      <c r="AL37" s="35">
        <f>VLOOKUP(AL$5, $BA$6:$BV$10, $Y37+2)</f>
        <v>1.1100000000000001</v>
      </c>
      <c r="AM37" s="35">
        <f>VLOOKUP(AM$5, $BA$6:$BV$10, $Y37+2)</f>
        <v>1.0449999999999999</v>
      </c>
      <c r="AN37" s="37">
        <f>VLOOKUP(AN$5, $BA$6:$BV$10, $Z37+2)</f>
        <v>1.3779999999999999</v>
      </c>
      <c r="AO37" s="35">
        <f>VLOOKUP(AO$5, $BA$6:$BV$10, $Z37+2)</f>
        <v>1.238</v>
      </c>
      <c r="AP37" s="35">
        <f>VLOOKUP(AP$5, $BA$6:$BV$10, $Z37+2)</f>
        <v>1.1299999999999999</v>
      </c>
      <c r="AQ37" s="35">
        <f>VLOOKUP(AQ$5, $BA$6:$BV$10, $Z37+2)</f>
        <v>1.0580000000000001</v>
      </c>
      <c r="AR37" s="37">
        <f>VLOOKUP(AR$5, $BA$12:$BV$16, $Y37+2)</f>
        <v>1.27</v>
      </c>
      <c r="AS37" s="35">
        <f>VLOOKUP(AS$5, $BA$12:$BV$16, $Y37+2)</f>
        <v>1.19</v>
      </c>
      <c r="AT37" s="35">
        <f>VLOOKUP(AT$5, $BA$12:$BV$16, $Y37+2)</f>
        <v>1.1100000000000001</v>
      </c>
      <c r="AU37" s="35">
        <f>VLOOKUP(AU$5, $BA$12:$BV$16, $Y37+2)</f>
        <v>1.0449999999999999</v>
      </c>
      <c r="AV37" s="37">
        <f>VLOOKUP(AV$5, $BA$12:$BV$16, $Z37+2)</f>
        <v>1.3149999999999999</v>
      </c>
      <c r="AW37" s="35">
        <f>VLOOKUP(AW$5, $BA$12:$BV$16, $Z37+2)</f>
        <v>1.22</v>
      </c>
      <c r="AX37" s="35">
        <f>VLOOKUP(AX$5, $BA$12:$BV$16, $Z37+2)</f>
        <v>1.1299999999999999</v>
      </c>
      <c r="AY37" s="35">
        <f>VLOOKUP(AY$5, $BA$12:$BV$16, $Z37+2)</f>
        <v>1.0580000000000001</v>
      </c>
    </row>
    <row r="38" spans="23:51" x14ac:dyDescent="0.25">
      <c r="W38" s="30">
        <v>32</v>
      </c>
      <c r="X38" s="32">
        <f t="shared" si="4"/>
        <v>6.4</v>
      </c>
      <c r="Y38" s="32">
        <f t="shared" si="5"/>
        <v>6</v>
      </c>
      <c r="Z38" s="32">
        <f t="shared" si="6"/>
        <v>7</v>
      </c>
      <c r="AA38" s="32">
        <f>X38 - Y38</f>
        <v>0.40000000000000036</v>
      </c>
      <c r="AB38" s="50">
        <f>AJ38 + (AN38-AJ38) * $AA38</f>
        <v>1.3461999999999998</v>
      </c>
      <c r="AC38" s="32">
        <f>AK38 + (AO38-AK38) * $AA38</f>
        <v>1.2181999999999999</v>
      </c>
      <c r="AD38" s="32">
        <f>AL38 + (AP38-AL38) * $AA38</f>
        <v>1.1180000000000001</v>
      </c>
      <c r="AE38" s="32">
        <f>AM38 + (AQ38-AM38) * $AA38</f>
        <v>1.0502</v>
      </c>
      <c r="AF38" s="44">
        <f>AR38 + (AV38-AR38) * $AA38</f>
        <v>1.288</v>
      </c>
      <c r="AG38" s="32">
        <f>AS38 + (AW38-AS38) * $AA38</f>
        <v>1.202</v>
      </c>
      <c r="AH38" s="32">
        <f>AT38 + (AX38-AT38) * $AA38</f>
        <v>1.1180000000000001</v>
      </c>
      <c r="AI38" s="32">
        <f>AU38 + (AY38-AU38) * $AA38</f>
        <v>1.0502</v>
      </c>
      <c r="AJ38" s="54">
        <f>VLOOKUP(AJ$5, $BA$6:$BV$10, $Y38+2)</f>
        <v>1.325</v>
      </c>
      <c r="AK38" s="35">
        <f>VLOOKUP(AK$5, $BA$6:$BV$10, $Y38+2)</f>
        <v>1.2050000000000001</v>
      </c>
      <c r="AL38" s="35">
        <f>VLOOKUP(AL$5, $BA$6:$BV$10, $Y38+2)</f>
        <v>1.1100000000000001</v>
      </c>
      <c r="AM38" s="35">
        <f>VLOOKUP(AM$5, $BA$6:$BV$10, $Y38+2)</f>
        <v>1.0449999999999999</v>
      </c>
      <c r="AN38" s="37">
        <f>VLOOKUP(AN$5, $BA$6:$BV$10, $Z38+2)</f>
        <v>1.3779999999999999</v>
      </c>
      <c r="AO38" s="35">
        <f>VLOOKUP(AO$5, $BA$6:$BV$10, $Z38+2)</f>
        <v>1.238</v>
      </c>
      <c r="AP38" s="35">
        <f>VLOOKUP(AP$5, $BA$6:$BV$10, $Z38+2)</f>
        <v>1.1299999999999999</v>
      </c>
      <c r="AQ38" s="35">
        <f>VLOOKUP(AQ$5, $BA$6:$BV$10, $Z38+2)</f>
        <v>1.0580000000000001</v>
      </c>
      <c r="AR38" s="37">
        <f>VLOOKUP(AR$5, $BA$12:$BV$16, $Y38+2)</f>
        <v>1.27</v>
      </c>
      <c r="AS38" s="35">
        <f>VLOOKUP(AS$5, $BA$12:$BV$16, $Y38+2)</f>
        <v>1.19</v>
      </c>
      <c r="AT38" s="35">
        <f>VLOOKUP(AT$5, $BA$12:$BV$16, $Y38+2)</f>
        <v>1.1100000000000001</v>
      </c>
      <c r="AU38" s="35">
        <f>VLOOKUP(AU$5, $BA$12:$BV$16, $Y38+2)</f>
        <v>1.0449999999999999</v>
      </c>
      <c r="AV38" s="37">
        <f>VLOOKUP(AV$5, $BA$12:$BV$16, $Z38+2)</f>
        <v>1.3149999999999999</v>
      </c>
      <c r="AW38" s="35">
        <f>VLOOKUP(AW$5, $BA$12:$BV$16, $Z38+2)</f>
        <v>1.22</v>
      </c>
      <c r="AX38" s="35">
        <f>VLOOKUP(AX$5, $BA$12:$BV$16, $Z38+2)</f>
        <v>1.1299999999999999</v>
      </c>
      <c r="AY38" s="35">
        <f>VLOOKUP(AY$5, $BA$12:$BV$16, $Z38+2)</f>
        <v>1.0580000000000001</v>
      </c>
    </row>
    <row r="39" spans="23:51" x14ac:dyDescent="0.25">
      <c r="W39" s="30">
        <v>33</v>
      </c>
      <c r="X39" s="32">
        <f t="shared" si="4"/>
        <v>6.6</v>
      </c>
      <c r="Y39" s="32">
        <f t="shared" si="5"/>
        <v>6</v>
      </c>
      <c r="Z39" s="32">
        <f t="shared" si="6"/>
        <v>7</v>
      </c>
      <c r="AA39" s="32">
        <f>X39 - Y39</f>
        <v>0.59999999999999964</v>
      </c>
      <c r="AB39" s="50">
        <f>AJ39 + (AN39-AJ39) * $AA39</f>
        <v>1.3567999999999998</v>
      </c>
      <c r="AC39" s="32">
        <f>AK39 + (AO39-AK39) * $AA39</f>
        <v>1.2248000000000001</v>
      </c>
      <c r="AD39" s="32">
        <f>AL39 + (AP39-AL39) * $AA39</f>
        <v>1.1219999999999999</v>
      </c>
      <c r="AE39" s="32">
        <f>AM39 + (AQ39-AM39) * $AA39</f>
        <v>1.0528</v>
      </c>
      <c r="AF39" s="44">
        <f>AR39 + (AV39-AR39) * $AA39</f>
        <v>1.2969999999999999</v>
      </c>
      <c r="AG39" s="32">
        <f>AS39 + (AW39-AS39) * $AA39</f>
        <v>1.208</v>
      </c>
      <c r="AH39" s="32">
        <f>AT39 + (AX39-AT39) * $AA39</f>
        <v>1.1219999999999999</v>
      </c>
      <c r="AI39" s="32">
        <f>AU39 + (AY39-AU39) * $AA39</f>
        <v>1.0528</v>
      </c>
      <c r="AJ39" s="54">
        <f>VLOOKUP(AJ$5, $BA$6:$BV$10, $Y39+2)</f>
        <v>1.325</v>
      </c>
      <c r="AK39" s="35">
        <f>VLOOKUP(AK$5, $BA$6:$BV$10, $Y39+2)</f>
        <v>1.2050000000000001</v>
      </c>
      <c r="AL39" s="35">
        <f>VLOOKUP(AL$5, $BA$6:$BV$10, $Y39+2)</f>
        <v>1.1100000000000001</v>
      </c>
      <c r="AM39" s="35">
        <f>VLOOKUP(AM$5, $BA$6:$BV$10, $Y39+2)</f>
        <v>1.0449999999999999</v>
      </c>
      <c r="AN39" s="37">
        <f>VLOOKUP(AN$5, $BA$6:$BV$10, $Z39+2)</f>
        <v>1.3779999999999999</v>
      </c>
      <c r="AO39" s="35">
        <f>VLOOKUP(AO$5, $BA$6:$BV$10, $Z39+2)</f>
        <v>1.238</v>
      </c>
      <c r="AP39" s="35">
        <f>VLOOKUP(AP$5, $BA$6:$BV$10, $Z39+2)</f>
        <v>1.1299999999999999</v>
      </c>
      <c r="AQ39" s="35">
        <f>VLOOKUP(AQ$5, $BA$6:$BV$10, $Z39+2)</f>
        <v>1.0580000000000001</v>
      </c>
      <c r="AR39" s="37">
        <f>VLOOKUP(AR$5, $BA$12:$BV$16, $Y39+2)</f>
        <v>1.27</v>
      </c>
      <c r="AS39" s="35">
        <f>VLOOKUP(AS$5, $BA$12:$BV$16, $Y39+2)</f>
        <v>1.19</v>
      </c>
      <c r="AT39" s="35">
        <f>VLOOKUP(AT$5, $BA$12:$BV$16, $Y39+2)</f>
        <v>1.1100000000000001</v>
      </c>
      <c r="AU39" s="35">
        <f>VLOOKUP(AU$5, $BA$12:$BV$16, $Y39+2)</f>
        <v>1.0449999999999999</v>
      </c>
      <c r="AV39" s="37">
        <f>VLOOKUP(AV$5, $BA$12:$BV$16, $Z39+2)</f>
        <v>1.3149999999999999</v>
      </c>
      <c r="AW39" s="35">
        <f>VLOOKUP(AW$5, $BA$12:$BV$16, $Z39+2)</f>
        <v>1.22</v>
      </c>
      <c r="AX39" s="35">
        <f>VLOOKUP(AX$5, $BA$12:$BV$16, $Z39+2)</f>
        <v>1.1299999999999999</v>
      </c>
      <c r="AY39" s="35">
        <f>VLOOKUP(AY$5, $BA$12:$BV$16, $Z39+2)</f>
        <v>1.0580000000000001</v>
      </c>
    </row>
    <row r="40" spans="23:51" x14ac:dyDescent="0.25">
      <c r="W40" s="30">
        <v>34</v>
      </c>
      <c r="X40" s="32">
        <f t="shared" si="4"/>
        <v>6.8</v>
      </c>
      <c r="Y40" s="32">
        <f t="shared" si="5"/>
        <v>6</v>
      </c>
      <c r="Z40" s="32">
        <f t="shared" si="6"/>
        <v>7</v>
      </c>
      <c r="AA40" s="32">
        <f>X40 - Y40</f>
        <v>0.79999999999999982</v>
      </c>
      <c r="AB40" s="50">
        <f>AJ40 + (AN40-AJ40) * $AA40</f>
        <v>1.3673999999999999</v>
      </c>
      <c r="AC40" s="32">
        <f>AK40 + (AO40-AK40) * $AA40</f>
        <v>1.2314000000000001</v>
      </c>
      <c r="AD40" s="32">
        <f>AL40 + (AP40-AL40) * $AA40</f>
        <v>1.1259999999999999</v>
      </c>
      <c r="AE40" s="32">
        <f>AM40 + (AQ40-AM40) * $AA40</f>
        <v>1.0554000000000001</v>
      </c>
      <c r="AF40" s="44">
        <f>AR40 + (AV40-AR40) * $AA40</f>
        <v>1.306</v>
      </c>
      <c r="AG40" s="32">
        <f>AS40 + (AW40-AS40) * $AA40</f>
        <v>1.214</v>
      </c>
      <c r="AH40" s="32">
        <f>AT40 + (AX40-AT40) * $AA40</f>
        <v>1.1259999999999999</v>
      </c>
      <c r="AI40" s="32">
        <f>AU40 + (AY40-AU40) * $AA40</f>
        <v>1.0554000000000001</v>
      </c>
      <c r="AJ40" s="54">
        <f>VLOOKUP(AJ$5, $BA$6:$BV$10, $Y40+2)</f>
        <v>1.325</v>
      </c>
      <c r="AK40" s="35">
        <f>VLOOKUP(AK$5, $BA$6:$BV$10, $Y40+2)</f>
        <v>1.2050000000000001</v>
      </c>
      <c r="AL40" s="35">
        <f>VLOOKUP(AL$5, $BA$6:$BV$10, $Y40+2)</f>
        <v>1.1100000000000001</v>
      </c>
      <c r="AM40" s="35">
        <f>VLOOKUP(AM$5, $BA$6:$BV$10, $Y40+2)</f>
        <v>1.0449999999999999</v>
      </c>
      <c r="AN40" s="37">
        <f>VLOOKUP(AN$5, $BA$6:$BV$10, $Z40+2)</f>
        <v>1.3779999999999999</v>
      </c>
      <c r="AO40" s="35">
        <f>VLOOKUP(AO$5, $BA$6:$BV$10, $Z40+2)</f>
        <v>1.238</v>
      </c>
      <c r="AP40" s="35">
        <f>VLOOKUP(AP$5, $BA$6:$BV$10, $Z40+2)</f>
        <v>1.1299999999999999</v>
      </c>
      <c r="AQ40" s="35">
        <f>VLOOKUP(AQ$5, $BA$6:$BV$10, $Z40+2)</f>
        <v>1.0580000000000001</v>
      </c>
      <c r="AR40" s="37">
        <f>VLOOKUP(AR$5, $BA$12:$BV$16, $Y40+2)</f>
        <v>1.27</v>
      </c>
      <c r="AS40" s="35">
        <f>VLOOKUP(AS$5, $BA$12:$BV$16, $Y40+2)</f>
        <v>1.19</v>
      </c>
      <c r="AT40" s="35">
        <f>VLOOKUP(AT$5, $BA$12:$BV$16, $Y40+2)</f>
        <v>1.1100000000000001</v>
      </c>
      <c r="AU40" s="35">
        <f>VLOOKUP(AU$5, $BA$12:$BV$16, $Y40+2)</f>
        <v>1.0449999999999999</v>
      </c>
      <c r="AV40" s="37">
        <f>VLOOKUP(AV$5, $BA$12:$BV$16, $Z40+2)</f>
        <v>1.3149999999999999</v>
      </c>
      <c r="AW40" s="35">
        <f>VLOOKUP(AW$5, $BA$12:$BV$16, $Z40+2)</f>
        <v>1.22</v>
      </c>
      <c r="AX40" s="35">
        <f>VLOOKUP(AX$5, $BA$12:$BV$16, $Z40+2)</f>
        <v>1.1299999999999999</v>
      </c>
      <c r="AY40" s="35">
        <f>VLOOKUP(AY$5, $BA$12:$BV$16, $Z40+2)</f>
        <v>1.0580000000000001</v>
      </c>
    </row>
    <row r="41" spans="23:51" x14ac:dyDescent="0.25">
      <c r="W41" s="30">
        <v>35</v>
      </c>
      <c r="X41" s="32">
        <f t="shared" si="4"/>
        <v>7</v>
      </c>
      <c r="Y41" s="32">
        <f t="shared" si="5"/>
        <v>7</v>
      </c>
      <c r="Z41" s="32">
        <f t="shared" si="6"/>
        <v>8</v>
      </c>
      <c r="AA41" s="32">
        <f>X41 - Y41</f>
        <v>0</v>
      </c>
      <c r="AB41" s="50">
        <f>AJ41 + (AN41-AJ41) * $AA41</f>
        <v>1.3779999999999999</v>
      </c>
      <c r="AC41" s="32">
        <f>AK41 + (AO41-AK41) * $AA41</f>
        <v>1.238</v>
      </c>
      <c r="AD41" s="32">
        <f>AL41 + (AP41-AL41) * $AA41</f>
        <v>1.1299999999999999</v>
      </c>
      <c r="AE41" s="32">
        <f>AM41 + (AQ41-AM41) * $AA41</f>
        <v>1.0580000000000001</v>
      </c>
      <c r="AF41" s="44">
        <f>AR41 + (AV41-AR41) * $AA41</f>
        <v>1.3149999999999999</v>
      </c>
      <c r="AG41" s="32">
        <f>AS41 + (AW41-AS41) * $AA41</f>
        <v>1.22</v>
      </c>
      <c r="AH41" s="32">
        <f>AT41 + (AX41-AT41) * $AA41</f>
        <v>1.1299999999999999</v>
      </c>
      <c r="AI41" s="32">
        <f>AU41 + (AY41-AU41) * $AA41</f>
        <v>1.0580000000000001</v>
      </c>
      <c r="AJ41" s="54">
        <f>VLOOKUP(AJ$5, $BA$6:$BV$10, $Y41+2)</f>
        <v>1.3779999999999999</v>
      </c>
      <c r="AK41" s="35">
        <f>VLOOKUP(AK$5, $BA$6:$BV$10, $Y41+2)</f>
        <v>1.238</v>
      </c>
      <c r="AL41" s="35">
        <f>VLOOKUP(AL$5, $BA$6:$BV$10, $Y41+2)</f>
        <v>1.1299999999999999</v>
      </c>
      <c r="AM41" s="35">
        <f>VLOOKUP(AM$5, $BA$6:$BV$10, $Y41+2)</f>
        <v>1.0580000000000001</v>
      </c>
      <c r="AN41" s="37">
        <f>VLOOKUP(AN$5, $BA$6:$BV$10, $Z41+2)</f>
        <v>1.43</v>
      </c>
      <c r="AO41" s="35">
        <f>VLOOKUP(AO$5, $BA$6:$BV$10, $Z41+2)</f>
        <v>1.27</v>
      </c>
      <c r="AP41" s="35">
        <f>VLOOKUP(AP$5, $BA$6:$BV$10, $Z41+2)</f>
        <v>1.1499999999999999</v>
      </c>
      <c r="AQ41" s="35">
        <f>VLOOKUP(AQ$5, $BA$6:$BV$10, $Z41+2)</f>
        <v>1.07</v>
      </c>
      <c r="AR41" s="37">
        <f>VLOOKUP(AR$5, $BA$12:$BV$16, $Y41+2)</f>
        <v>1.3149999999999999</v>
      </c>
      <c r="AS41" s="35">
        <f>VLOOKUP(AS$5, $BA$12:$BV$16, $Y41+2)</f>
        <v>1.22</v>
      </c>
      <c r="AT41" s="35">
        <f>VLOOKUP(AT$5, $BA$12:$BV$16, $Y41+2)</f>
        <v>1.1299999999999999</v>
      </c>
      <c r="AU41" s="35">
        <f>VLOOKUP(AU$5, $BA$12:$BV$16, $Y41+2)</f>
        <v>1.0580000000000001</v>
      </c>
      <c r="AV41" s="37">
        <f>VLOOKUP(AV$5, $BA$12:$BV$16, $Z41+2)</f>
        <v>1.36</v>
      </c>
      <c r="AW41" s="35">
        <f>VLOOKUP(AW$5, $BA$12:$BV$16, $Z41+2)</f>
        <v>1.25</v>
      </c>
      <c r="AX41" s="35">
        <f>VLOOKUP(AX$5, $BA$12:$BV$16, $Z41+2)</f>
        <v>1.1499999999999999</v>
      </c>
      <c r="AY41" s="35">
        <f>VLOOKUP(AY$5, $BA$12:$BV$16, $Z41+2)</f>
        <v>1.07</v>
      </c>
    </row>
    <row r="42" spans="23:51" x14ac:dyDescent="0.25">
      <c r="W42" s="30">
        <v>36</v>
      </c>
      <c r="X42" s="32">
        <f t="shared" si="4"/>
        <v>7.2</v>
      </c>
      <c r="Y42" s="32">
        <f t="shared" si="5"/>
        <v>7</v>
      </c>
      <c r="Z42" s="32">
        <f t="shared" si="6"/>
        <v>8</v>
      </c>
      <c r="AA42" s="32">
        <f>X42 - Y42</f>
        <v>0.20000000000000018</v>
      </c>
      <c r="AB42" s="50">
        <f>AJ42 + (AN42-AJ42) * $AA42</f>
        <v>1.3883999999999999</v>
      </c>
      <c r="AC42" s="32">
        <f>AK42 + (AO42-AK42) * $AA42</f>
        <v>1.2444</v>
      </c>
      <c r="AD42" s="32">
        <f>AL42 + (AP42-AL42) * $AA42</f>
        <v>1.1339999999999999</v>
      </c>
      <c r="AE42" s="32">
        <f>AM42 + (AQ42-AM42) * $AA42</f>
        <v>1.0604</v>
      </c>
      <c r="AF42" s="44">
        <f>AR42 + (AV42-AR42) * $AA42</f>
        <v>1.3240000000000001</v>
      </c>
      <c r="AG42" s="32">
        <f>AS42 + (AW42-AS42) * $AA42</f>
        <v>1.226</v>
      </c>
      <c r="AH42" s="32">
        <f>AT42 + (AX42-AT42) * $AA42</f>
        <v>1.1339999999999999</v>
      </c>
      <c r="AI42" s="32">
        <f>AU42 + (AY42-AU42) * $AA42</f>
        <v>1.0604</v>
      </c>
      <c r="AJ42" s="54">
        <f>VLOOKUP(AJ$5, $BA$6:$BV$10, $Y42+2)</f>
        <v>1.3779999999999999</v>
      </c>
      <c r="AK42" s="35">
        <f>VLOOKUP(AK$5, $BA$6:$BV$10, $Y42+2)</f>
        <v>1.238</v>
      </c>
      <c r="AL42" s="35">
        <f>VLOOKUP(AL$5, $BA$6:$BV$10, $Y42+2)</f>
        <v>1.1299999999999999</v>
      </c>
      <c r="AM42" s="35">
        <f>VLOOKUP(AM$5, $BA$6:$BV$10, $Y42+2)</f>
        <v>1.0580000000000001</v>
      </c>
      <c r="AN42" s="37">
        <f>VLOOKUP(AN$5, $BA$6:$BV$10, $Z42+2)</f>
        <v>1.43</v>
      </c>
      <c r="AO42" s="35">
        <f>VLOOKUP(AO$5, $BA$6:$BV$10, $Z42+2)</f>
        <v>1.27</v>
      </c>
      <c r="AP42" s="35">
        <f>VLOOKUP(AP$5, $BA$6:$BV$10, $Z42+2)</f>
        <v>1.1499999999999999</v>
      </c>
      <c r="AQ42" s="35">
        <f>VLOOKUP(AQ$5, $BA$6:$BV$10, $Z42+2)</f>
        <v>1.07</v>
      </c>
      <c r="AR42" s="37">
        <f>VLOOKUP(AR$5, $BA$12:$BV$16, $Y42+2)</f>
        <v>1.3149999999999999</v>
      </c>
      <c r="AS42" s="35">
        <f>VLOOKUP(AS$5, $BA$12:$BV$16, $Y42+2)</f>
        <v>1.22</v>
      </c>
      <c r="AT42" s="35">
        <f>VLOOKUP(AT$5, $BA$12:$BV$16, $Y42+2)</f>
        <v>1.1299999999999999</v>
      </c>
      <c r="AU42" s="35">
        <f>VLOOKUP(AU$5, $BA$12:$BV$16, $Y42+2)</f>
        <v>1.0580000000000001</v>
      </c>
      <c r="AV42" s="37">
        <f>VLOOKUP(AV$5, $BA$12:$BV$16, $Z42+2)</f>
        <v>1.36</v>
      </c>
      <c r="AW42" s="35">
        <f>VLOOKUP(AW$5, $BA$12:$BV$16, $Z42+2)</f>
        <v>1.25</v>
      </c>
      <c r="AX42" s="35">
        <f>VLOOKUP(AX$5, $BA$12:$BV$16, $Z42+2)</f>
        <v>1.1499999999999999</v>
      </c>
      <c r="AY42" s="35">
        <f>VLOOKUP(AY$5, $BA$12:$BV$16, $Z42+2)</f>
        <v>1.07</v>
      </c>
    </row>
    <row r="43" spans="23:51" x14ac:dyDescent="0.25">
      <c r="W43" s="30">
        <v>37</v>
      </c>
      <c r="X43" s="32">
        <f t="shared" si="4"/>
        <v>7.4</v>
      </c>
      <c r="Y43" s="32">
        <f t="shared" si="5"/>
        <v>7</v>
      </c>
      <c r="Z43" s="32">
        <f t="shared" si="6"/>
        <v>8</v>
      </c>
      <c r="AA43" s="32">
        <f>X43 - Y43</f>
        <v>0.40000000000000036</v>
      </c>
      <c r="AB43" s="50">
        <f>AJ43 + (AN43-AJ43) * $AA43</f>
        <v>1.3987999999999998</v>
      </c>
      <c r="AC43" s="32">
        <f>AK43 + (AO43-AK43) * $AA43</f>
        <v>1.2507999999999999</v>
      </c>
      <c r="AD43" s="32">
        <f>AL43 + (AP43-AL43) * $AA43</f>
        <v>1.1379999999999999</v>
      </c>
      <c r="AE43" s="32">
        <f>AM43 + (AQ43-AM43) * $AA43</f>
        <v>1.0628</v>
      </c>
      <c r="AF43" s="44">
        <f>AR43 + (AV43-AR43) * $AA43</f>
        <v>1.333</v>
      </c>
      <c r="AG43" s="32">
        <f>AS43 + (AW43-AS43) * $AA43</f>
        <v>1.232</v>
      </c>
      <c r="AH43" s="32">
        <f>AT43 + (AX43-AT43) * $AA43</f>
        <v>1.1379999999999999</v>
      </c>
      <c r="AI43" s="32">
        <f>AU43 + (AY43-AU43) * $AA43</f>
        <v>1.0628</v>
      </c>
      <c r="AJ43" s="54">
        <f>VLOOKUP(AJ$5, $BA$6:$BV$10, $Y43+2)</f>
        <v>1.3779999999999999</v>
      </c>
      <c r="AK43" s="35">
        <f>VLOOKUP(AK$5, $BA$6:$BV$10, $Y43+2)</f>
        <v>1.238</v>
      </c>
      <c r="AL43" s="35">
        <f>VLOOKUP(AL$5, $BA$6:$BV$10, $Y43+2)</f>
        <v>1.1299999999999999</v>
      </c>
      <c r="AM43" s="35">
        <f>VLOOKUP(AM$5, $BA$6:$BV$10, $Y43+2)</f>
        <v>1.0580000000000001</v>
      </c>
      <c r="AN43" s="37">
        <f>VLOOKUP(AN$5, $BA$6:$BV$10, $Z43+2)</f>
        <v>1.43</v>
      </c>
      <c r="AO43" s="35">
        <f>VLOOKUP(AO$5, $BA$6:$BV$10, $Z43+2)</f>
        <v>1.27</v>
      </c>
      <c r="AP43" s="35">
        <f>VLOOKUP(AP$5, $BA$6:$BV$10, $Z43+2)</f>
        <v>1.1499999999999999</v>
      </c>
      <c r="AQ43" s="35">
        <f>VLOOKUP(AQ$5, $BA$6:$BV$10, $Z43+2)</f>
        <v>1.07</v>
      </c>
      <c r="AR43" s="37">
        <f>VLOOKUP(AR$5, $BA$12:$BV$16, $Y43+2)</f>
        <v>1.3149999999999999</v>
      </c>
      <c r="AS43" s="35">
        <f>VLOOKUP(AS$5, $BA$12:$BV$16, $Y43+2)</f>
        <v>1.22</v>
      </c>
      <c r="AT43" s="35">
        <f>VLOOKUP(AT$5, $BA$12:$BV$16, $Y43+2)</f>
        <v>1.1299999999999999</v>
      </c>
      <c r="AU43" s="35">
        <f>VLOOKUP(AU$5, $BA$12:$BV$16, $Y43+2)</f>
        <v>1.0580000000000001</v>
      </c>
      <c r="AV43" s="37">
        <f>VLOOKUP(AV$5, $BA$12:$BV$16, $Z43+2)</f>
        <v>1.36</v>
      </c>
      <c r="AW43" s="35">
        <f>VLOOKUP(AW$5, $BA$12:$BV$16, $Z43+2)</f>
        <v>1.25</v>
      </c>
      <c r="AX43" s="35">
        <f>VLOOKUP(AX$5, $BA$12:$BV$16, $Z43+2)</f>
        <v>1.1499999999999999</v>
      </c>
      <c r="AY43" s="35">
        <f>VLOOKUP(AY$5, $BA$12:$BV$16, $Z43+2)</f>
        <v>1.07</v>
      </c>
    </row>
    <row r="44" spans="23:51" x14ac:dyDescent="0.25">
      <c r="W44" s="30">
        <v>38</v>
      </c>
      <c r="X44" s="32">
        <f t="shared" si="4"/>
        <v>7.6</v>
      </c>
      <c r="Y44" s="32">
        <f t="shared" si="5"/>
        <v>7</v>
      </c>
      <c r="Z44" s="32">
        <f t="shared" si="6"/>
        <v>8</v>
      </c>
      <c r="AA44" s="32">
        <f>X44 - Y44</f>
        <v>0.59999999999999964</v>
      </c>
      <c r="AB44" s="50">
        <f>AJ44 + (AN44-AJ44) * $AA44</f>
        <v>1.4092</v>
      </c>
      <c r="AC44" s="32">
        <f>AK44 + (AO44-AK44) * $AA44</f>
        <v>1.2572000000000001</v>
      </c>
      <c r="AD44" s="32">
        <f>AL44 + (AP44-AL44) * $AA44</f>
        <v>1.1419999999999999</v>
      </c>
      <c r="AE44" s="32">
        <f>AM44 + (AQ44-AM44) * $AA44</f>
        <v>1.0652000000000001</v>
      </c>
      <c r="AF44" s="44">
        <f>AR44 + (AV44-AR44) * $AA44</f>
        <v>1.3420000000000001</v>
      </c>
      <c r="AG44" s="32">
        <f>AS44 + (AW44-AS44) * $AA44</f>
        <v>1.238</v>
      </c>
      <c r="AH44" s="32">
        <f>AT44 + (AX44-AT44) * $AA44</f>
        <v>1.1419999999999999</v>
      </c>
      <c r="AI44" s="32">
        <f>AU44 + (AY44-AU44) * $AA44</f>
        <v>1.0652000000000001</v>
      </c>
      <c r="AJ44" s="54">
        <f>VLOOKUP(AJ$5, $BA$6:$BV$10, $Y44+2)</f>
        <v>1.3779999999999999</v>
      </c>
      <c r="AK44" s="35">
        <f>VLOOKUP(AK$5, $BA$6:$BV$10, $Y44+2)</f>
        <v>1.238</v>
      </c>
      <c r="AL44" s="35">
        <f>VLOOKUP(AL$5, $BA$6:$BV$10, $Y44+2)</f>
        <v>1.1299999999999999</v>
      </c>
      <c r="AM44" s="35">
        <f>VLOOKUP(AM$5, $BA$6:$BV$10, $Y44+2)</f>
        <v>1.0580000000000001</v>
      </c>
      <c r="AN44" s="37">
        <f>VLOOKUP(AN$5, $BA$6:$BV$10, $Z44+2)</f>
        <v>1.43</v>
      </c>
      <c r="AO44" s="35">
        <f>VLOOKUP(AO$5, $BA$6:$BV$10, $Z44+2)</f>
        <v>1.27</v>
      </c>
      <c r="AP44" s="35">
        <f>VLOOKUP(AP$5, $BA$6:$BV$10, $Z44+2)</f>
        <v>1.1499999999999999</v>
      </c>
      <c r="AQ44" s="35">
        <f>VLOOKUP(AQ$5, $BA$6:$BV$10, $Z44+2)</f>
        <v>1.07</v>
      </c>
      <c r="AR44" s="37">
        <f>VLOOKUP(AR$5, $BA$12:$BV$16, $Y44+2)</f>
        <v>1.3149999999999999</v>
      </c>
      <c r="AS44" s="35">
        <f>VLOOKUP(AS$5, $BA$12:$BV$16, $Y44+2)</f>
        <v>1.22</v>
      </c>
      <c r="AT44" s="35">
        <f>VLOOKUP(AT$5, $BA$12:$BV$16, $Y44+2)</f>
        <v>1.1299999999999999</v>
      </c>
      <c r="AU44" s="35">
        <f>VLOOKUP(AU$5, $BA$12:$BV$16, $Y44+2)</f>
        <v>1.0580000000000001</v>
      </c>
      <c r="AV44" s="37">
        <f>VLOOKUP(AV$5, $BA$12:$BV$16, $Z44+2)</f>
        <v>1.36</v>
      </c>
      <c r="AW44" s="35">
        <f>VLOOKUP(AW$5, $BA$12:$BV$16, $Z44+2)</f>
        <v>1.25</v>
      </c>
      <c r="AX44" s="35">
        <f>VLOOKUP(AX$5, $BA$12:$BV$16, $Z44+2)</f>
        <v>1.1499999999999999</v>
      </c>
      <c r="AY44" s="35">
        <f>VLOOKUP(AY$5, $BA$12:$BV$16, $Z44+2)</f>
        <v>1.07</v>
      </c>
    </row>
    <row r="45" spans="23:51" x14ac:dyDescent="0.25">
      <c r="W45" s="30">
        <v>39</v>
      </c>
      <c r="X45" s="32">
        <f t="shared" si="4"/>
        <v>7.8</v>
      </c>
      <c r="Y45" s="32">
        <f t="shared" si="5"/>
        <v>7</v>
      </c>
      <c r="Z45" s="32">
        <f t="shared" si="6"/>
        <v>8</v>
      </c>
      <c r="AA45" s="32">
        <f>X45 - Y45</f>
        <v>0.79999999999999982</v>
      </c>
      <c r="AB45" s="50">
        <f>AJ45 + (AN45-AJ45) * $AA45</f>
        <v>1.4196</v>
      </c>
      <c r="AC45" s="32">
        <f>AK45 + (AO45-AK45) * $AA45</f>
        <v>1.2636000000000001</v>
      </c>
      <c r="AD45" s="32">
        <f>AL45 + (AP45-AL45) * $AA45</f>
        <v>1.1459999999999999</v>
      </c>
      <c r="AE45" s="32">
        <f>AM45 + (AQ45-AM45) * $AA45</f>
        <v>1.0676000000000001</v>
      </c>
      <c r="AF45" s="44">
        <f>AR45 + (AV45-AR45) * $AA45</f>
        <v>1.351</v>
      </c>
      <c r="AG45" s="32">
        <f>AS45 + (AW45-AS45) * $AA45</f>
        <v>1.244</v>
      </c>
      <c r="AH45" s="32">
        <f>AT45 + (AX45-AT45) * $AA45</f>
        <v>1.1459999999999999</v>
      </c>
      <c r="AI45" s="32">
        <f>AU45 + (AY45-AU45) * $AA45</f>
        <v>1.0676000000000001</v>
      </c>
      <c r="AJ45" s="54">
        <f>VLOOKUP(AJ$5, $BA$6:$BV$10, $Y45+2)</f>
        <v>1.3779999999999999</v>
      </c>
      <c r="AK45" s="35">
        <f>VLOOKUP(AK$5, $BA$6:$BV$10, $Y45+2)</f>
        <v>1.238</v>
      </c>
      <c r="AL45" s="35">
        <f>VLOOKUP(AL$5, $BA$6:$BV$10, $Y45+2)</f>
        <v>1.1299999999999999</v>
      </c>
      <c r="AM45" s="35">
        <f>VLOOKUP(AM$5, $BA$6:$BV$10, $Y45+2)</f>
        <v>1.0580000000000001</v>
      </c>
      <c r="AN45" s="37">
        <f>VLOOKUP(AN$5, $BA$6:$BV$10, $Z45+2)</f>
        <v>1.43</v>
      </c>
      <c r="AO45" s="35">
        <f>VLOOKUP(AO$5, $BA$6:$BV$10, $Z45+2)</f>
        <v>1.27</v>
      </c>
      <c r="AP45" s="35">
        <f>VLOOKUP(AP$5, $BA$6:$BV$10, $Z45+2)</f>
        <v>1.1499999999999999</v>
      </c>
      <c r="AQ45" s="35">
        <f>VLOOKUP(AQ$5, $BA$6:$BV$10, $Z45+2)</f>
        <v>1.07</v>
      </c>
      <c r="AR45" s="37">
        <f>VLOOKUP(AR$5, $BA$12:$BV$16, $Y45+2)</f>
        <v>1.3149999999999999</v>
      </c>
      <c r="AS45" s="35">
        <f>VLOOKUP(AS$5, $BA$12:$BV$16, $Y45+2)</f>
        <v>1.22</v>
      </c>
      <c r="AT45" s="35">
        <f>VLOOKUP(AT$5, $BA$12:$BV$16, $Y45+2)</f>
        <v>1.1299999999999999</v>
      </c>
      <c r="AU45" s="35">
        <f>VLOOKUP(AU$5, $BA$12:$BV$16, $Y45+2)</f>
        <v>1.0580000000000001</v>
      </c>
      <c r="AV45" s="37">
        <f>VLOOKUP(AV$5, $BA$12:$BV$16, $Z45+2)</f>
        <v>1.36</v>
      </c>
      <c r="AW45" s="35">
        <f>VLOOKUP(AW$5, $BA$12:$BV$16, $Z45+2)</f>
        <v>1.25</v>
      </c>
      <c r="AX45" s="35">
        <f>VLOOKUP(AX$5, $BA$12:$BV$16, $Z45+2)</f>
        <v>1.1499999999999999</v>
      </c>
      <c r="AY45" s="35">
        <f>VLOOKUP(AY$5, $BA$12:$BV$16, $Z45+2)</f>
        <v>1.07</v>
      </c>
    </row>
    <row r="46" spans="23:51" x14ac:dyDescent="0.25">
      <c r="W46" s="30">
        <v>40</v>
      </c>
      <c r="X46" s="32">
        <f t="shared" si="4"/>
        <v>8</v>
      </c>
      <c r="Y46" s="32">
        <f t="shared" si="5"/>
        <v>8</v>
      </c>
      <c r="Z46" s="32">
        <f t="shared" si="6"/>
        <v>9</v>
      </c>
      <c r="AA46" s="32">
        <f>X46 - Y46</f>
        <v>0</v>
      </c>
      <c r="AB46" s="50">
        <f>AJ46 + (AN46-AJ46) * $AA46</f>
        <v>1.43</v>
      </c>
      <c r="AC46" s="32">
        <f>AK46 + (AO46-AK46) * $AA46</f>
        <v>1.27</v>
      </c>
      <c r="AD46" s="32">
        <f>AL46 + (AP46-AL46) * $AA46</f>
        <v>1.1499999999999999</v>
      </c>
      <c r="AE46" s="32">
        <f>AM46 + (AQ46-AM46) * $AA46</f>
        <v>1.07</v>
      </c>
      <c r="AF46" s="44">
        <f>AR46 + (AV46-AR46) * $AA46</f>
        <v>1.36</v>
      </c>
      <c r="AG46" s="32">
        <f>AS46 + (AW46-AS46) * $AA46</f>
        <v>1.25</v>
      </c>
      <c r="AH46" s="32">
        <f>AT46 + (AX46-AT46) * $AA46</f>
        <v>1.1499999999999999</v>
      </c>
      <c r="AI46" s="32">
        <f>AU46 + (AY46-AU46) * $AA46</f>
        <v>1.07</v>
      </c>
      <c r="AJ46" s="54">
        <f>VLOOKUP(AJ$5, $BA$6:$BV$10, $Y46+2)</f>
        <v>1.43</v>
      </c>
      <c r="AK46" s="35">
        <f>VLOOKUP(AK$5, $BA$6:$BV$10, $Y46+2)</f>
        <v>1.27</v>
      </c>
      <c r="AL46" s="35">
        <f>VLOOKUP(AL$5, $BA$6:$BV$10, $Y46+2)</f>
        <v>1.1499999999999999</v>
      </c>
      <c r="AM46" s="35">
        <f>VLOOKUP(AM$5, $BA$6:$BV$10, $Y46+2)</f>
        <v>1.07</v>
      </c>
      <c r="AN46" s="37">
        <f>VLOOKUP(AN$5, $BA$6:$BV$10, $Z46+2)</f>
        <v>1.4850000000000001</v>
      </c>
      <c r="AO46" s="35">
        <f>VLOOKUP(AO$5, $BA$6:$BV$10, $Z46+2)</f>
        <v>1.31</v>
      </c>
      <c r="AP46" s="35">
        <f>VLOOKUP(AP$5, $BA$6:$BV$10, $Z46+2)</f>
        <v>1.175</v>
      </c>
      <c r="AQ46" s="35">
        <f>VLOOKUP(AQ$5, $BA$6:$BV$10, $Z46+2)</f>
        <v>1.085</v>
      </c>
      <c r="AR46" s="37">
        <f>VLOOKUP(AR$5, $BA$12:$BV$16, $Y46+2)</f>
        <v>1.36</v>
      </c>
      <c r="AS46" s="35">
        <f>VLOOKUP(AS$5, $BA$12:$BV$16, $Y46+2)</f>
        <v>1.25</v>
      </c>
      <c r="AT46" s="35">
        <f>VLOOKUP(AT$5, $BA$12:$BV$16, $Y46+2)</f>
        <v>1.1499999999999999</v>
      </c>
      <c r="AU46" s="35">
        <f>VLOOKUP(AU$5, $BA$12:$BV$16, $Y46+2)</f>
        <v>1.07</v>
      </c>
      <c r="AV46" s="37">
        <f>VLOOKUP(AV$5, $BA$12:$BV$16, $Z46+2)</f>
        <v>1.4079999999999999</v>
      </c>
      <c r="AW46" s="35">
        <f>VLOOKUP(AW$5, $BA$12:$BV$16, $Z46+2)</f>
        <v>1.28</v>
      </c>
      <c r="AX46" s="35">
        <f>VLOOKUP(AX$5, $BA$12:$BV$16, $Z46+2)</f>
        <v>1.17</v>
      </c>
      <c r="AY46" s="35">
        <f>VLOOKUP(AY$5, $BA$12:$BV$16, $Z46+2)</f>
        <v>1.083</v>
      </c>
    </row>
    <row r="47" spans="23:51" x14ac:dyDescent="0.25">
      <c r="W47" s="30">
        <v>41</v>
      </c>
      <c r="X47" s="32">
        <f t="shared" si="4"/>
        <v>8.1999999999999993</v>
      </c>
      <c r="Y47" s="32">
        <f t="shared" si="5"/>
        <v>8</v>
      </c>
      <c r="Z47" s="32">
        <f t="shared" si="6"/>
        <v>9</v>
      </c>
      <c r="AA47" s="32">
        <f>X47 - Y47</f>
        <v>0.19999999999999929</v>
      </c>
      <c r="AB47" s="50">
        <f>AJ47 + (AN47-AJ47) * $AA47</f>
        <v>1.4409999999999998</v>
      </c>
      <c r="AC47" s="32">
        <f>AK47 + (AO47-AK47) * $AA47</f>
        <v>1.278</v>
      </c>
      <c r="AD47" s="32">
        <f>AL47 + (AP47-AL47) * $AA47</f>
        <v>1.155</v>
      </c>
      <c r="AE47" s="32">
        <f>AM47 + (AQ47-AM47) * $AA47</f>
        <v>1.073</v>
      </c>
      <c r="AF47" s="44">
        <f>AR47 + (AV47-AR47) * $AA47</f>
        <v>1.3695999999999999</v>
      </c>
      <c r="AG47" s="32">
        <f>AS47 + (AW47-AS47) * $AA47</f>
        <v>1.256</v>
      </c>
      <c r="AH47" s="32">
        <f>AT47 + (AX47-AT47) * $AA47</f>
        <v>1.1539999999999999</v>
      </c>
      <c r="AI47" s="32">
        <f>AU47 + (AY47-AU47) * $AA47</f>
        <v>1.0726</v>
      </c>
      <c r="AJ47" s="54">
        <f>VLOOKUP(AJ$5, $BA$6:$BV$10, $Y47+2)</f>
        <v>1.43</v>
      </c>
      <c r="AK47" s="35">
        <f>VLOOKUP(AK$5, $BA$6:$BV$10, $Y47+2)</f>
        <v>1.27</v>
      </c>
      <c r="AL47" s="35">
        <f>VLOOKUP(AL$5, $BA$6:$BV$10, $Y47+2)</f>
        <v>1.1499999999999999</v>
      </c>
      <c r="AM47" s="35">
        <f>VLOOKUP(AM$5, $BA$6:$BV$10, $Y47+2)</f>
        <v>1.07</v>
      </c>
      <c r="AN47" s="37">
        <f>VLOOKUP(AN$5, $BA$6:$BV$10, $Z47+2)</f>
        <v>1.4850000000000001</v>
      </c>
      <c r="AO47" s="35">
        <f>VLOOKUP(AO$5, $BA$6:$BV$10, $Z47+2)</f>
        <v>1.31</v>
      </c>
      <c r="AP47" s="35">
        <f>VLOOKUP(AP$5, $BA$6:$BV$10, $Z47+2)</f>
        <v>1.175</v>
      </c>
      <c r="AQ47" s="35">
        <f>VLOOKUP(AQ$5, $BA$6:$BV$10, $Z47+2)</f>
        <v>1.085</v>
      </c>
      <c r="AR47" s="37">
        <f>VLOOKUP(AR$5, $BA$12:$BV$16, $Y47+2)</f>
        <v>1.36</v>
      </c>
      <c r="AS47" s="35">
        <f>VLOOKUP(AS$5, $BA$12:$BV$16, $Y47+2)</f>
        <v>1.25</v>
      </c>
      <c r="AT47" s="35">
        <f>VLOOKUP(AT$5, $BA$12:$BV$16, $Y47+2)</f>
        <v>1.1499999999999999</v>
      </c>
      <c r="AU47" s="35">
        <f>VLOOKUP(AU$5, $BA$12:$BV$16, $Y47+2)</f>
        <v>1.07</v>
      </c>
      <c r="AV47" s="37">
        <f>VLOOKUP(AV$5, $BA$12:$BV$16, $Z47+2)</f>
        <v>1.4079999999999999</v>
      </c>
      <c r="AW47" s="35">
        <f>VLOOKUP(AW$5, $BA$12:$BV$16, $Z47+2)</f>
        <v>1.28</v>
      </c>
      <c r="AX47" s="35">
        <f>VLOOKUP(AX$5, $BA$12:$BV$16, $Z47+2)</f>
        <v>1.17</v>
      </c>
      <c r="AY47" s="35">
        <f>VLOOKUP(AY$5, $BA$12:$BV$16, $Z47+2)</f>
        <v>1.083</v>
      </c>
    </row>
    <row r="48" spans="23:51" x14ac:dyDescent="0.25">
      <c r="W48" s="30">
        <v>42</v>
      </c>
      <c r="X48" s="32">
        <f t="shared" si="4"/>
        <v>8.4</v>
      </c>
      <c r="Y48" s="32">
        <f t="shared" si="5"/>
        <v>8</v>
      </c>
      <c r="Z48" s="32">
        <f t="shared" si="6"/>
        <v>9</v>
      </c>
      <c r="AA48" s="32">
        <f>X48 - Y48</f>
        <v>0.40000000000000036</v>
      </c>
      <c r="AB48" s="50">
        <f>AJ48 + (AN48-AJ48) * $AA48</f>
        <v>1.452</v>
      </c>
      <c r="AC48" s="32">
        <f>AK48 + (AO48-AK48) * $AA48</f>
        <v>1.286</v>
      </c>
      <c r="AD48" s="32">
        <f>AL48 + (AP48-AL48) * $AA48</f>
        <v>1.1599999999999999</v>
      </c>
      <c r="AE48" s="32">
        <f>AM48 + (AQ48-AM48) * $AA48</f>
        <v>1.0760000000000001</v>
      </c>
      <c r="AF48" s="44">
        <f>AR48 + (AV48-AR48) * $AA48</f>
        <v>1.3792</v>
      </c>
      <c r="AG48" s="32">
        <f>AS48 + (AW48-AS48) * $AA48</f>
        <v>1.262</v>
      </c>
      <c r="AH48" s="32">
        <f>AT48 + (AX48-AT48) * $AA48</f>
        <v>1.1579999999999999</v>
      </c>
      <c r="AI48" s="32">
        <f>AU48 + (AY48-AU48) * $AA48</f>
        <v>1.0751999999999999</v>
      </c>
      <c r="AJ48" s="54">
        <f>VLOOKUP(AJ$5, $BA$6:$BV$10, $Y48+2)</f>
        <v>1.43</v>
      </c>
      <c r="AK48" s="35">
        <f>VLOOKUP(AK$5, $BA$6:$BV$10, $Y48+2)</f>
        <v>1.27</v>
      </c>
      <c r="AL48" s="35">
        <f>VLOOKUP(AL$5, $BA$6:$BV$10, $Y48+2)</f>
        <v>1.1499999999999999</v>
      </c>
      <c r="AM48" s="35">
        <f>VLOOKUP(AM$5, $BA$6:$BV$10, $Y48+2)</f>
        <v>1.07</v>
      </c>
      <c r="AN48" s="37">
        <f>VLOOKUP(AN$5, $BA$6:$BV$10, $Z48+2)</f>
        <v>1.4850000000000001</v>
      </c>
      <c r="AO48" s="35">
        <f>VLOOKUP(AO$5, $BA$6:$BV$10, $Z48+2)</f>
        <v>1.31</v>
      </c>
      <c r="AP48" s="35">
        <f>VLOOKUP(AP$5, $BA$6:$BV$10, $Z48+2)</f>
        <v>1.175</v>
      </c>
      <c r="AQ48" s="35">
        <f>VLOOKUP(AQ$5, $BA$6:$BV$10, $Z48+2)</f>
        <v>1.085</v>
      </c>
      <c r="AR48" s="37">
        <f>VLOOKUP(AR$5, $BA$12:$BV$16, $Y48+2)</f>
        <v>1.36</v>
      </c>
      <c r="AS48" s="35">
        <f>VLOOKUP(AS$5, $BA$12:$BV$16, $Y48+2)</f>
        <v>1.25</v>
      </c>
      <c r="AT48" s="35">
        <f>VLOOKUP(AT$5, $BA$12:$BV$16, $Y48+2)</f>
        <v>1.1499999999999999</v>
      </c>
      <c r="AU48" s="35">
        <f>VLOOKUP(AU$5, $BA$12:$BV$16, $Y48+2)</f>
        <v>1.07</v>
      </c>
      <c r="AV48" s="37">
        <f>VLOOKUP(AV$5, $BA$12:$BV$16, $Z48+2)</f>
        <v>1.4079999999999999</v>
      </c>
      <c r="AW48" s="35">
        <f>VLOOKUP(AW$5, $BA$12:$BV$16, $Z48+2)</f>
        <v>1.28</v>
      </c>
      <c r="AX48" s="35">
        <f>VLOOKUP(AX$5, $BA$12:$BV$16, $Z48+2)</f>
        <v>1.17</v>
      </c>
      <c r="AY48" s="35">
        <f>VLOOKUP(AY$5, $BA$12:$BV$16, $Z48+2)</f>
        <v>1.083</v>
      </c>
    </row>
    <row r="49" spans="23:51" x14ac:dyDescent="0.25">
      <c r="W49" s="30">
        <v>43</v>
      </c>
      <c r="X49" s="32">
        <f t="shared" si="4"/>
        <v>8.6</v>
      </c>
      <c r="Y49" s="32">
        <f t="shared" si="5"/>
        <v>8</v>
      </c>
      <c r="Z49" s="32">
        <f t="shared" si="6"/>
        <v>9</v>
      </c>
      <c r="AA49" s="32">
        <f>X49 - Y49</f>
        <v>0.59999999999999964</v>
      </c>
      <c r="AB49" s="50">
        <f>AJ49 + (AN49-AJ49) * $AA49</f>
        <v>1.4630000000000001</v>
      </c>
      <c r="AC49" s="32">
        <f>AK49 + (AO49-AK49) * $AA49</f>
        <v>1.294</v>
      </c>
      <c r="AD49" s="32">
        <f>AL49 + (AP49-AL49) * $AA49</f>
        <v>1.165</v>
      </c>
      <c r="AE49" s="32">
        <f>AM49 + (AQ49-AM49) * $AA49</f>
        <v>1.079</v>
      </c>
      <c r="AF49" s="44">
        <f>AR49 + (AV49-AR49) * $AA49</f>
        <v>1.3888</v>
      </c>
      <c r="AG49" s="32">
        <f>AS49 + (AW49-AS49) * $AA49</f>
        <v>1.268</v>
      </c>
      <c r="AH49" s="32">
        <f>AT49 + (AX49-AT49) * $AA49</f>
        <v>1.1619999999999999</v>
      </c>
      <c r="AI49" s="32">
        <f>AU49 + (AY49-AU49) * $AA49</f>
        <v>1.0778000000000001</v>
      </c>
      <c r="AJ49" s="54">
        <f>VLOOKUP(AJ$5, $BA$6:$BV$10, $Y49+2)</f>
        <v>1.43</v>
      </c>
      <c r="AK49" s="35">
        <f>VLOOKUP(AK$5, $BA$6:$BV$10, $Y49+2)</f>
        <v>1.27</v>
      </c>
      <c r="AL49" s="35">
        <f>VLOOKUP(AL$5, $BA$6:$BV$10, $Y49+2)</f>
        <v>1.1499999999999999</v>
      </c>
      <c r="AM49" s="35">
        <f>VLOOKUP(AM$5, $BA$6:$BV$10, $Y49+2)</f>
        <v>1.07</v>
      </c>
      <c r="AN49" s="37">
        <f>VLOOKUP(AN$5, $BA$6:$BV$10, $Z49+2)</f>
        <v>1.4850000000000001</v>
      </c>
      <c r="AO49" s="35">
        <f>VLOOKUP(AO$5, $BA$6:$BV$10, $Z49+2)</f>
        <v>1.31</v>
      </c>
      <c r="AP49" s="35">
        <f>VLOOKUP(AP$5, $BA$6:$BV$10, $Z49+2)</f>
        <v>1.175</v>
      </c>
      <c r="AQ49" s="35">
        <f>VLOOKUP(AQ$5, $BA$6:$BV$10, $Z49+2)</f>
        <v>1.085</v>
      </c>
      <c r="AR49" s="37">
        <f>VLOOKUP(AR$5, $BA$12:$BV$16, $Y49+2)</f>
        <v>1.36</v>
      </c>
      <c r="AS49" s="35">
        <f>VLOOKUP(AS$5, $BA$12:$BV$16, $Y49+2)</f>
        <v>1.25</v>
      </c>
      <c r="AT49" s="35">
        <f>VLOOKUP(AT$5, $BA$12:$BV$16, $Y49+2)</f>
        <v>1.1499999999999999</v>
      </c>
      <c r="AU49" s="35">
        <f>VLOOKUP(AU$5, $BA$12:$BV$16, $Y49+2)</f>
        <v>1.07</v>
      </c>
      <c r="AV49" s="37">
        <f>VLOOKUP(AV$5, $BA$12:$BV$16, $Z49+2)</f>
        <v>1.4079999999999999</v>
      </c>
      <c r="AW49" s="35">
        <f>VLOOKUP(AW$5, $BA$12:$BV$16, $Z49+2)</f>
        <v>1.28</v>
      </c>
      <c r="AX49" s="35">
        <f>VLOOKUP(AX$5, $BA$12:$BV$16, $Z49+2)</f>
        <v>1.17</v>
      </c>
      <c r="AY49" s="35">
        <f>VLOOKUP(AY$5, $BA$12:$BV$16, $Z49+2)</f>
        <v>1.083</v>
      </c>
    </row>
    <row r="50" spans="23:51" x14ac:dyDescent="0.25">
      <c r="W50" s="30">
        <v>44</v>
      </c>
      <c r="X50" s="32">
        <f t="shared" si="4"/>
        <v>8.8000000000000007</v>
      </c>
      <c r="Y50" s="32">
        <f t="shared" si="5"/>
        <v>8</v>
      </c>
      <c r="Z50" s="32">
        <f t="shared" si="6"/>
        <v>9</v>
      </c>
      <c r="AA50" s="32">
        <f>X50 - Y50</f>
        <v>0.80000000000000071</v>
      </c>
      <c r="AB50" s="50">
        <f>AJ50 + (AN50-AJ50) * $AA50</f>
        <v>1.4740000000000002</v>
      </c>
      <c r="AC50" s="32">
        <f>AK50 + (AO50-AK50) * $AA50</f>
        <v>1.302</v>
      </c>
      <c r="AD50" s="32">
        <f>AL50 + (AP50-AL50) * $AA50</f>
        <v>1.17</v>
      </c>
      <c r="AE50" s="32">
        <f>AM50 + (AQ50-AM50) * $AA50</f>
        <v>1.0820000000000001</v>
      </c>
      <c r="AF50" s="44">
        <f>AR50 + (AV50-AR50) * $AA50</f>
        <v>1.3984000000000001</v>
      </c>
      <c r="AG50" s="32">
        <f>AS50 + (AW50-AS50) * $AA50</f>
        <v>1.274</v>
      </c>
      <c r="AH50" s="32">
        <f>AT50 + (AX50-AT50) * $AA50</f>
        <v>1.1659999999999999</v>
      </c>
      <c r="AI50" s="32">
        <f>AU50 + (AY50-AU50) * $AA50</f>
        <v>1.0804</v>
      </c>
      <c r="AJ50" s="54">
        <f>VLOOKUP(AJ$5, $BA$6:$BV$10, $Y50+2)</f>
        <v>1.43</v>
      </c>
      <c r="AK50" s="35">
        <f>VLOOKUP(AK$5, $BA$6:$BV$10, $Y50+2)</f>
        <v>1.27</v>
      </c>
      <c r="AL50" s="35">
        <f>VLOOKUP(AL$5, $BA$6:$BV$10, $Y50+2)</f>
        <v>1.1499999999999999</v>
      </c>
      <c r="AM50" s="35">
        <f>VLOOKUP(AM$5, $BA$6:$BV$10, $Y50+2)</f>
        <v>1.07</v>
      </c>
      <c r="AN50" s="37">
        <f>VLOOKUP(AN$5, $BA$6:$BV$10, $Z50+2)</f>
        <v>1.4850000000000001</v>
      </c>
      <c r="AO50" s="35">
        <f>VLOOKUP(AO$5, $BA$6:$BV$10, $Z50+2)</f>
        <v>1.31</v>
      </c>
      <c r="AP50" s="35">
        <f>VLOOKUP(AP$5, $BA$6:$BV$10, $Z50+2)</f>
        <v>1.175</v>
      </c>
      <c r="AQ50" s="35">
        <f>VLOOKUP(AQ$5, $BA$6:$BV$10, $Z50+2)</f>
        <v>1.085</v>
      </c>
      <c r="AR50" s="37">
        <f>VLOOKUP(AR$5, $BA$12:$BV$16, $Y50+2)</f>
        <v>1.36</v>
      </c>
      <c r="AS50" s="35">
        <f>VLOOKUP(AS$5, $BA$12:$BV$16, $Y50+2)</f>
        <v>1.25</v>
      </c>
      <c r="AT50" s="35">
        <f>VLOOKUP(AT$5, $BA$12:$BV$16, $Y50+2)</f>
        <v>1.1499999999999999</v>
      </c>
      <c r="AU50" s="35">
        <f>VLOOKUP(AU$5, $BA$12:$BV$16, $Y50+2)</f>
        <v>1.07</v>
      </c>
      <c r="AV50" s="37">
        <f>VLOOKUP(AV$5, $BA$12:$BV$16, $Z50+2)</f>
        <v>1.4079999999999999</v>
      </c>
      <c r="AW50" s="35">
        <f>VLOOKUP(AW$5, $BA$12:$BV$16, $Z50+2)</f>
        <v>1.28</v>
      </c>
      <c r="AX50" s="35">
        <f>VLOOKUP(AX$5, $BA$12:$BV$16, $Z50+2)</f>
        <v>1.17</v>
      </c>
      <c r="AY50" s="35">
        <f>VLOOKUP(AY$5, $BA$12:$BV$16, $Z50+2)</f>
        <v>1.083</v>
      </c>
    </row>
    <row r="51" spans="23:51" x14ac:dyDescent="0.25">
      <c r="W51" s="30">
        <v>45</v>
      </c>
      <c r="X51" s="32">
        <f t="shared" si="4"/>
        <v>9</v>
      </c>
      <c r="Y51" s="32">
        <f t="shared" si="5"/>
        <v>9</v>
      </c>
      <c r="Z51" s="32">
        <f t="shared" si="6"/>
        <v>10</v>
      </c>
      <c r="AA51" s="32">
        <f>X51 - Y51</f>
        <v>0</v>
      </c>
      <c r="AB51" s="50">
        <f>AJ51 + (AN51-AJ51) * $AA51</f>
        <v>1.4850000000000001</v>
      </c>
      <c r="AC51" s="32">
        <f>AK51 + (AO51-AK51) * $AA51</f>
        <v>1.31</v>
      </c>
      <c r="AD51" s="32">
        <f>AL51 + (AP51-AL51) * $AA51</f>
        <v>1.175</v>
      </c>
      <c r="AE51" s="32">
        <f>AM51 + (AQ51-AM51) * $AA51</f>
        <v>1.085</v>
      </c>
      <c r="AF51" s="44">
        <f>AR51 + (AV51-AR51) * $AA51</f>
        <v>1.4079999999999999</v>
      </c>
      <c r="AG51" s="32">
        <f>AS51 + (AW51-AS51) * $AA51</f>
        <v>1.28</v>
      </c>
      <c r="AH51" s="32">
        <f>AT51 + (AX51-AT51) * $AA51</f>
        <v>1.17</v>
      </c>
      <c r="AI51" s="32">
        <f>AU51 + (AY51-AU51) * $AA51</f>
        <v>1.083</v>
      </c>
      <c r="AJ51" s="54">
        <f>VLOOKUP(AJ$5, $BA$6:$BV$10, $Y51+2)</f>
        <v>1.4850000000000001</v>
      </c>
      <c r="AK51" s="35">
        <f>VLOOKUP(AK$5, $BA$6:$BV$10, $Y51+2)</f>
        <v>1.31</v>
      </c>
      <c r="AL51" s="35">
        <f>VLOOKUP(AL$5, $BA$6:$BV$10, $Y51+2)</f>
        <v>1.175</v>
      </c>
      <c r="AM51" s="35">
        <f>VLOOKUP(AM$5, $BA$6:$BV$10, $Y51+2)</f>
        <v>1.085</v>
      </c>
      <c r="AN51" s="37">
        <f>VLOOKUP(AN$5, $BA$6:$BV$10, $Z51+2)</f>
        <v>1.54</v>
      </c>
      <c r="AO51" s="35">
        <f>VLOOKUP(AO$5, $BA$6:$BV$10, $Z51+2)</f>
        <v>1.35</v>
      </c>
      <c r="AP51" s="35">
        <f>VLOOKUP(AP$5, $BA$6:$BV$10, $Z51+2)</f>
        <v>1.2</v>
      </c>
      <c r="AQ51" s="35">
        <f>VLOOKUP(AQ$5, $BA$6:$BV$10, $Z51+2)</f>
        <v>1.1000000000000001</v>
      </c>
      <c r="AR51" s="37">
        <f>VLOOKUP(AR$5, $BA$12:$BV$16, $Y51+2)</f>
        <v>1.4079999999999999</v>
      </c>
      <c r="AS51" s="35">
        <f>VLOOKUP(AS$5, $BA$12:$BV$16, $Y51+2)</f>
        <v>1.28</v>
      </c>
      <c r="AT51" s="35">
        <f>VLOOKUP(AT$5, $BA$12:$BV$16, $Y51+2)</f>
        <v>1.17</v>
      </c>
      <c r="AU51" s="35">
        <f>VLOOKUP(AU$5, $BA$12:$BV$16, $Y51+2)</f>
        <v>1.083</v>
      </c>
      <c r="AV51" s="37">
        <f>VLOOKUP(AV$5, $BA$12:$BV$16, $Z51+2)</f>
        <v>1.4550000000000001</v>
      </c>
      <c r="AW51" s="35">
        <f>VLOOKUP(AW$5, $BA$12:$BV$16, $Z51+2)</f>
        <v>1.31</v>
      </c>
      <c r="AX51" s="35">
        <f>VLOOKUP(AX$5, $BA$12:$BV$16, $Z51+2)</f>
        <v>1.19</v>
      </c>
      <c r="AY51" s="35">
        <f>VLOOKUP(AY$5, $BA$12:$BV$16, $Z51+2)</f>
        <v>1.095</v>
      </c>
    </row>
    <row r="52" spans="23:51" x14ac:dyDescent="0.25">
      <c r="W52" s="30">
        <v>46</v>
      </c>
      <c r="X52" s="32">
        <f t="shared" si="4"/>
        <v>9.1999999999999993</v>
      </c>
      <c r="Y52" s="32">
        <f t="shared" si="5"/>
        <v>9</v>
      </c>
      <c r="Z52" s="32">
        <f t="shared" si="6"/>
        <v>10</v>
      </c>
      <c r="AA52" s="32">
        <f>X52 - Y52</f>
        <v>0.19999999999999929</v>
      </c>
      <c r="AB52" s="50">
        <f>AJ52 + (AN52-AJ52) * $AA52</f>
        <v>1.496</v>
      </c>
      <c r="AC52" s="32">
        <f>AK52 + (AO52-AK52) * $AA52</f>
        <v>1.3180000000000001</v>
      </c>
      <c r="AD52" s="32">
        <f>AL52 + (AP52-AL52) * $AA52</f>
        <v>1.18</v>
      </c>
      <c r="AE52" s="32">
        <f>AM52 + (AQ52-AM52) * $AA52</f>
        <v>1.0880000000000001</v>
      </c>
      <c r="AF52" s="44">
        <f>AR52 + (AV52-AR52) * $AA52</f>
        <v>1.4174</v>
      </c>
      <c r="AG52" s="32">
        <f>AS52 + (AW52-AS52) * $AA52</f>
        <v>1.286</v>
      </c>
      <c r="AH52" s="32">
        <f>AT52 + (AX52-AT52) * $AA52</f>
        <v>1.1739999999999999</v>
      </c>
      <c r="AI52" s="32">
        <f>AU52 + (AY52-AU52) * $AA52</f>
        <v>1.0853999999999999</v>
      </c>
      <c r="AJ52" s="54">
        <f>VLOOKUP(AJ$5, $BA$6:$BV$10, $Y52+2)</f>
        <v>1.4850000000000001</v>
      </c>
      <c r="AK52" s="35">
        <f>VLOOKUP(AK$5, $BA$6:$BV$10, $Y52+2)</f>
        <v>1.31</v>
      </c>
      <c r="AL52" s="35">
        <f>VLOOKUP(AL$5, $BA$6:$BV$10, $Y52+2)</f>
        <v>1.175</v>
      </c>
      <c r="AM52" s="35">
        <f>VLOOKUP(AM$5, $BA$6:$BV$10, $Y52+2)</f>
        <v>1.085</v>
      </c>
      <c r="AN52" s="37">
        <f>VLOOKUP(AN$5, $BA$6:$BV$10, $Z52+2)</f>
        <v>1.54</v>
      </c>
      <c r="AO52" s="35">
        <f>VLOOKUP(AO$5, $BA$6:$BV$10, $Z52+2)</f>
        <v>1.35</v>
      </c>
      <c r="AP52" s="35">
        <f>VLOOKUP(AP$5, $BA$6:$BV$10, $Z52+2)</f>
        <v>1.2</v>
      </c>
      <c r="AQ52" s="35">
        <f>VLOOKUP(AQ$5, $BA$6:$BV$10, $Z52+2)</f>
        <v>1.1000000000000001</v>
      </c>
      <c r="AR52" s="37">
        <f>VLOOKUP(AR$5, $BA$12:$BV$16, $Y52+2)</f>
        <v>1.4079999999999999</v>
      </c>
      <c r="AS52" s="35">
        <f>VLOOKUP(AS$5, $BA$12:$BV$16, $Y52+2)</f>
        <v>1.28</v>
      </c>
      <c r="AT52" s="35">
        <f>VLOOKUP(AT$5, $BA$12:$BV$16, $Y52+2)</f>
        <v>1.17</v>
      </c>
      <c r="AU52" s="35">
        <f>VLOOKUP(AU$5, $BA$12:$BV$16, $Y52+2)</f>
        <v>1.083</v>
      </c>
      <c r="AV52" s="37">
        <f>VLOOKUP(AV$5, $BA$12:$BV$16, $Z52+2)</f>
        <v>1.4550000000000001</v>
      </c>
      <c r="AW52" s="35">
        <f>VLOOKUP(AW$5, $BA$12:$BV$16, $Z52+2)</f>
        <v>1.31</v>
      </c>
      <c r="AX52" s="35">
        <f>VLOOKUP(AX$5, $BA$12:$BV$16, $Z52+2)</f>
        <v>1.19</v>
      </c>
      <c r="AY52" s="35">
        <f>VLOOKUP(AY$5, $BA$12:$BV$16, $Z52+2)</f>
        <v>1.095</v>
      </c>
    </row>
    <row r="53" spans="23:51" x14ac:dyDescent="0.25">
      <c r="W53" s="30">
        <v>47</v>
      </c>
      <c r="X53" s="32">
        <f t="shared" si="4"/>
        <v>9.4</v>
      </c>
      <c r="Y53" s="32">
        <f t="shared" si="5"/>
        <v>9</v>
      </c>
      <c r="Z53" s="32">
        <f t="shared" si="6"/>
        <v>10</v>
      </c>
      <c r="AA53" s="32">
        <f>X53 - Y53</f>
        <v>0.40000000000000036</v>
      </c>
      <c r="AB53" s="50">
        <f>AJ53 + (AN53-AJ53) * $AA53</f>
        <v>1.5070000000000001</v>
      </c>
      <c r="AC53" s="32">
        <f>AK53 + (AO53-AK53) * $AA53</f>
        <v>1.3260000000000001</v>
      </c>
      <c r="AD53" s="32">
        <f>AL53 + (AP53-AL53) * $AA53</f>
        <v>1.1850000000000001</v>
      </c>
      <c r="AE53" s="32">
        <f>AM53 + (AQ53-AM53) * $AA53</f>
        <v>1.091</v>
      </c>
      <c r="AF53" s="44">
        <f>AR53 + (AV53-AR53) * $AA53</f>
        <v>1.4268000000000001</v>
      </c>
      <c r="AG53" s="32">
        <f>AS53 + (AW53-AS53) * $AA53</f>
        <v>1.292</v>
      </c>
      <c r="AH53" s="32">
        <f>AT53 + (AX53-AT53) * $AA53</f>
        <v>1.1779999999999999</v>
      </c>
      <c r="AI53" s="32">
        <f>AU53 + (AY53-AU53) * $AA53</f>
        <v>1.0877999999999999</v>
      </c>
      <c r="AJ53" s="54">
        <f>VLOOKUP(AJ$5, $BA$6:$BV$10, $Y53+2)</f>
        <v>1.4850000000000001</v>
      </c>
      <c r="AK53" s="35">
        <f>VLOOKUP(AK$5, $BA$6:$BV$10, $Y53+2)</f>
        <v>1.31</v>
      </c>
      <c r="AL53" s="35">
        <f>VLOOKUP(AL$5, $BA$6:$BV$10, $Y53+2)</f>
        <v>1.175</v>
      </c>
      <c r="AM53" s="35">
        <f>VLOOKUP(AM$5, $BA$6:$BV$10, $Y53+2)</f>
        <v>1.085</v>
      </c>
      <c r="AN53" s="37">
        <f>VLOOKUP(AN$5, $BA$6:$BV$10, $Z53+2)</f>
        <v>1.54</v>
      </c>
      <c r="AO53" s="35">
        <f>VLOOKUP(AO$5, $BA$6:$BV$10, $Z53+2)</f>
        <v>1.35</v>
      </c>
      <c r="AP53" s="35">
        <f>VLOOKUP(AP$5, $BA$6:$BV$10, $Z53+2)</f>
        <v>1.2</v>
      </c>
      <c r="AQ53" s="35">
        <f>VLOOKUP(AQ$5, $BA$6:$BV$10, $Z53+2)</f>
        <v>1.1000000000000001</v>
      </c>
      <c r="AR53" s="37">
        <f>VLOOKUP(AR$5, $BA$12:$BV$16, $Y53+2)</f>
        <v>1.4079999999999999</v>
      </c>
      <c r="AS53" s="35">
        <f>VLOOKUP(AS$5, $BA$12:$BV$16, $Y53+2)</f>
        <v>1.28</v>
      </c>
      <c r="AT53" s="35">
        <f>VLOOKUP(AT$5, $BA$12:$BV$16, $Y53+2)</f>
        <v>1.17</v>
      </c>
      <c r="AU53" s="35">
        <f>VLOOKUP(AU$5, $BA$12:$BV$16, $Y53+2)</f>
        <v>1.083</v>
      </c>
      <c r="AV53" s="37">
        <f>VLOOKUP(AV$5, $BA$12:$BV$16, $Z53+2)</f>
        <v>1.4550000000000001</v>
      </c>
      <c r="AW53" s="35">
        <f>VLOOKUP(AW$5, $BA$12:$BV$16, $Z53+2)</f>
        <v>1.31</v>
      </c>
      <c r="AX53" s="35">
        <f>VLOOKUP(AX$5, $BA$12:$BV$16, $Z53+2)</f>
        <v>1.19</v>
      </c>
      <c r="AY53" s="35">
        <f>VLOOKUP(AY$5, $BA$12:$BV$16, $Z53+2)</f>
        <v>1.095</v>
      </c>
    </row>
    <row r="54" spans="23:51" x14ac:dyDescent="0.25">
      <c r="W54" s="30">
        <v>48</v>
      </c>
      <c r="X54" s="32">
        <f t="shared" si="4"/>
        <v>9.6</v>
      </c>
      <c r="Y54" s="32">
        <f t="shared" si="5"/>
        <v>9</v>
      </c>
      <c r="Z54" s="32">
        <f t="shared" si="6"/>
        <v>10</v>
      </c>
      <c r="AA54" s="32">
        <f>X54 - Y54</f>
        <v>0.59999999999999964</v>
      </c>
      <c r="AB54" s="50">
        <f>AJ54 + (AN54-AJ54) * $AA54</f>
        <v>1.518</v>
      </c>
      <c r="AC54" s="32">
        <f>AK54 + (AO54-AK54) * $AA54</f>
        <v>1.3340000000000001</v>
      </c>
      <c r="AD54" s="32">
        <f>AL54 + (AP54-AL54) * $AA54</f>
        <v>1.19</v>
      </c>
      <c r="AE54" s="32">
        <f>AM54 + (AQ54-AM54) * $AA54</f>
        <v>1.0940000000000001</v>
      </c>
      <c r="AF54" s="44">
        <f>AR54 + (AV54-AR54) * $AA54</f>
        <v>1.4361999999999999</v>
      </c>
      <c r="AG54" s="32">
        <f>AS54 + (AW54-AS54) * $AA54</f>
        <v>1.298</v>
      </c>
      <c r="AH54" s="32">
        <f>AT54 + (AX54-AT54) * $AA54</f>
        <v>1.1819999999999999</v>
      </c>
      <c r="AI54" s="32">
        <f>AU54 + (AY54-AU54) * $AA54</f>
        <v>1.0902000000000001</v>
      </c>
      <c r="AJ54" s="54">
        <f>VLOOKUP(AJ$5, $BA$6:$BV$10, $Y54+2)</f>
        <v>1.4850000000000001</v>
      </c>
      <c r="AK54" s="35">
        <f>VLOOKUP(AK$5, $BA$6:$BV$10, $Y54+2)</f>
        <v>1.31</v>
      </c>
      <c r="AL54" s="35">
        <f>VLOOKUP(AL$5, $BA$6:$BV$10, $Y54+2)</f>
        <v>1.175</v>
      </c>
      <c r="AM54" s="35">
        <f>VLOOKUP(AM$5, $BA$6:$BV$10, $Y54+2)</f>
        <v>1.085</v>
      </c>
      <c r="AN54" s="37">
        <f>VLOOKUP(AN$5, $BA$6:$BV$10, $Z54+2)</f>
        <v>1.54</v>
      </c>
      <c r="AO54" s="35">
        <f>VLOOKUP(AO$5, $BA$6:$BV$10, $Z54+2)</f>
        <v>1.35</v>
      </c>
      <c r="AP54" s="35">
        <f>VLOOKUP(AP$5, $BA$6:$BV$10, $Z54+2)</f>
        <v>1.2</v>
      </c>
      <c r="AQ54" s="35">
        <f>VLOOKUP(AQ$5, $BA$6:$BV$10, $Z54+2)</f>
        <v>1.1000000000000001</v>
      </c>
      <c r="AR54" s="37">
        <f>VLOOKUP(AR$5, $BA$12:$BV$16, $Y54+2)</f>
        <v>1.4079999999999999</v>
      </c>
      <c r="AS54" s="35">
        <f>VLOOKUP(AS$5, $BA$12:$BV$16, $Y54+2)</f>
        <v>1.28</v>
      </c>
      <c r="AT54" s="35">
        <f>VLOOKUP(AT$5, $BA$12:$BV$16, $Y54+2)</f>
        <v>1.17</v>
      </c>
      <c r="AU54" s="35">
        <f>VLOOKUP(AU$5, $BA$12:$BV$16, $Y54+2)</f>
        <v>1.083</v>
      </c>
      <c r="AV54" s="37">
        <f>VLOOKUP(AV$5, $BA$12:$BV$16, $Z54+2)</f>
        <v>1.4550000000000001</v>
      </c>
      <c r="AW54" s="35">
        <f>VLOOKUP(AW$5, $BA$12:$BV$16, $Z54+2)</f>
        <v>1.31</v>
      </c>
      <c r="AX54" s="35">
        <f>VLOOKUP(AX$5, $BA$12:$BV$16, $Z54+2)</f>
        <v>1.19</v>
      </c>
      <c r="AY54" s="35">
        <f>VLOOKUP(AY$5, $BA$12:$BV$16, $Z54+2)</f>
        <v>1.095</v>
      </c>
    </row>
    <row r="55" spans="23:51" x14ac:dyDescent="0.25">
      <c r="W55" s="30">
        <v>49</v>
      </c>
      <c r="X55" s="32">
        <f t="shared" si="4"/>
        <v>9.8000000000000007</v>
      </c>
      <c r="Y55" s="32">
        <f t="shared" si="5"/>
        <v>9</v>
      </c>
      <c r="Z55" s="32">
        <f t="shared" si="6"/>
        <v>10</v>
      </c>
      <c r="AA55" s="32">
        <f>X55 - Y55</f>
        <v>0.80000000000000071</v>
      </c>
      <c r="AB55" s="50">
        <f>AJ55 + (AN55-AJ55) * $AA55</f>
        <v>1.5290000000000001</v>
      </c>
      <c r="AC55" s="32">
        <f>AK55 + (AO55-AK55) * $AA55</f>
        <v>1.3420000000000001</v>
      </c>
      <c r="AD55" s="32">
        <f>AL55 + (AP55-AL55) * $AA55</f>
        <v>1.1950000000000001</v>
      </c>
      <c r="AE55" s="32">
        <f>AM55 + (AQ55-AM55) * $AA55</f>
        <v>1.097</v>
      </c>
      <c r="AF55" s="44">
        <f>AR55 + (AV55-AR55) * $AA55</f>
        <v>1.4456</v>
      </c>
      <c r="AG55" s="32">
        <f>AS55 + (AW55-AS55) * $AA55</f>
        <v>1.304</v>
      </c>
      <c r="AH55" s="32">
        <f>AT55 + (AX55-AT55) * $AA55</f>
        <v>1.1859999999999999</v>
      </c>
      <c r="AI55" s="32">
        <f>AU55 + (AY55-AU55) * $AA55</f>
        <v>1.0926</v>
      </c>
      <c r="AJ55" s="54">
        <f>VLOOKUP(AJ$5, $BA$6:$BV$10, $Y55+2)</f>
        <v>1.4850000000000001</v>
      </c>
      <c r="AK55" s="35">
        <f>VLOOKUP(AK$5, $BA$6:$BV$10, $Y55+2)</f>
        <v>1.31</v>
      </c>
      <c r="AL55" s="35">
        <f>VLOOKUP(AL$5, $BA$6:$BV$10, $Y55+2)</f>
        <v>1.175</v>
      </c>
      <c r="AM55" s="35">
        <f>VLOOKUP(AM$5, $BA$6:$BV$10, $Y55+2)</f>
        <v>1.085</v>
      </c>
      <c r="AN55" s="37">
        <f>VLOOKUP(AN$5, $BA$6:$BV$10, $Z55+2)</f>
        <v>1.54</v>
      </c>
      <c r="AO55" s="35">
        <f>VLOOKUP(AO$5, $BA$6:$BV$10, $Z55+2)</f>
        <v>1.35</v>
      </c>
      <c r="AP55" s="35">
        <f>VLOOKUP(AP$5, $BA$6:$BV$10, $Z55+2)</f>
        <v>1.2</v>
      </c>
      <c r="AQ55" s="35">
        <f>VLOOKUP(AQ$5, $BA$6:$BV$10, $Z55+2)</f>
        <v>1.1000000000000001</v>
      </c>
      <c r="AR55" s="37">
        <f>VLOOKUP(AR$5, $BA$12:$BV$16, $Y55+2)</f>
        <v>1.4079999999999999</v>
      </c>
      <c r="AS55" s="35">
        <f>VLOOKUP(AS$5, $BA$12:$BV$16, $Y55+2)</f>
        <v>1.28</v>
      </c>
      <c r="AT55" s="35">
        <f>VLOOKUP(AT$5, $BA$12:$BV$16, $Y55+2)</f>
        <v>1.17</v>
      </c>
      <c r="AU55" s="35">
        <f>VLOOKUP(AU$5, $BA$12:$BV$16, $Y55+2)</f>
        <v>1.083</v>
      </c>
      <c r="AV55" s="37">
        <f>VLOOKUP(AV$5, $BA$12:$BV$16, $Z55+2)</f>
        <v>1.4550000000000001</v>
      </c>
      <c r="AW55" s="35">
        <f>VLOOKUP(AW$5, $BA$12:$BV$16, $Z55+2)</f>
        <v>1.31</v>
      </c>
      <c r="AX55" s="35">
        <f>VLOOKUP(AX$5, $BA$12:$BV$16, $Z55+2)</f>
        <v>1.19</v>
      </c>
      <c r="AY55" s="35">
        <f>VLOOKUP(AY$5, $BA$12:$BV$16, $Z55+2)</f>
        <v>1.095</v>
      </c>
    </row>
    <row r="56" spans="23:51" x14ac:dyDescent="0.25">
      <c r="W56" s="30">
        <v>50</v>
      </c>
      <c r="X56" s="32">
        <f t="shared" si="4"/>
        <v>10</v>
      </c>
      <c r="Y56" s="32">
        <f t="shared" si="5"/>
        <v>10</v>
      </c>
      <c r="Z56" s="32">
        <f t="shared" si="6"/>
        <v>11</v>
      </c>
      <c r="AA56" s="32">
        <f>X56 - Y56</f>
        <v>0</v>
      </c>
      <c r="AB56" s="50">
        <f>AJ56 + (AN56-AJ56) * $AA56</f>
        <v>1.54</v>
      </c>
      <c r="AC56" s="32">
        <f>AK56 + (AO56-AK56) * $AA56</f>
        <v>1.35</v>
      </c>
      <c r="AD56" s="32">
        <f>AL56 + (AP56-AL56) * $AA56</f>
        <v>1.2</v>
      </c>
      <c r="AE56" s="32">
        <f>AM56 + (AQ56-AM56) * $AA56</f>
        <v>1.1000000000000001</v>
      </c>
      <c r="AF56" s="44">
        <f>AR56 + (AV56-AR56) * $AA56</f>
        <v>1.4550000000000001</v>
      </c>
      <c r="AG56" s="32">
        <f>AS56 + (AW56-AS56) * $AA56</f>
        <v>1.31</v>
      </c>
      <c r="AH56" s="32">
        <f>AT56 + (AX56-AT56) * $AA56</f>
        <v>1.19</v>
      </c>
      <c r="AI56" s="32">
        <f>AU56 + (AY56-AU56) * $AA56</f>
        <v>1.095</v>
      </c>
      <c r="AJ56" s="54">
        <f>VLOOKUP(AJ$5, $BA$6:$BV$10, $Y56+2)</f>
        <v>1.54</v>
      </c>
      <c r="AK56" s="35">
        <f>VLOOKUP(AK$5, $BA$6:$BV$10, $Y56+2)</f>
        <v>1.35</v>
      </c>
      <c r="AL56" s="35">
        <f>VLOOKUP(AL$5, $BA$6:$BV$10, $Y56+2)</f>
        <v>1.2</v>
      </c>
      <c r="AM56" s="35">
        <f>VLOOKUP(AM$5, $BA$6:$BV$10, $Y56+2)</f>
        <v>1.1000000000000001</v>
      </c>
      <c r="AN56" s="37">
        <f>VLOOKUP(AN$5, $BA$6:$BV$10, $Z56+2)</f>
        <v>1.595</v>
      </c>
      <c r="AO56" s="35">
        <f>VLOOKUP(AO$5, $BA$6:$BV$10, $Z56+2)</f>
        <v>1.39</v>
      </c>
      <c r="AP56" s="35">
        <f>VLOOKUP(AP$5, $BA$6:$BV$10, $Z56+2)</f>
        <v>1.2250000000000001</v>
      </c>
      <c r="AQ56" s="35">
        <f>VLOOKUP(AQ$5, $BA$6:$BV$10, $Z56+2)</f>
        <v>1.115</v>
      </c>
      <c r="AR56" s="37">
        <f>VLOOKUP(AR$5, $BA$12:$BV$16, $Y56+2)</f>
        <v>1.4550000000000001</v>
      </c>
      <c r="AS56" s="35">
        <f>VLOOKUP(AS$5, $BA$12:$BV$16, $Y56+2)</f>
        <v>1.31</v>
      </c>
      <c r="AT56" s="35">
        <f>VLOOKUP(AT$5, $BA$12:$BV$16, $Y56+2)</f>
        <v>1.19</v>
      </c>
      <c r="AU56" s="35">
        <f>VLOOKUP(AU$5, $BA$12:$BV$16, $Y56+2)</f>
        <v>1.095</v>
      </c>
      <c r="AV56" s="37">
        <f>VLOOKUP(AV$5, $BA$12:$BV$16, $Z56+2)</f>
        <v>1.5029999999999999</v>
      </c>
      <c r="AW56" s="35">
        <f>VLOOKUP(AW$5, $BA$12:$BV$16, $Z56+2)</f>
        <v>1.34</v>
      </c>
      <c r="AX56" s="35">
        <f>VLOOKUP(AX$5, $BA$12:$BV$16, $Z56+2)</f>
        <v>1.21</v>
      </c>
      <c r="AY56" s="35">
        <f>VLOOKUP(AY$5, $BA$12:$BV$16, $Z56+2)</f>
        <v>1.1080000000000001</v>
      </c>
    </row>
    <row r="57" spans="23:51" x14ac:dyDescent="0.25">
      <c r="W57" s="30">
        <v>51</v>
      </c>
      <c r="X57" s="32">
        <f t="shared" si="4"/>
        <v>10.199999999999999</v>
      </c>
      <c r="Y57" s="32">
        <f t="shared" si="5"/>
        <v>10</v>
      </c>
      <c r="Z57" s="32">
        <f t="shared" si="6"/>
        <v>11</v>
      </c>
      <c r="AA57" s="32">
        <f>X57 - Y57</f>
        <v>0.19999999999999929</v>
      </c>
      <c r="AB57" s="50">
        <f>AJ57 + (AN57-AJ57) * $AA57</f>
        <v>1.5509999999999999</v>
      </c>
      <c r="AC57" s="32">
        <f>AK57 + (AO57-AK57) * $AA57</f>
        <v>1.3580000000000001</v>
      </c>
      <c r="AD57" s="32">
        <f>AL57 + (AP57-AL57) * $AA57</f>
        <v>1.2050000000000001</v>
      </c>
      <c r="AE57" s="32">
        <f>AM57 + (AQ57-AM57) * $AA57</f>
        <v>1.103</v>
      </c>
      <c r="AF57" s="44">
        <f>AR57 + (AV57-AR57) * $AA57</f>
        <v>1.4645999999999999</v>
      </c>
      <c r="AG57" s="32">
        <f>AS57 + (AW57-AS57) * $AA57</f>
        <v>1.3160000000000001</v>
      </c>
      <c r="AH57" s="32">
        <f>AT57 + (AX57-AT57) * $AA57</f>
        <v>1.194</v>
      </c>
      <c r="AI57" s="32">
        <f>AU57 + (AY57-AU57) * $AA57</f>
        <v>1.0975999999999999</v>
      </c>
      <c r="AJ57" s="54">
        <f>VLOOKUP(AJ$5, $BA$6:$BV$10, $Y57+2)</f>
        <v>1.54</v>
      </c>
      <c r="AK57" s="35">
        <f>VLOOKUP(AK$5, $BA$6:$BV$10, $Y57+2)</f>
        <v>1.35</v>
      </c>
      <c r="AL57" s="35">
        <f>VLOOKUP(AL$5, $BA$6:$BV$10, $Y57+2)</f>
        <v>1.2</v>
      </c>
      <c r="AM57" s="35">
        <f>VLOOKUP(AM$5, $BA$6:$BV$10, $Y57+2)</f>
        <v>1.1000000000000001</v>
      </c>
      <c r="AN57" s="37">
        <f>VLOOKUP(AN$5, $BA$6:$BV$10, $Z57+2)</f>
        <v>1.595</v>
      </c>
      <c r="AO57" s="35">
        <f>VLOOKUP(AO$5, $BA$6:$BV$10, $Z57+2)</f>
        <v>1.39</v>
      </c>
      <c r="AP57" s="35">
        <f>VLOOKUP(AP$5, $BA$6:$BV$10, $Z57+2)</f>
        <v>1.2250000000000001</v>
      </c>
      <c r="AQ57" s="35">
        <f>VLOOKUP(AQ$5, $BA$6:$BV$10, $Z57+2)</f>
        <v>1.115</v>
      </c>
      <c r="AR57" s="37">
        <f>VLOOKUP(AR$5, $BA$12:$BV$16, $Y57+2)</f>
        <v>1.4550000000000001</v>
      </c>
      <c r="AS57" s="35">
        <f>VLOOKUP(AS$5, $BA$12:$BV$16, $Y57+2)</f>
        <v>1.31</v>
      </c>
      <c r="AT57" s="35">
        <f>VLOOKUP(AT$5, $BA$12:$BV$16, $Y57+2)</f>
        <v>1.19</v>
      </c>
      <c r="AU57" s="35">
        <f>VLOOKUP(AU$5, $BA$12:$BV$16, $Y57+2)</f>
        <v>1.095</v>
      </c>
      <c r="AV57" s="37">
        <f>VLOOKUP(AV$5, $BA$12:$BV$16, $Z57+2)</f>
        <v>1.5029999999999999</v>
      </c>
      <c r="AW57" s="35">
        <f>VLOOKUP(AW$5, $BA$12:$BV$16, $Z57+2)</f>
        <v>1.34</v>
      </c>
      <c r="AX57" s="35">
        <f>VLOOKUP(AX$5, $BA$12:$BV$16, $Z57+2)</f>
        <v>1.21</v>
      </c>
      <c r="AY57" s="35">
        <f>VLOOKUP(AY$5, $BA$12:$BV$16, $Z57+2)</f>
        <v>1.1080000000000001</v>
      </c>
    </row>
    <row r="58" spans="23:51" x14ac:dyDescent="0.25">
      <c r="W58" s="30">
        <v>52</v>
      </c>
      <c r="X58" s="32">
        <f t="shared" si="4"/>
        <v>10.4</v>
      </c>
      <c r="Y58" s="32">
        <f t="shared" si="5"/>
        <v>10</v>
      </c>
      <c r="Z58" s="32">
        <f t="shared" si="6"/>
        <v>11</v>
      </c>
      <c r="AA58" s="32">
        <f>X58 - Y58</f>
        <v>0.40000000000000036</v>
      </c>
      <c r="AB58" s="50">
        <f>AJ58 + (AN58-AJ58) * $AA58</f>
        <v>1.5620000000000001</v>
      </c>
      <c r="AC58" s="32">
        <f>AK58 + (AO58-AK58) * $AA58</f>
        <v>1.3660000000000001</v>
      </c>
      <c r="AD58" s="32">
        <f>AL58 + (AP58-AL58) * $AA58</f>
        <v>1.21</v>
      </c>
      <c r="AE58" s="32">
        <f>AM58 + (AQ58-AM58) * $AA58</f>
        <v>1.1060000000000001</v>
      </c>
      <c r="AF58" s="44">
        <f>AR58 + (AV58-AR58) * $AA58</f>
        <v>1.4742</v>
      </c>
      <c r="AG58" s="32">
        <f>AS58 + (AW58-AS58) * $AA58</f>
        <v>1.3220000000000001</v>
      </c>
      <c r="AH58" s="32">
        <f>AT58 + (AX58-AT58) * $AA58</f>
        <v>1.198</v>
      </c>
      <c r="AI58" s="32">
        <f>AU58 + (AY58-AU58) * $AA58</f>
        <v>1.1002000000000001</v>
      </c>
      <c r="AJ58" s="54">
        <f>VLOOKUP(AJ$5, $BA$6:$BV$10, $Y58+2)</f>
        <v>1.54</v>
      </c>
      <c r="AK58" s="35">
        <f>VLOOKUP(AK$5, $BA$6:$BV$10, $Y58+2)</f>
        <v>1.35</v>
      </c>
      <c r="AL58" s="35">
        <f>VLOOKUP(AL$5, $BA$6:$BV$10, $Y58+2)</f>
        <v>1.2</v>
      </c>
      <c r="AM58" s="35">
        <f>VLOOKUP(AM$5, $BA$6:$BV$10, $Y58+2)</f>
        <v>1.1000000000000001</v>
      </c>
      <c r="AN58" s="37">
        <f>VLOOKUP(AN$5, $BA$6:$BV$10, $Z58+2)</f>
        <v>1.595</v>
      </c>
      <c r="AO58" s="35">
        <f>VLOOKUP(AO$5, $BA$6:$BV$10, $Z58+2)</f>
        <v>1.39</v>
      </c>
      <c r="AP58" s="35">
        <f>VLOOKUP(AP$5, $BA$6:$BV$10, $Z58+2)</f>
        <v>1.2250000000000001</v>
      </c>
      <c r="AQ58" s="35">
        <f>VLOOKUP(AQ$5, $BA$6:$BV$10, $Z58+2)</f>
        <v>1.115</v>
      </c>
      <c r="AR58" s="37">
        <f>VLOOKUP(AR$5, $BA$12:$BV$16, $Y58+2)</f>
        <v>1.4550000000000001</v>
      </c>
      <c r="AS58" s="35">
        <f>VLOOKUP(AS$5, $BA$12:$BV$16, $Y58+2)</f>
        <v>1.31</v>
      </c>
      <c r="AT58" s="35">
        <f>VLOOKUP(AT$5, $BA$12:$BV$16, $Y58+2)</f>
        <v>1.19</v>
      </c>
      <c r="AU58" s="35">
        <f>VLOOKUP(AU$5, $BA$12:$BV$16, $Y58+2)</f>
        <v>1.095</v>
      </c>
      <c r="AV58" s="37">
        <f>VLOOKUP(AV$5, $BA$12:$BV$16, $Z58+2)</f>
        <v>1.5029999999999999</v>
      </c>
      <c r="AW58" s="35">
        <f>VLOOKUP(AW$5, $BA$12:$BV$16, $Z58+2)</f>
        <v>1.34</v>
      </c>
      <c r="AX58" s="35">
        <f>VLOOKUP(AX$5, $BA$12:$BV$16, $Z58+2)</f>
        <v>1.21</v>
      </c>
      <c r="AY58" s="35">
        <f>VLOOKUP(AY$5, $BA$12:$BV$16, $Z58+2)</f>
        <v>1.1080000000000001</v>
      </c>
    </row>
    <row r="59" spans="23:51" x14ac:dyDescent="0.25">
      <c r="W59" s="30">
        <v>53</v>
      </c>
      <c r="X59" s="32">
        <f t="shared" si="4"/>
        <v>10.6</v>
      </c>
      <c r="Y59" s="32">
        <f t="shared" si="5"/>
        <v>10</v>
      </c>
      <c r="Z59" s="32">
        <f t="shared" si="6"/>
        <v>11</v>
      </c>
      <c r="AA59" s="32">
        <f>X59 - Y59</f>
        <v>0.59999999999999964</v>
      </c>
      <c r="AB59" s="50">
        <f>AJ59 + (AN59-AJ59) * $AA59</f>
        <v>1.573</v>
      </c>
      <c r="AC59" s="32">
        <f>AK59 + (AO59-AK59) * $AA59</f>
        <v>1.3739999999999999</v>
      </c>
      <c r="AD59" s="32">
        <f>AL59 + (AP59-AL59) * $AA59</f>
        <v>1.2150000000000001</v>
      </c>
      <c r="AE59" s="32">
        <f>AM59 + (AQ59-AM59) * $AA59</f>
        <v>1.109</v>
      </c>
      <c r="AF59" s="44">
        <f>AR59 + (AV59-AR59) * $AA59</f>
        <v>1.4838</v>
      </c>
      <c r="AG59" s="32">
        <f>AS59 + (AW59-AS59) * $AA59</f>
        <v>1.3280000000000001</v>
      </c>
      <c r="AH59" s="32">
        <f>AT59 + (AX59-AT59) * $AA59</f>
        <v>1.202</v>
      </c>
      <c r="AI59" s="32">
        <f>AU59 + (AY59-AU59) * $AA59</f>
        <v>1.1028</v>
      </c>
      <c r="AJ59" s="54">
        <f>VLOOKUP(AJ$5, $BA$6:$BV$10, $Y59+2)</f>
        <v>1.54</v>
      </c>
      <c r="AK59" s="35">
        <f>VLOOKUP(AK$5, $BA$6:$BV$10, $Y59+2)</f>
        <v>1.35</v>
      </c>
      <c r="AL59" s="35">
        <f>VLOOKUP(AL$5, $BA$6:$BV$10, $Y59+2)</f>
        <v>1.2</v>
      </c>
      <c r="AM59" s="35">
        <f>VLOOKUP(AM$5, $BA$6:$BV$10, $Y59+2)</f>
        <v>1.1000000000000001</v>
      </c>
      <c r="AN59" s="37">
        <f>VLOOKUP(AN$5, $BA$6:$BV$10, $Z59+2)</f>
        <v>1.595</v>
      </c>
      <c r="AO59" s="35">
        <f>VLOOKUP(AO$5, $BA$6:$BV$10, $Z59+2)</f>
        <v>1.39</v>
      </c>
      <c r="AP59" s="35">
        <f>VLOOKUP(AP$5, $BA$6:$BV$10, $Z59+2)</f>
        <v>1.2250000000000001</v>
      </c>
      <c r="AQ59" s="35">
        <f>VLOOKUP(AQ$5, $BA$6:$BV$10, $Z59+2)</f>
        <v>1.115</v>
      </c>
      <c r="AR59" s="37">
        <f>VLOOKUP(AR$5, $BA$12:$BV$16, $Y59+2)</f>
        <v>1.4550000000000001</v>
      </c>
      <c r="AS59" s="35">
        <f>VLOOKUP(AS$5, $BA$12:$BV$16, $Y59+2)</f>
        <v>1.31</v>
      </c>
      <c r="AT59" s="35">
        <f>VLOOKUP(AT$5, $BA$12:$BV$16, $Y59+2)</f>
        <v>1.19</v>
      </c>
      <c r="AU59" s="35">
        <f>VLOOKUP(AU$5, $BA$12:$BV$16, $Y59+2)</f>
        <v>1.095</v>
      </c>
      <c r="AV59" s="37">
        <f>VLOOKUP(AV$5, $BA$12:$BV$16, $Z59+2)</f>
        <v>1.5029999999999999</v>
      </c>
      <c r="AW59" s="35">
        <f>VLOOKUP(AW$5, $BA$12:$BV$16, $Z59+2)</f>
        <v>1.34</v>
      </c>
      <c r="AX59" s="35">
        <f>VLOOKUP(AX$5, $BA$12:$BV$16, $Z59+2)</f>
        <v>1.21</v>
      </c>
      <c r="AY59" s="35">
        <f>VLOOKUP(AY$5, $BA$12:$BV$16, $Z59+2)</f>
        <v>1.1080000000000001</v>
      </c>
    </row>
    <row r="60" spans="23:51" x14ac:dyDescent="0.25">
      <c r="W60" s="30">
        <v>54</v>
      </c>
      <c r="X60" s="32">
        <f t="shared" si="4"/>
        <v>10.8</v>
      </c>
      <c r="Y60" s="32">
        <f t="shared" si="5"/>
        <v>10</v>
      </c>
      <c r="Z60" s="32">
        <f t="shared" si="6"/>
        <v>11</v>
      </c>
      <c r="AA60" s="32">
        <f>X60 - Y60</f>
        <v>0.80000000000000071</v>
      </c>
      <c r="AB60" s="50">
        <f>AJ60 + (AN60-AJ60) * $AA60</f>
        <v>1.5840000000000001</v>
      </c>
      <c r="AC60" s="32">
        <f>AK60 + (AO60-AK60) * $AA60</f>
        <v>1.3819999999999999</v>
      </c>
      <c r="AD60" s="32">
        <f>AL60 + (AP60-AL60) * $AA60</f>
        <v>1.22</v>
      </c>
      <c r="AE60" s="32">
        <f>AM60 + (AQ60-AM60) * $AA60</f>
        <v>1.1120000000000001</v>
      </c>
      <c r="AF60" s="44">
        <f>AR60 + (AV60-AR60) * $AA60</f>
        <v>1.4934000000000001</v>
      </c>
      <c r="AG60" s="32">
        <f>AS60 + (AW60-AS60) * $AA60</f>
        <v>1.3340000000000001</v>
      </c>
      <c r="AH60" s="32">
        <f>AT60 + (AX60-AT60) * $AA60</f>
        <v>1.206</v>
      </c>
      <c r="AI60" s="32">
        <f>AU60 + (AY60-AU60) * $AA60</f>
        <v>1.1054000000000002</v>
      </c>
      <c r="AJ60" s="54">
        <f>VLOOKUP(AJ$5, $BA$6:$BV$10, $Y60+2)</f>
        <v>1.54</v>
      </c>
      <c r="AK60" s="35">
        <f>VLOOKUP(AK$5, $BA$6:$BV$10, $Y60+2)</f>
        <v>1.35</v>
      </c>
      <c r="AL60" s="35">
        <f>VLOOKUP(AL$5, $BA$6:$BV$10, $Y60+2)</f>
        <v>1.2</v>
      </c>
      <c r="AM60" s="35">
        <f>VLOOKUP(AM$5, $BA$6:$BV$10, $Y60+2)</f>
        <v>1.1000000000000001</v>
      </c>
      <c r="AN60" s="37">
        <f>VLOOKUP(AN$5, $BA$6:$BV$10, $Z60+2)</f>
        <v>1.595</v>
      </c>
      <c r="AO60" s="35">
        <f>VLOOKUP(AO$5, $BA$6:$BV$10, $Z60+2)</f>
        <v>1.39</v>
      </c>
      <c r="AP60" s="35">
        <f>VLOOKUP(AP$5, $BA$6:$BV$10, $Z60+2)</f>
        <v>1.2250000000000001</v>
      </c>
      <c r="AQ60" s="35">
        <f>VLOOKUP(AQ$5, $BA$6:$BV$10, $Z60+2)</f>
        <v>1.115</v>
      </c>
      <c r="AR60" s="37">
        <f>VLOOKUP(AR$5, $BA$12:$BV$16, $Y60+2)</f>
        <v>1.4550000000000001</v>
      </c>
      <c r="AS60" s="35">
        <f>VLOOKUP(AS$5, $BA$12:$BV$16, $Y60+2)</f>
        <v>1.31</v>
      </c>
      <c r="AT60" s="35">
        <f>VLOOKUP(AT$5, $BA$12:$BV$16, $Y60+2)</f>
        <v>1.19</v>
      </c>
      <c r="AU60" s="35">
        <f>VLOOKUP(AU$5, $BA$12:$BV$16, $Y60+2)</f>
        <v>1.095</v>
      </c>
      <c r="AV60" s="37">
        <f>VLOOKUP(AV$5, $BA$12:$BV$16, $Z60+2)</f>
        <v>1.5029999999999999</v>
      </c>
      <c r="AW60" s="35">
        <f>VLOOKUP(AW$5, $BA$12:$BV$16, $Z60+2)</f>
        <v>1.34</v>
      </c>
      <c r="AX60" s="35">
        <f>VLOOKUP(AX$5, $BA$12:$BV$16, $Z60+2)</f>
        <v>1.21</v>
      </c>
      <c r="AY60" s="35">
        <f>VLOOKUP(AY$5, $BA$12:$BV$16, $Z60+2)</f>
        <v>1.1080000000000001</v>
      </c>
    </row>
    <row r="61" spans="23:51" x14ac:dyDescent="0.25">
      <c r="W61" s="30">
        <v>55</v>
      </c>
      <c r="X61" s="32">
        <f t="shared" si="4"/>
        <v>11</v>
      </c>
      <c r="Y61" s="32">
        <f t="shared" si="5"/>
        <v>11</v>
      </c>
      <c r="Z61" s="32">
        <f t="shared" si="6"/>
        <v>12</v>
      </c>
      <c r="AA61" s="32">
        <f>X61 - Y61</f>
        <v>0</v>
      </c>
      <c r="AB61" s="50">
        <f>AJ61 + (AN61-AJ61) * $AA61</f>
        <v>1.595</v>
      </c>
      <c r="AC61" s="32">
        <f>AK61 + (AO61-AK61) * $AA61</f>
        <v>1.39</v>
      </c>
      <c r="AD61" s="32">
        <f>AL61 + (AP61-AL61) * $AA61</f>
        <v>1.2250000000000001</v>
      </c>
      <c r="AE61" s="32">
        <f>AM61 + (AQ61-AM61) * $AA61</f>
        <v>1.115</v>
      </c>
      <c r="AF61" s="44">
        <f>AR61 + (AV61-AR61) * $AA61</f>
        <v>1.5029999999999999</v>
      </c>
      <c r="AG61" s="32">
        <f>AS61 + (AW61-AS61) * $AA61</f>
        <v>1.34</v>
      </c>
      <c r="AH61" s="32">
        <f>AT61 + (AX61-AT61) * $AA61</f>
        <v>1.21</v>
      </c>
      <c r="AI61" s="32">
        <f>AU61 + (AY61-AU61) * $AA61</f>
        <v>1.1080000000000001</v>
      </c>
      <c r="AJ61" s="54">
        <f>VLOOKUP(AJ$5, $BA$6:$BV$10, $Y61+2)</f>
        <v>1.595</v>
      </c>
      <c r="AK61" s="35">
        <f>VLOOKUP(AK$5, $BA$6:$BV$10, $Y61+2)</f>
        <v>1.39</v>
      </c>
      <c r="AL61" s="35">
        <f>VLOOKUP(AL$5, $BA$6:$BV$10, $Y61+2)</f>
        <v>1.2250000000000001</v>
      </c>
      <c r="AM61" s="35">
        <f>VLOOKUP(AM$5, $BA$6:$BV$10, $Y61+2)</f>
        <v>1.115</v>
      </c>
      <c r="AN61" s="37">
        <f>VLOOKUP(AN$5, $BA$6:$BV$10, $Z61+2)</f>
        <v>1.65</v>
      </c>
      <c r="AO61" s="35">
        <f>VLOOKUP(AO$5, $BA$6:$BV$10, $Z61+2)</f>
        <v>1.43</v>
      </c>
      <c r="AP61" s="35">
        <f>VLOOKUP(AP$5, $BA$6:$BV$10, $Z61+2)</f>
        <v>1.25</v>
      </c>
      <c r="AQ61" s="35">
        <f>VLOOKUP(AQ$5, $BA$6:$BV$10, $Z61+2)</f>
        <v>1.1299999999999999</v>
      </c>
      <c r="AR61" s="37">
        <f>VLOOKUP(AR$5, $BA$12:$BV$16, $Y61+2)</f>
        <v>1.5029999999999999</v>
      </c>
      <c r="AS61" s="35">
        <f>VLOOKUP(AS$5, $BA$12:$BV$16, $Y61+2)</f>
        <v>1.34</v>
      </c>
      <c r="AT61" s="35">
        <f>VLOOKUP(AT$5, $BA$12:$BV$16, $Y61+2)</f>
        <v>1.21</v>
      </c>
      <c r="AU61" s="35">
        <f>VLOOKUP(AU$5, $BA$12:$BV$16, $Y61+2)</f>
        <v>1.1080000000000001</v>
      </c>
      <c r="AV61" s="37">
        <f>VLOOKUP(AV$5, $BA$12:$BV$16, $Z61+2)</f>
        <v>1.55</v>
      </c>
      <c r="AW61" s="35">
        <f>VLOOKUP(AW$5, $BA$12:$BV$16, $Z61+2)</f>
        <v>1.37</v>
      </c>
      <c r="AX61" s="35">
        <f>VLOOKUP(AX$5, $BA$12:$BV$16, $Z61+2)</f>
        <v>1.23</v>
      </c>
      <c r="AY61" s="35">
        <f>VLOOKUP(AY$5, $BA$12:$BV$16, $Z61+2)</f>
        <v>1.1200000000000001</v>
      </c>
    </row>
    <row r="62" spans="23:51" x14ac:dyDescent="0.25">
      <c r="W62" s="30">
        <v>56</v>
      </c>
      <c r="X62" s="32">
        <f t="shared" si="4"/>
        <v>11.2</v>
      </c>
      <c r="Y62" s="32">
        <f t="shared" si="5"/>
        <v>11</v>
      </c>
      <c r="Z62" s="32">
        <f t="shared" si="6"/>
        <v>12</v>
      </c>
      <c r="AA62" s="32">
        <f>X62 - Y62</f>
        <v>0.19999999999999929</v>
      </c>
      <c r="AB62" s="50">
        <f>AJ62 + (AN62-AJ62) * $AA62</f>
        <v>1.6059999999999999</v>
      </c>
      <c r="AC62" s="32">
        <f>AK62 + (AO62-AK62) * $AA62</f>
        <v>1.3979999999999999</v>
      </c>
      <c r="AD62" s="32">
        <f>AL62 + (AP62-AL62) * $AA62</f>
        <v>1.23</v>
      </c>
      <c r="AE62" s="32">
        <f>AM62 + (AQ62-AM62) * $AA62</f>
        <v>1.1179999999999999</v>
      </c>
      <c r="AF62" s="44">
        <f>AR62 + (AV62-AR62) * $AA62</f>
        <v>1.5124</v>
      </c>
      <c r="AG62" s="32">
        <f>AS62 + (AW62-AS62) * $AA62</f>
        <v>1.3460000000000001</v>
      </c>
      <c r="AH62" s="32">
        <f>AT62 + (AX62-AT62) * $AA62</f>
        <v>1.214</v>
      </c>
      <c r="AI62" s="32">
        <f>AU62 + (AY62-AU62) * $AA62</f>
        <v>1.1104000000000001</v>
      </c>
      <c r="AJ62" s="54">
        <f>VLOOKUP(AJ$5, $BA$6:$BV$10, $Y62+2)</f>
        <v>1.595</v>
      </c>
      <c r="AK62" s="35">
        <f>VLOOKUP(AK$5, $BA$6:$BV$10, $Y62+2)</f>
        <v>1.39</v>
      </c>
      <c r="AL62" s="35">
        <f>VLOOKUP(AL$5, $BA$6:$BV$10, $Y62+2)</f>
        <v>1.2250000000000001</v>
      </c>
      <c r="AM62" s="35">
        <f>VLOOKUP(AM$5, $BA$6:$BV$10, $Y62+2)</f>
        <v>1.115</v>
      </c>
      <c r="AN62" s="37">
        <f>VLOOKUP(AN$5, $BA$6:$BV$10, $Z62+2)</f>
        <v>1.65</v>
      </c>
      <c r="AO62" s="35">
        <f>VLOOKUP(AO$5, $BA$6:$BV$10, $Z62+2)</f>
        <v>1.43</v>
      </c>
      <c r="AP62" s="35">
        <f>VLOOKUP(AP$5, $BA$6:$BV$10, $Z62+2)</f>
        <v>1.25</v>
      </c>
      <c r="AQ62" s="35">
        <f>VLOOKUP(AQ$5, $BA$6:$BV$10, $Z62+2)</f>
        <v>1.1299999999999999</v>
      </c>
      <c r="AR62" s="37">
        <f>VLOOKUP(AR$5, $BA$12:$BV$16, $Y62+2)</f>
        <v>1.5029999999999999</v>
      </c>
      <c r="AS62" s="35">
        <f>VLOOKUP(AS$5, $BA$12:$BV$16, $Y62+2)</f>
        <v>1.34</v>
      </c>
      <c r="AT62" s="35">
        <f>VLOOKUP(AT$5, $BA$12:$BV$16, $Y62+2)</f>
        <v>1.21</v>
      </c>
      <c r="AU62" s="35">
        <f>VLOOKUP(AU$5, $BA$12:$BV$16, $Y62+2)</f>
        <v>1.1080000000000001</v>
      </c>
      <c r="AV62" s="37">
        <f>VLOOKUP(AV$5, $BA$12:$BV$16, $Z62+2)</f>
        <v>1.55</v>
      </c>
      <c r="AW62" s="35">
        <f>VLOOKUP(AW$5, $BA$12:$BV$16, $Z62+2)</f>
        <v>1.37</v>
      </c>
      <c r="AX62" s="35">
        <f>VLOOKUP(AX$5, $BA$12:$BV$16, $Z62+2)</f>
        <v>1.23</v>
      </c>
      <c r="AY62" s="35">
        <f>VLOOKUP(AY$5, $BA$12:$BV$16, $Z62+2)</f>
        <v>1.1200000000000001</v>
      </c>
    </row>
    <row r="63" spans="23:51" x14ac:dyDescent="0.25">
      <c r="W63" s="30">
        <v>57</v>
      </c>
      <c r="X63" s="32">
        <f t="shared" si="4"/>
        <v>11.4</v>
      </c>
      <c r="Y63" s="32">
        <f t="shared" si="5"/>
        <v>11</v>
      </c>
      <c r="Z63" s="32">
        <f t="shared" si="6"/>
        <v>12</v>
      </c>
      <c r="AA63" s="32">
        <f>X63 - Y63</f>
        <v>0.40000000000000036</v>
      </c>
      <c r="AB63" s="50">
        <f>AJ63 + (AN63-AJ63) * $AA63</f>
        <v>1.617</v>
      </c>
      <c r="AC63" s="32">
        <f>AK63 + (AO63-AK63) * $AA63</f>
        <v>1.4059999999999999</v>
      </c>
      <c r="AD63" s="32">
        <f>AL63 + (AP63-AL63) * $AA63</f>
        <v>1.2350000000000001</v>
      </c>
      <c r="AE63" s="32">
        <f>AM63 + (AQ63-AM63) * $AA63</f>
        <v>1.121</v>
      </c>
      <c r="AF63" s="44">
        <f>AR63 + (AV63-AR63) * $AA63</f>
        <v>1.5218</v>
      </c>
      <c r="AG63" s="32">
        <f>AS63 + (AW63-AS63) * $AA63</f>
        <v>1.3520000000000001</v>
      </c>
      <c r="AH63" s="32">
        <f>AT63 + (AX63-AT63) * $AA63</f>
        <v>1.218</v>
      </c>
      <c r="AI63" s="32">
        <f>AU63 + (AY63-AU63) * $AA63</f>
        <v>1.1128</v>
      </c>
      <c r="AJ63" s="54">
        <f>VLOOKUP(AJ$5, $BA$6:$BV$10, $Y63+2)</f>
        <v>1.595</v>
      </c>
      <c r="AK63" s="35">
        <f>VLOOKUP(AK$5, $BA$6:$BV$10, $Y63+2)</f>
        <v>1.39</v>
      </c>
      <c r="AL63" s="35">
        <f>VLOOKUP(AL$5, $BA$6:$BV$10, $Y63+2)</f>
        <v>1.2250000000000001</v>
      </c>
      <c r="AM63" s="35">
        <f>VLOOKUP(AM$5, $BA$6:$BV$10, $Y63+2)</f>
        <v>1.115</v>
      </c>
      <c r="AN63" s="37">
        <f>VLOOKUP(AN$5, $BA$6:$BV$10, $Z63+2)</f>
        <v>1.65</v>
      </c>
      <c r="AO63" s="35">
        <f>VLOOKUP(AO$5, $BA$6:$BV$10, $Z63+2)</f>
        <v>1.43</v>
      </c>
      <c r="AP63" s="35">
        <f>VLOOKUP(AP$5, $BA$6:$BV$10, $Z63+2)</f>
        <v>1.25</v>
      </c>
      <c r="AQ63" s="35">
        <f>VLOOKUP(AQ$5, $BA$6:$BV$10, $Z63+2)</f>
        <v>1.1299999999999999</v>
      </c>
      <c r="AR63" s="37">
        <f>VLOOKUP(AR$5, $BA$12:$BV$16, $Y63+2)</f>
        <v>1.5029999999999999</v>
      </c>
      <c r="AS63" s="35">
        <f>VLOOKUP(AS$5, $BA$12:$BV$16, $Y63+2)</f>
        <v>1.34</v>
      </c>
      <c r="AT63" s="35">
        <f>VLOOKUP(AT$5, $BA$12:$BV$16, $Y63+2)</f>
        <v>1.21</v>
      </c>
      <c r="AU63" s="35">
        <f>VLOOKUP(AU$5, $BA$12:$BV$16, $Y63+2)</f>
        <v>1.1080000000000001</v>
      </c>
      <c r="AV63" s="37">
        <f>VLOOKUP(AV$5, $BA$12:$BV$16, $Z63+2)</f>
        <v>1.55</v>
      </c>
      <c r="AW63" s="35">
        <f>VLOOKUP(AW$5, $BA$12:$BV$16, $Z63+2)</f>
        <v>1.37</v>
      </c>
      <c r="AX63" s="35">
        <f>VLOOKUP(AX$5, $BA$12:$BV$16, $Z63+2)</f>
        <v>1.23</v>
      </c>
      <c r="AY63" s="35">
        <f>VLOOKUP(AY$5, $BA$12:$BV$16, $Z63+2)</f>
        <v>1.1200000000000001</v>
      </c>
    </row>
    <row r="64" spans="23:51" x14ac:dyDescent="0.25">
      <c r="W64" s="30">
        <v>58</v>
      </c>
      <c r="X64" s="32">
        <f t="shared" si="4"/>
        <v>11.6</v>
      </c>
      <c r="Y64" s="32">
        <f t="shared" si="5"/>
        <v>11</v>
      </c>
      <c r="Z64" s="32">
        <f t="shared" si="6"/>
        <v>12</v>
      </c>
      <c r="AA64" s="32">
        <f>X64 - Y64</f>
        <v>0.59999999999999964</v>
      </c>
      <c r="AB64" s="50">
        <f>AJ64 + (AN64-AJ64) * $AA64</f>
        <v>1.6279999999999999</v>
      </c>
      <c r="AC64" s="32">
        <f>AK64 + (AO64-AK64) * $AA64</f>
        <v>1.4139999999999999</v>
      </c>
      <c r="AD64" s="32">
        <f>AL64 + (AP64-AL64) * $AA64</f>
        <v>1.24</v>
      </c>
      <c r="AE64" s="32">
        <f>AM64 + (AQ64-AM64) * $AA64</f>
        <v>1.1239999999999999</v>
      </c>
      <c r="AF64" s="44">
        <f>AR64 + (AV64-AR64) * $AA64</f>
        <v>1.5311999999999999</v>
      </c>
      <c r="AG64" s="32">
        <f>AS64 + (AW64-AS64) * $AA64</f>
        <v>1.3580000000000001</v>
      </c>
      <c r="AH64" s="32">
        <f>AT64 + (AX64-AT64) * $AA64</f>
        <v>1.222</v>
      </c>
      <c r="AI64" s="32">
        <f>AU64 + (AY64-AU64) * $AA64</f>
        <v>1.1152000000000002</v>
      </c>
      <c r="AJ64" s="54">
        <f>VLOOKUP(AJ$5, $BA$6:$BV$10, $Y64+2)</f>
        <v>1.595</v>
      </c>
      <c r="AK64" s="35">
        <f>VLOOKUP(AK$5, $BA$6:$BV$10, $Y64+2)</f>
        <v>1.39</v>
      </c>
      <c r="AL64" s="35">
        <f>VLOOKUP(AL$5, $BA$6:$BV$10, $Y64+2)</f>
        <v>1.2250000000000001</v>
      </c>
      <c r="AM64" s="35">
        <f>VLOOKUP(AM$5, $BA$6:$BV$10, $Y64+2)</f>
        <v>1.115</v>
      </c>
      <c r="AN64" s="37">
        <f>VLOOKUP(AN$5, $BA$6:$BV$10, $Z64+2)</f>
        <v>1.65</v>
      </c>
      <c r="AO64" s="35">
        <f>VLOOKUP(AO$5, $BA$6:$BV$10, $Z64+2)</f>
        <v>1.43</v>
      </c>
      <c r="AP64" s="35">
        <f>VLOOKUP(AP$5, $BA$6:$BV$10, $Z64+2)</f>
        <v>1.25</v>
      </c>
      <c r="AQ64" s="35">
        <f>VLOOKUP(AQ$5, $BA$6:$BV$10, $Z64+2)</f>
        <v>1.1299999999999999</v>
      </c>
      <c r="AR64" s="37">
        <f>VLOOKUP(AR$5, $BA$12:$BV$16, $Y64+2)</f>
        <v>1.5029999999999999</v>
      </c>
      <c r="AS64" s="35">
        <f>VLOOKUP(AS$5, $BA$12:$BV$16, $Y64+2)</f>
        <v>1.34</v>
      </c>
      <c r="AT64" s="35">
        <f>VLOOKUP(AT$5, $BA$12:$BV$16, $Y64+2)</f>
        <v>1.21</v>
      </c>
      <c r="AU64" s="35">
        <f>VLOOKUP(AU$5, $BA$12:$BV$16, $Y64+2)</f>
        <v>1.1080000000000001</v>
      </c>
      <c r="AV64" s="37">
        <f>VLOOKUP(AV$5, $BA$12:$BV$16, $Z64+2)</f>
        <v>1.55</v>
      </c>
      <c r="AW64" s="35">
        <f>VLOOKUP(AW$5, $BA$12:$BV$16, $Z64+2)</f>
        <v>1.37</v>
      </c>
      <c r="AX64" s="35">
        <f>VLOOKUP(AX$5, $BA$12:$BV$16, $Z64+2)</f>
        <v>1.23</v>
      </c>
      <c r="AY64" s="35">
        <f>VLOOKUP(AY$5, $BA$12:$BV$16, $Z64+2)</f>
        <v>1.1200000000000001</v>
      </c>
    </row>
    <row r="65" spans="23:51" x14ac:dyDescent="0.25">
      <c r="W65" s="30">
        <v>59</v>
      </c>
      <c r="X65" s="32">
        <f t="shared" si="4"/>
        <v>11.8</v>
      </c>
      <c r="Y65" s="32">
        <f t="shared" si="5"/>
        <v>11</v>
      </c>
      <c r="Z65" s="32">
        <f t="shared" si="6"/>
        <v>12</v>
      </c>
      <c r="AA65" s="32">
        <f>X65 - Y65</f>
        <v>0.80000000000000071</v>
      </c>
      <c r="AB65" s="50">
        <f>AJ65 + (AN65-AJ65) * $AA65</f>
        <v>1.639</v>
      </c>
      <c r="AC65" s="32">
        <f>AK65 + (AO65-AK65) * $AA65</f>
        <v>1.4219999999999999</v>
      </c>
      <c r="AD65" s="32">
        <f>AL65 + (AP65-AL65) * $AA65</f>
        <v>1.2450000000000001</v>
      </c>
      <c r="AE65" s="32">
        <f>AM65 + (AQ65-AM65) * $AA65</f>
        <v>1.127</v>
      </c>
      <c r="AF65" s="44">
        <f>AR65 + (AV65-AR65) * $AA65</f>
        <v>1.5406</v>
      </c>
      <c r="AG65" s="32">
        <f>AS65 + (AW65-AS65) * $AA65</f>
        <v>1.3640000000000001</v>
      </c>
      <c r="AH65" s="32">
        <f>AT65 + (AX65-AT65) * $AA65</f>
        <v>1.226</v>
      </c>
      <c r="AI65" s="32">
        <f>AU65 + (AY65-AU65) * $AA65</f>
        <v>1.1176000000000001</v>
      </c>
      <c r="AJ65" s="54">
        <f>VLOOKUP(AJ$5, $BA$6:$BV$10, $Y65+2)</f>
        <v>1.595</v>
      </c>
      <c r="AK65" s="35">
        <f>VLOOKUP(AK$5, $BA$6:$BV$10, $Y65+2)</f>
        <v>1.39</v>
      </c>
      <c r="AL65" s="35">
        <f>VLOOKUP(AL$5, $BA$6:$BV$10, $Y65+2)</f>
        <v>1.2250000000000001</v>
      </c>
      <c r="AM65" s="35">
        <f>VLOOKUP(AM$5, $BA$6:$BV$10, $Y65+2)</f>
        <v>1.115</v>
      </c>
      <c r="AN65" s="37">
        <f>VLOOKUP(AN$5, $BA$6:$BV$10, $Z65+2)</f>
        <v>1.65</v>
      </c>
      <c r="AO65" s="35">
        <f>VLOOKUP(AO$5, $BA$6:$BV$10, $Z65+2)</f>
        <v>1.43</v>
      </c>
      <c r="AP65" s="35">
        <f>VLOOKUP(AP$5, $BA$6:$BV$10, $Z65+2)</f>
        <v>1.25</v>
      </c>
      <c r="AQ65" s="35">
        <f>VLOOKUP(AQ$5, $BA$6:$BV$10, $Z65+2)</f>
        <v>1.1299999999999999</v>
      </c>
      <c r="AR65" s="37">
        <f>VLOOKUP(AR$5, $BA$12:$BV$16, $Y65+2)</f>
        <v>1.5029999999999999</v>
      </c>
      <c r="AS65" s="35">
        <f>VLOOKUP(AS$5, $BA$12:$BV$16, $Y65+2)</f>
        <v>1.34</v>
      </c>
      <c r="AT65" s="35">
        <f>VLOOKUP(AT$5, $BA$12:$BV$16, $Y65+2)</f>
        <v>1.21</v>
      </c>
      <c r="AU65" s="35">
        <f>VLOOKUP(AU$5, $BA$12:$BV$16, $Y65+2)</f>
        <v>1.1080000000000001</v>
      </c>
      <c r="AV65" s="37">
        <f>VLOOKUP(AV$5, $BA$12:$BV$16, $Z65+2)</f>
        <v>1.55</v>
      </c>
      <c r="AW65" s="35">
        <f>VLOOKUP(AW$5, $BA$12:$BV$16, $Z65+2)</f>
        <v>1.37</v>
      </c>
      <c r="AX65" s="35">
        <f>VLOOKUP(AX$5, $BA$12:$BV$16, $Z65+2)</f>
        <v>1.23</v>
      </c>
      <c r="AY65" s="35">
        <f>VLOOKUP(AY$5, $BA$12:$BV$16, $Z65+2)</f>
        <v>1.1200000000000001</v>
      </c>
    </row>
    <row r="66" spans="23:51" x14ac:dyDescent="0.25">
      <c r="W66" s="30">
        <v>60</v>
      </c>
      <c r="X66" s="32">
        <f t="shared" si="4"/>
        <v>12</v>
      </c>
      <c r="Y66" s="32">
        <f t="shared" si="5"/>
        <v>12</v>
      </c>
      <c r="Z66" s="32">
        <f t="shared" si="6"/>
        <v>13</v>
      </c>
      <c r="AA66" s="32">
        <f>X66 - Y66</f>
        <v>0</v>
      </c>
      <c r="AB66" s="50">
        <f>AJ66 + (AN66-AJ66) * $AA66</f>
        <v>1.65</v>
      </c>
      <c r="AC66" s="32">
        <f>AK66 + (AO66-AK66) * $AA66</f>
        <v>1.43</v>
      </c>
      <c r="AD66" s="32">
        <f>AL66 + (AP66-AL66) * $AA66</f>
        <v>1.25</v>
      </c>
      <c r="AE66" s="32">
        <f>AM66 + (AQ66-AM66) * $AA66</f>
        <v>1.1299999999999999</v>
      </c>
      <c r="AF66" s="44">
        <f>AR66 + (AV66-AR66) * $AA66</f>
        <v>1.55</v>
      </c>
      <c r="AG66" s="32">
        <f>AS66 + (AW66-AS66) * $AA66</f>
        <v>1.37</v>
      </c>
      <c r="AH66" s="32">
        <f>AT66 + (AX66-AT66) * $AA66</f>
        <v>1.23</v>
      </c>
      <c r="AI66" s="32">
        <f>AU66 + (AY66-AU66) * $AA66</f>
        <v>1.1200000000000001</v>
      </c>
      <c r="AJ66" s="54">
        <f>VLOOKUP(AJ$5, $BA$6:$BV$10, $Y66+2)</f>
        <v>1.65</v>
      </c>
      <c r="AK66" s="35">
        <f>VLOOKUP(AK$5, $BA$6:$BV$10, $Y66+2)</f>
        <v>1.43</v>
      </c>
      <c r="AL66" s="35">
        <f>VLOOKUP(AL$5, $BA$6:$BV$10, $Y66+2)</f>
        <v>1.25</v>
      </c>
      <c r="AM66" s="35">
        <f>VLOOKUP(AM$5, $BA$6:$BV$10, $Y66+2)</f>
        <v>1.1299999999999999</v>
      </c>
      <c r="AN66" s="37">
        <f>VLOOKUP(AN$5, $BA$6:$BV$10, $Z66+2)</f>
        <v>1.7130000000000001</v>
      </c>
      <c r="AO66" s="35">
        <f>VLOOKUP(AO$5, $BA$6:$BV$10, $Z66+2)</f>
        <v>1.4730000000000001</v>
      </c>
      <c r="AP66" s="35">
        <f>VLOOKUP(AP$5, $BA$6:$BV$10, $Z66+2)</f>
        <v>1.28</v>
      </c>
      <c r="AQ66" s="35">
        <f>VLOOKUP(AQ$5, $BA$6:$BV$10, $Z66+2)</f>
        <v>1.153</v>
      </c>
      <c r="AR66" s="37">
        <f>VLOOKUP(AR$5, $BA$12:$BV$16, $Y66+2)</f>
        <v>1.55</v>
      </c>
      <c r="AS66" s="35">
        <f>VLOOKUP(AS$5, $BA$12:$BV$16, $Y66+2)</f>
        <v>1.37</v>
      </c>
      <c r="AT66" s="35">
        <f>VLOOKUP(AT$5, $BA$12:$BV$16, $Y66+2)</f>
        <v>1.23</v>
      </c>
      <c r="AU66" s="35">
        <f>VLOOKUP(AU$5, $BA$12:$BV$16, $Y66+2)</f>
        <v>1.1200000000000001</v>
      </c>
      <c r="AV66" s="37">
        <f>VLOOKUP(AV$5, $BA$12:$BV$16, $Z66+2)</f>
        <v>1.613</v>
      </c>
      <c r="AW66" s="35">
        <f>VLOOKUP(AW$5, $BA$12:$BV$16, $Z66+2)</f>
        <v>1.4179999999999999</v>
      </c>
      <c r="AX66" s="35">
        <f>VLOOKUP(AX$5, $BA$12:$BV$16, $Z66+2)</f>
        <v>1.2629999999999999</v>
      </c>
      <c r="AY66" s="35">
        <f>VLOOKUP(AY$5, $BA$12:$BV$16, $Z66+2)</f>
        <v>1.143</v>
      </c>
    </row>
    <row r="67" spans="23:51" x14ac:dyDescent="0.25">
      <c r="W67" s="30">
        <v>61</v>
      </c>
      <c r="X67" s="32">
        <f t="shared" si="4"/>
        <v>12.2</v>
      </c>
      <c r="Y67" s="32">
        <f t="shared" si="5"/>
        <v>12</v>
      </c>
      <c r="Z67" s="32">
        <f t="shared" si="6"/>
        <v>13</v>
      </c>
      <c r="AA67" s="32">
        <f>X67 - Y67</f>
        <v>0.19999999999999929</v>
      </c>
      <c r="AB67" s="50">
        <f>AJ67 + (AN67-AJ67) * $AA67</f>
        <v>1.6625999999999999</v>
      </c>
      <c r="AC67" s="32">
        <f>AK67 + (AO67-AK67) * $AA67</f>
        <v>1.4385999999999999</v>
      </c>
      <c r="AD67" s="32">
        <f>AL67 + (AP67-AL67) * $AA67</f>
        <v>1.256</v>
      </c>
      <c r="AE67" s="32">
        <f>AM67 + (AQ67-AM67) * $AA67</f>
        <v>1.1345999999999998</v>
      </c>
      <c r="AF67" s="44">
        <f>AR67 + (AV67-AR67) * $AA67</f>
        <v>1.5626</v>
      </c>
      <c r="AG67" s="32">
        <f>AS67 + (AW67-AS67) * $AA67</f>
        <v>1.3795999999999999</v>
      </c>
      <c r="AH67" s="32">
        <f>AT67 + (AX67-AT67) * $AA67</f>
        <v>1.2365999999999999</v>
      </c>
      <c r="AI67" s="32">
        <f>AU67 + (AY67-AU67) * $AA67</f>
        <v>1.1246</v>
      </c>
      <c r="AJ67" s="54">
        <f>VLOOKUP(AJ$5, $BA$6:$BV$10, $Y67+2)</f>
        <v>1.65</v>
      </c>
      <c r="AK67" s="35">
        <f>VLOOKUP(AK$5, $BA$6:$BV$10, $Y67+2)</f>
        <v>1.43</v>
      </c>
      <c r="AL67" s="35">
        <f>VLOOKUP(AL$5, $BA$6:$BV$10, $Y67+2)</f>
        <v>1.25</v>
      </c>
      <c r="AM67" s="35">
        <f>VLOOKUP(AM$5, $BA$6:$BV$10, $Y67+2)</f>
        <v>1.1299999999999999</v>
      </c>
      <c r="AN67" s="37">
        <f>VLOOKUP(AN$5, $BA$6:$BV$10, $Z67+2)</f>
        <v>1.7130000000000001</v>
      </c>
      <c r="AO67" s="35">
        <f>VLOOKUP(AO$5, $BA$6:$BV$10, $Z67+2)</f>
        <v>1.4730000000000001</v>
      </c>
      <c r="AP67" s="35">
        <f>VLOOKUP(AP$5, $BA$6:$BV$10, $Z67+2)</f>
        <v>1.28</v>
      </c>
      <c r="AQ67" s="35">
        <f>VLOOKUP(AQ$5, $BA$6:$BV$10, $Z67+2)</f>
        <v>1.153</v>
      </c>
      <c r="AR67" s="37">
        <f>VLOOKUP(AR$5, $BA$12:$BV$16, $Y67+2)</f>
        <v>1.55</v>
      </c>
      <c r="AS67" s="35">
        <f>VLOOKUP(AS$5, $BA$12:$BV$16, $Y67+2)</f>
        <v>1.37</v>
      </c>
      <c r="AT67" s="35">
        <f>VLOOKUP(AT$5, $BA$12:$BV$16, $Y67+2)</f>
        <v>1.23</v>
      </c>
      <c r="AU67" s="35">
        <f>VLOOKUP(AU$5, $BA$12:$BV$16, $Y67+2)</f>
        <v>1.1200000000000001</v>
      </c>
      <c r="AV67" s="37">
        <f>VLOOKUP(AV$5, $BA$12:$BV$16, $Z67+2)</f>
        <v>1.613</v>
      </c>
      <c r="AW67" s="35">
        <f>VLOOKUP(AW$5, $BA$12:$BV$16, $Z67+2)</f>
        <v>1.4179999999999999</v>
      </c>
      <c r="AX67" s="35">
        <f>VLOOKUP(AX$5, $BA$12:$BV$16, $Z67+2)</f>
        <v>1.2629999999999999</v>
      </c>
      <c r="AY67" s="35">
        <f>VLOOKUP(AY$5, $BA$12:$BV$16, $Z67+2)</f>
        <v>1.143</v>
      </c>
    </row>
    <row r="68" spans="23:51" x14ac:dyDescent="0.25">
      <c r="W68" s="30">
        <v>62</v>
      </c>
      <c r="X68" s="32">
        <f t="shared" si="4"/>
        <v>12.4</v>
      </c>
      <c r="Y68" s="32">
        <f t="shared" si="5"/>
        <v>12</v>
      </c>
      <c r="Z68" s="32">
        <f t="shared" si="6"/>
        <v>13</v>
      </c>
      <c r="AA68" s="32">
        <f>X68 - Y68</f>
        <v>0.40000000000000036</v>
      </c>
      <c r="AB68" s="50">
        <f>AJ68 + (AN68-AJ68) * $AA68</f>
        <v>1.6752</v>
      </c>
      <c r="AC68" s="32">
        <f>AK68 + (AO68-AK68) * $AA68</f>
        <v>1.4472</v>
      </c>
      <c r="AD68" s="32">
        <f>AL68 + (AP68-AL68) * $AA68</f>
        <v>1.262</v>
      </c>
      <c r="AE68" s="32">
        <f>AM68 + (AQ68-AM68) * $AA68</f>
        <v>1.1392</v>
      </c>
      <c r="AF68" s="44">
        <f>AR68 + (AV68-AR68) * $AA68</f>
        <v>1.5752000000000002</v>
      </c>
      <c r="AG68" s="32">
        <f>AS68 + (AW68-AS68) * $AA68</f>
        <v>1.3892</v>
      </c>
      <c r="AH68" s="32">
        <f>AT68 + (AX68-AT68) * $AA68</f>
        <v>1.2431999999999999</v>
      </c>
      <c r="AI68" s="32">
        <f>AU68 + (AY68-AU68) * $AA68</f>
        <v>1.1292</v>
      </c>
      <c r="AJ68" s="54">
        <f>VLOOKUP(AJ$5, $BA$6:$BV$10, $Y68+2)</f>
        <v>1.65</v>
      </c>
      <c r="AK68" s="35">
        <f>VLOOKUP(AK$5, $BA$6:$BV$10, $Y68+2)</f>
        <v>1.43</v>
      </c>
      <c r="AL68" s="35">
        <f>VLOOKUP(AL$5, $BA$6:$BV$10, $Y68+2)</f>
        <v>1.25</v>
      </c>
      <c r="AM68" s="35">
        <f>VLOOKUP(AM$5, $BA$6:$BV$10, $Y68+2)</f>
        <v>1.1299999999999999</v>
      </c>
      <c r="AN68" s="37">
        <f>VLOOKUP(AN$5, $BA$6:$BV$10, $Z68+2)</f>
        <v>1.7130000000000001</v>
      </c>
      <c r="AO68" s="35">
        <f>VLOOKUP(AO$5, $BA$6:$BV$10, $Z68+2)</f>
        <v>1.4730000000000001</v>
      </c>
      <c r="AP68" s="35">
        <f>VLOOKUP(AP$5, $BA$6:$BV$10, $Z68+2)</f>
        <v>1.28</v>
      </c>
      <c r="AQ68" s="35">
        <f>VLOOKUP(AQ$5, $BA$6:$BV$10, $Z68+2)</f>
        <v>1.153</v>
      </c>
      <c r="AR68" s="37">
        <f>VLOOKUP(AR$5, $BA$12:$BV$16, $Y68+2)</f>
        <v>1.55</v>
      </c>
      <c r="AS68" s="35">
        <f>VLOOKUP(AS$5, $BA$12:$BV$16, $Y68+2)</f>
        <v>1.37</v>
      </c>
      <c r="AT68" s="35">
        <f>VLOOKUP(AT$5, $BA$12:$BV$16, $Y68+2)</f>
        <v>1.23</v>
      </c>
      <c r="AU68" s="35">
        <f>VLOOKUP(AU$5, $BA$12:$BV$16, $Y68+2)</f>
        <v>1.1200000000000001</v>
      </c>
      <c r="AV68" s="37">
        <f>VLOOKUP(AV$5, $BA$12:$BV$16, $Z68+2)</f>
        <v>1.613</v>
      </c>
      <c r="AW68" s="35">
        <f>VLOOKUP(AW$5, $BA$12:$BV$16, $Z68+2)</f>
        <v>1.4179999999999999</v>
      </c>
      <c r="AX68" s="35">
        <f>VLOOKUP(AX$5, $BA$12:$BV$16, $Z68+2)</f>
        <v>1.2629999999999999</v>
      </c>
      <c r="AY68" s="35">
        <f>VLOOKUP(AY$5, $BA$12:$BV$16, $Z68+2)</f>
        <v>1.143</v>
      </c>
    </row>
    <row r="69" spans="23:51" x14ac:dyDescent="0.25">
      <c r="W69" s="30">
        <v>63</v>
      </c>
      <c r="X69" s="32">
        <f t="shared" si="4"/>
        <v>12.6</v>
      </c>
      <c r="Y69" s="32">
        <f t="shared" si="5"/>
        <v>12</v>
      </c>
      <c r="Z69" s="32">
        <f t="shared" si="6"/>
        <v>13</v>
      </c>
      <c r="AA69" s="32">
        <f>X69 - Y69</f>
        <v>0.59999999999999964</v>
      </c>
      <c r="AB69" s="50">
        <f>AJ69 + (AN69-AJ69) * $AA69</f>
        <v>1.6878</v>
      </c>
      <c r="AC69" s="32">
        <f>AK69 + (AO69-AK69) * $AA69</f>
        <v>1.4558</v>
      </c>
      <c r="AD69" s="32">
        <f>AL69 + (AP69-AL69) * $AA69</f>
        <v>1.268</v>
      </c>
      <c r="AE69" s="32">
        <f>AM69 + (AQ69-AM69) * $AA69</f>
        <v>1.1437999999999999</v>
      </c>
      <c r="AF69" s="44">
        <f>AR69 + (AV69-AR69) * $AA69</f>
        <v>1.5878000000000001</v>
      </c>
      <c r="AG69" s="32">
        <f>AS69 + (AW69-AS69) * $AA69</f>
        <v>1.3988</v>
      </c>
      <c r="AH69" s="32">
        <f>AT69 + (AX69-AT69) * $AA69</f>
        <v>1.2498</v>
      </c>
      <c r="AI69" s="32">
        <f>AU69 + (AY69-AU69) * $AA69</f>
        <v>1.1338000000000001</v>
      </c>
      <c r="AJ69" s="54">
        <f>VLOOKUP(AJ$5, $BA$6:$BV$10, $Y69+2)</f>
        <v>1.65</v>
      </c>
      <c r="AK69" s="35">
        <f>VLOOKUP(AK$5, $BA$6:$BV$10, $Y69+2)</f>
        <v>1.43</v>
      </c>
      <c r="AL69" s="35">
        <f>VLOOKUP(AL$5, $BA$6:$BV$10, $Y69+2)</f>
        <v>1.25</v>
      </c>
      <c r="AM69" s="35">
        <f>VLOOKUP(AM$5, $BA$6:$BV$10, $Y69+2)</f>
        <v>1.1299999999999999</v>
      </c>
      <c r="AN69" s="37">
        <f>VLOOKUP(AN$5, $BA$6:$BV$10, $Z69+2)</f>
        <v>1.7130000000000001</v>
      </c>
      <c r="AO69" s="35">
        <f>VLOOKUP(AO$5, $BA$6:$BV$10, $Z69+2)</f>
        <v>1.4730000000000001</v>
      </c>
      <c r="AP69" s="35">
        <f>VLOOKUP(AP$5, $BA$6:$BV$10, $Z69+2)</f>
        <v>1.28</v>
      </c>
      <c r="AQ69" s="35">
        <f>VLOOKUP(AQ$5, $BA$6:$BV$10, $Z69+2)</f>
        <v>1.153</v>
      </c>
      <c r="AR69" s="37">
        <f>VLOOKUP(AR$5, $BA$12:$BV$16, $Y69+2)</f>
        <v>1.55</v>
      </c>
      <c r="AS69" s="35">
        <f>VLOOKUP(AS$5, $BA$12:$BV$16, $Y69+2)</f>
        <v>1.37</v>
      </c>
      <c r="AT69" s="35">
        <f>VLOOKUP(AT$5, $BA$12:$BV$16, $Y69+2)</f>
        <v>1.23</v>
      </c>
      <c r="AU69" s="35">
        <f>VLOOKUP(AU$5, $BA$12:$BV$16, $Y69+2)</f>
        <v>1.1200000000000001</v>
      </c>
      <c r="AV69" s="37">
        <f>VLOOKUP(AV$5, $BA$12:$BV$16, $Z69+2)</f>
        <v>1.613</v>
      </c>
      <c r="AW69" s="35">
        <f>VLOOKUP(AW$5, $BA$12:$BV$16, $Z69+2)</f>
        <v>1.4179999999999999</v>
      </c>
      <c r="AX69" s="35">
        <f>VLOOKUP(AX$5, $BA$12:$BV$16, $Z69+2)</f>
        <v>1.2629999999999999</v>
      </c>
      <c r="AY69" s="35">
        <f>VLOOKUP(AY$5, $BA$12:$BV$16, $Z69+2)</f>
        <v>1.143</v>
      </c>
    </row>
    <row r="70" spans="23:51" x14ac:dyDescent="0.25">
      <c r="W70" s="30">
        <v>64</v>
      </c>
      <c r="X70" s="32">
        <f t="shared" si="4"/>
        <v>12.8</v>
      </c>
      <c r="Y70" s="32">
        <f t="shared" si="5"/>
        <v>12</v>
      </c>
      <c r="Z70" s="32">
        <f t="shared" si="6"/>
        <v>13</v>
      </c>
      <c r="AA70" s="32">
        <f>X70 - Y70</f>
        <v>0.80000000000000071</v>
      </c>
      <c r="AB70" s="50">
        <f>AJ70 + (AN70-AJ70) * $AA70</f>
        <v>1.7004000000000001</v>
      </c>
      <c r="AC70" s="32">
        <f>AK70 + (AO70-AK70) * $AA70</f>
        <v>1.4644000000000001</v>
      </c>
      <c r="AD70" s="32">
        <f>AL70 + (AP70-AL70) * $AA70</f>
        <v>1.274</v>
      </c>
      <c r="AE70" s="32">
        <f>AM70 + (AQ70-AM70) * $AA70</f>
        <v>1.1484000000000001</v>
      </c>
      <c r="AF70" s="44">
        <f>AR70 + (AV70-AR70) * $AA70</f>
        <v>1.6004</v>
      </c>
      <c r="AG70" s="32">
        <f>AS70 + (AW70-AS70) * $AA70</f>
        <v>1.4084000000000001</v>
      </c>
      <c r="AH70" s="32">
        <f>AT70 + (AX70-AT70) * $AA70</f>
        <v>1.2564</v>
      </c>
      <c r="AI70" s="32">
        <f>AU70 + (AY70-AU70) * $AA70</f>
        <v>1.1384000000000001</v>
      </c>
      <c r="AJ70" s="54">
        <f>VLOOKUP(AJ$5, $BA$6:$BV$10, $Y70+2)</f>
        <v>1.65</v>
      </c>
      <c r="AK70" s="35">
        <f>VLOOKUP(AK$5, $BA$6:$BV$10, $Y70+2)</f>
        <v>1.43</v>
      </c>
      <c r="AL70" s="35">
        <f>VLOOKUP(AL$5, $BA$6:$BV$10, $Y70+2)</f>
        <v>1.25</v>
      </c>
      <c r="AM70" s="35">
        <f>VLOOKUP(AM$5, $BA$6:$BV$10, $Y70+2)</f>
        <v>1.1299999999999999</v>
      </c>
      <c r="AN70" s="37">
        <f>VLOOKUP(AN$5, $BA$6:$BV$10, $Z70+2)</f>
        <v>1.7130000000000001</v>
      </c>
      <c r="AO70" s="35">
        <f>VLOOKUP(AO$5, $BA$6:$BV$10, $Z70+2)</f>
        <v>1.4730000000000001</v>
      </c>
      <c r="AP70" s="35">
        <f>VLOOKUP(AP$5, $BA$6:$BV$10, $Z70+2)</f>
        <v>1.28</v>
      </c>
      <c r="AQ70" s="35">
        <f>VLOOKUP(AQ$5, $BA$6:$BV$10, $Z70+2)</f>
        <v>1.153</v>
      </c>
      <c r="AR70" s="37">
        <f>VLOOKUP(AR$5, $BA$12:$BV$16, $Y70+2)</f>
        <v>1.55</v>
      </c>
      <c r="AS70" s="35">
        <f>VLOOKUP(AS$5, $BA$12:$BV$16, $Y70+2)</f>
        <v>1.37</v>
      </c>
      <c r="AT70" s="35">
        <f>VLOOKUP(AT$5, $BA$12:$BV$16, $Y70+2)</f>
        <v>1.23</v>
      </c>
      <c r="AU70" s="35">
        <f>VLOOKUP(AU$5, $BA$12:$BV$16, $Y70+2)</f>
        <v>1.1200000000000001</v>
      </c>
      <c r="AV70" s="37">
        <f>VLOOKUP(AV$5, $BA$12:$BV$16, $Z70+2)</f>
        <v>1.613</v>
      </c>
      <c r="AW70" s="35">
        <f>VLOOKUP(AW$5, $BA$12:$BV$16, $Z70+2)</f>
        <v>1.4179999999999999</v>
      </c>
      <c r="AX70" s="35">
        <f>VLOOKUP(AX$5, $BA$12:$BV$16, $Z70+2)</f>
        <v>1.2629999999999999</v>
      </c>
      <c r="AY70" s="35">
        <f>VLOOKUP(AY$5, $BA$12:$BV$16, $Z70+2)</f>
        <v>1.143</v>
      </c>
    </row>
    <row r="71" spans="23:51" x14ac:dyDescent="0.25">
      <c r="W71" s="30">
        <v>65</v>
      </c>
      <c r="X71" s="32">
        <f t="shared" ref="X71:X106" si="7">W71/5</f>
        <v>13</v>
      </c>
      <c r="Y71" s="32">
        <f t="shared" ref="Y71:Y106" si="8">INT(X71)</f>
        <v>13</v>
      </c>
      <c r="Z71" s="32">
        <f t="shared" ref="Z71:Z106" si="9">IF(Y71+1&gt;20, 20, Y71+1)</f>
        <v>14</v>
      </c>
      <c r="AA71" s="32">
        <f>X71 - Y71</f>
        <v>0</v>
      </c>
      <c r="AB71" s="50">
        <f>AJ71 + (AN71-AJ71) * $AA71</f>
        <v>1.7130000000000001</v>
      </c>
      <c r="AC71" s="32">
        <f>AK71 + (AO71-AK71) * $AA71</f>
        <v>1.4730000000000001</v>
      </c>
      <c r="AD71" s="32">
        <f>AL71 + (AP71-AL71) * $AA71</f>
        <v>1.28</v>
      </c>
      <c r="AE71" s="32">
        <f>AM71 + (AQ71-AM71) * $AA71</f>
        <v>1.153</v>
      </c>
      <c r="AF71" s="44">
        <f>AR71 + (AV71-AR71) * $AA71</f>
        <v>1.613</v>
      </c>
      <c r="AG71" s="32">
        <f>AS71 + (AW71-AS71) * $AA71</f>
        <v>1.4179999999999999</v>
      </c>
      <c r="AH71" s="32">
        <f>AT71 + (AX71-AT71) * $AA71</f>
        <v>1.2629999999999999</v>
      </c>
      <c r="AI71" s="32">
        <f>AU71 + (AY71-AU71) * $AA71</f>
        <v>1.143</v>
      </c>
      <c r="AJ71" s="54">
        <f>VLOOKUP(AJ$5, $BA$6:$BV$10, $Y71+2)</f>
        <v>1.7130000000000001</v>
      </c>
      <c r="AK71" s="35">
        <f>VLOOKUP(AK$5, $BA$6:$BV$10, $Y71+2)</f>
        <v>1.4730000000000001</v>
      </c>
      <c r="AL71" s="35">
        <f>VLOOKUP(AL$5, $BA$6:$BV$10, $Y71+2)</f>
        <v>1.28</v>
      </c>
      <c r="AM71" s="35">
        <f>VLOOKUP(AM$5, $BA$6:$BV$10, $Y71+2)</f>
        <v>1.153</v>
      </c>
      <c r="AN71" s="37">
        <f>VLOOKUP(AN$5, $BA$6:$BV$10, $Z71+2)</f>
        <v>1.7749999999999999</v>
      </c>
      <c r="AO71" s="35">
        <f>VLOOKUP(AO$5, $BA$6:$BV$10, $Z71+2)</f>
        <v>1.5149999999999999</v>
      </c>
      <c r="AP71" s="35">
        <f>VLOOKUP(AP$5, $BA$6:$BV$10, $Z71+2)</f>
        <v>1.31</v>
      </c>
      <c r="AQ71" s="35">
        <f>VLOOKUP(AQ$5, $BA$6:$BV$10, $Z71+2)</f>
        <v>1.175</v>
      </c>
      <c r="AR71" s="37">
        <f>VLOOKUP(AR$5, $BA$12:$BV$16, $Y71+2)</f>
        <v>1.613</v>
      </c>
      <c r="AS71" s="35">
        <f>VLOOKUP(AS$5, $BA$12:$BV$16, $Y71+2)</f>
        <v>1.4179999999999999</v>
      </c>
      <c r="AT71" s="35">
        <f>VLOOKUP(AT$5, $BA$12:$BV$16, $Y71+2)</f>
        <v>1.2629999999999999</v>
      </c>
      <c r="AU71" s="35">
        <f>VLOOKUP(AU$5, $BA$12:$BV$16, $Y71+2)</f>
        <v>1.143</v>
      </c>
      <c r="AV71" s="37">
        <f>VLOOKUP(AV$5, $BA$12:$BV$16, $Z71+2)</f>
        <v>1.675</v>
      </c>
      <c r="AW71" s="35">
        <f>VLOOKUP(AW$5, $BA$12:$BV$16, $Z71+2)</f>
        <v>1.4650000000000001</v>
      </c>
      <c r="AX71" s="35">
        <f>VLOOKUP(AX$5, $BA$12:$BV$16, $Z71+2)</f>
        <v>1.2949999999999999</v>
      </c>
      <c r="AY71" s="35">
        <f>VLOOKUP(AY$5, $BA$12:$BV$16, $Z71+2)</f>
        <v>1.165</v>
      </c>
    </row>
    <row r="72" spans="23:51" x14ac:dyDescent="0.25">
      <c r="W72" s="30">
        <v>66</v>
      </c>
      <c r="X72" s="32">
        <f t="shared" si="7"/>
        <v>13.2</v>
      </c>
      <c r="Y72" s="32">
        <f t="shared" si="8"/>
        <v>13</v>
      </c>
      <c r="Z72" s="32">
        <f t="shared" si="9"/>
        <v>14</v>
      </c>
      <c r="AA72" s="32">
        <f>X72 - Y72</f>
        <v>0.19999999999999929</v>
      </c>
      <c r="AB72" s="50">
        <f>AJ72 + (AN72-AJ72) * $AA72</f>
        <v>1.7254</v>
      </c>
      <c r="AC72" s="32">
        <f>AK72 + (AO72-AK72) * $AA72</f>
        <v>1.4814000000000001</v>
      </c>
      <c r="AD72" s="32">
        <f>AL72 + (AP72-AL72) * $AA72</f>
        <v>1.286</v>
      </c>
      <c r="AE72" s="32">
        <f>AM72 + (AQ72-AM72) * $AA72</f>
        <v>1.1574</v>
      </c>
      <c r="AF72" s="44">
        <f>AR72 + (AV72-AR72) * $AA72</f>
        <v>1.6254</v>
      </c>
      <c r="AG72" s="32">
        <f>AS72 + (AW72-AS72) * $AA72</f>
        <v>1.4274</v>
      </c>
      <c r="AH72" s="32">
        <f>AT72 + (AX72-AT72) * $AA72</f>
        <v>1.2693999999999999</v>
      </c>
      <c r="AI72" s="32">
        <f>AU72 + (AY72-AU72) * $AA72</f>
        <v>1.1474</v>
      </c>
      <c r="AJ72" s="54">
        <f>VLOOKUP(AJ$5, $BA$6:$BV$10, $Y72+2)</f>
        <v>1.7130000000000001</v>
      </c>
      <c r="AK72" s="35">
        <f>VLOOKUP(AK$5, $BA$6:$BV$10, $Y72+2)</f>
        <v>1.4730000000000001</v>
      </c>
      <c r="AL72" s="35">
        <f>VLOOKUP(AL$5, $BA$6:$BV$10, $Y72+2)</f>
        <v>1.28</v>
      </c>
      <c r="AM72" s="35">
        <f>VLOOKUP(AM$5, $BA$6:$BV$10, $Y72+2)</f>
        <v>1.153</v>
      </c>
      <c r="AN72" s="37">
        <f>VLOOKUP(AN$5, $BA$6:$BV$10, $Z72+2)</f>
        <v>1.7749999999999999</v>
      </c>
      <c r="AO72" s="35">
        <f>VLOOKUP(AO$5, $BA$6:$BV$10, $Z72+2)</f>
        <v>1.5149999999999999</v>
      </c>
      <c r="AP72" s="35">
        <f>VLOOKUP(AP$5, $BA$6:$BV$10, $Z72+2)</f>
        <v>1.31</v>
      </c>
      <c r="AQ72" s="35">
        <f>VLOOKUP(AQ$5, $BA$6:$BV$10, $Z72+2)</f>
        <v>1.175</v>
      </c>
      <c r="AR72" s="37">
        <f>VLOOKUP(AR$5, $BA$12:$BV$16, $Y72+2)</f>
        <v>1.613</v>
      </c>
      <c r="AS72" s="35">
        <f>VLOOKUP(AS$5, $BA$12:$BV$16, $Y72+2)</f>
        <v>1.4179999999999999</v>
      </c>
      <c r="AT72" s="35">
        <f>VLOOKUP(AT$5, $BA$12:$BV$16, $Y72+2)</f>
        <v>1.2629999999999999</v>
      </c>
      <c r="AU72" s="35">
        <f>VLOOKUP(AU$5, $BA$12:$BV$16, $Y72+2)</f>
        <v>1.143</v>
      </c>
      <c r="AV72" s="37">
        <f>VLOOKUP(AV$5, $BA$12:$BV$16, $Z72+2)</f>
        <v>1.675</v>
      </c>
      <c r="AW72" s="35">
        <f>VLOOKUP(AW$5, $BA$12:$BV$16, $Z72+2)</f>
        <v>1.4650000000000001</v>
      </c>
      <c r="AX72" s="35">
        <f>VLOOKUP(AX$5, $BA$12:$BV$16, $Z72+2)</f>
        <v>1.2949999999999999</v>
      </c>
      <c r="AY72" s="35">
        <f>VLOOKUP(AY$5, $BA$12:$BV$16, $Z72+2)</f>
        <v>1.165</v>
      </c>
    </row>
    <row r="73" spans="23:51" x14ac:dyDescent="0.25">
      <c r="W73" s="30">
        <v>67</v>
      </c>
      <c r="X73" s="32">
        <f t="shared" si="7"/>
        <v>13.4</v>
      </c>
      <c r="Y73" s="32">
        <f t="shared" si="8"/>
        <v>13</v>
      </c>
      <c r="Z73" s="32">
        <f t="shared" si="9"/>
        <v>14</v>
      </c>
      <c r="AA73" s="32">
        <f>X73 - Y73</f>
        <v>0.40000000000000036</v>
      </c>
      <c r="AB73" s="50">
        <f>AJ73 + (AN73-AJ73) * $AA73</f>
        <v>1.7378</v>
      </c>
      <c r="AC73" s="32">
        <f>AK73 + (AO73-AK73) * $AA73</f>
        <v>1.4898</v>
      </c>
      <c r="AD73" s="32">
        <f>AL73 + (AP73-AL73) * $AA73</f>
        <v>1.292</v>
      </c>
      <c r="AE73" s="32">
        <f>AM73 + (AQ73-AM73) * $AA73</f>
        <v>1.1617999999999999</v>
      </c>
      <c r="AF73" s="44">
        <f>AR73 + (AV73-AR73) * $AA73</f>
        <v>1.6377999999999999</v>
      </c>
      <c r="AG73" s="32">
        <f>AS73 + (AW73-AS73) * $AA73</f>
        <v>1.4368000000000001</v>
      </c>
      <c r="AH73" s="32">
        <f>AT73 + (AX73-AT73) * $AA73</f>
        <v>1.2757999999999998</v>
      </c>
      <c r="AI73" s="32">
        <f>AU73 + (AY73-AU73) * $AA73</f>
        <v>1.1517999999999999</v>
      </c>
      <c r="AJ73" s="54">
        <f>VLOOKUP(AJ$5, $BA$6:$BV$10, $Y73+2)</f>
        <v>1.7130000000000001</v>
      </c>
      <c r="AK73" s="35">
        <f>VLOOKUP(AK$5, $BA$6:$BV$10, $Y73+2)</f>
        <v>1.4730000000000001</v>
      </c>
      <c r="AL73" s="35">
        <f>VLOOKUP(AL$5, $BA$6:$BV$10, $Y73+2)</f>
        <v>1.28</v>
      </c>
      <c r="AM73" s="35">
        <f>VLOOKUP(AM$5, $BA$6:$BV$10, $Y73+2)</f>
        <v>1.153</v>
      </c>
      <c r="AN73" s="37">
        <f>VLOOKUP(AN$5, $BA$6:$BV$10, $Z73+2)</f>
        <v>1.7749999999999999</v>
      </c>
      <c r="AO73" s="35">
        <f>VLOOKUP(AO$5, $BA$6:$BV$10, $Z73+2)</f>
        <v>1.5149999999999999</v>
      </c>
      <c r="AP73" s="35">
        <f>VLOOKUP(AP$5, $BA$6:$BV$10, $Z73+2)</f>
        <v>1.31</v>
      </c>
      <c r="AQ73" s="35">
        <f>VLOOKUP(AQ$5, $BA$6:$BV$10, $Z73+2)</f>
        <v>1.175</v>
      </c>
      <c r="AR73" s="37">
        <f>VLOOKUP(AR$5, $BA$12:$BV$16, $Y73+2)</f>
        <v>1.613</v>
      </c>
      <c r="AS73" s="35">
        <f>VLOOKUP(AS$5, $BA$12:$BV$16, $Y73+2)</f>
        <v>1.4179999999999999</v>
      </c>
      <c r="AT73" s="35">
        <f>VLOOKUP(AT$5, $BA$12:$BV$16, $Y73+2)</f>
        <v>1.2629999999999999</v>
      </c>
      <c r="AU73" s="35">
        <f>VLOOKUP(AU$5, $BA$12:$BV$16, $Y73+2)</f>
        <v>1.143</v>
      </c>
      <c r="AV73" s="37">
        <f>VLOOKUP(AV$5, $BA$12:$BV$16, $Z73+2)</f>
        <v>1.675</v>
      </c>
      <c r="AW73" s="35">
        <f>VLOOKUP(AW$5, $BA$12:$BV$16, $Z73+2)</f>
        <v>1.4650000000000001</v>
      </c>
      <c r="AX73" s="35">
        <f>VLOOKUP(AX$5, $BA$12:$BV$16, $Z73+2)</f>
        <v>1.2949999999999999</v>
      </c>
      <c r="AY73" s="35">
        <f>VLOOKUP(AY$5, $BA$12:$BV$16, $Z73+2)</f>
        <v>1.165</v>
      </c>
    </row>
    <row r="74" spans="23:51" x14ac:dyDescent="0.25">
      <c r="W74" s="30">
        <v>68</v>
      </c>
      <c r="X74" s="32">
        <f t="shared" si="7"/>
        <v>13.6</v>
      </c>
      <c r="Y74" s="32">
        <f t="shared" si="8"/>
        <v>13</v>
      </c>
      <c r="Z74" s="32">
        <f t="shared" si="9"/>
        <v>14</v>
      </c>
      <c r="AA74" s="32">
        <f>X74 - Y74</f>
        <v>0.59999999999999964</v>
      </c>
      <c r="AB74" s="50">
        <f>AJ74 + (AN74-AJ74) * $AA74</f>
        <v>1.7502</v>
      </c>
      <c r="AC74" s="32">
        <f>AK74 + (AO74-AK74) * $AA74</f>
        <v>1.4982</v>
      </c>
      <c r="AD74" s="32">
        <f>AL74 + (AP74-AL74) * $AA74</f>
        <v>1.298</v>
      </c>
      <c r="AE74" s="32">
        <f>AM74 + (AQ74-AM74) * $AA74</f>
        <v>1.1662000000000001</v>
      </c>
      <c r="AF74" s="44">
        <f>AR74 + (AV74-AR74) * $AA74</f>
        <v>1.6501999999999999</v>
      </c>
      <c r="AG74" s="32">
        <f>AS74 + (AW74-AS74) * $AA74</f>
        <v>1.4461999999999999</v>
      </c>
      <c r="AH74" s="32">
        <f>AT74 + (AX74-AT74) * $AA74</f>
        <v>1.2822</v>
      </c>
      <c r="AI74" s="32">
        <f>AU74 + (AY74-AU74) * $AA74</f>
        <v>1.1562000000000001</v>
      </c>
      <c r="AJ74" s="54">
        <f>VLOOKUP(AJ$5, $BA$6:$BV$10, $Y74+2)</f>
        <v>1.7130000000000001</v>
      </c>
      <c r="AK74" s="35">
        <f>VLOOKUP(AK$5, $BA$6:$BV$10, $Y74+2)</f>
        <v>1.4730000000000001</v>
      </c>
      <c r="AL74" s="35">
        <f>VLOOKUP(AL$5, $BA$6:$BV$10, $Y74+2)</f>
        <v>1.28</v>
      </c>
      <c r="AM74" s="35">
        <f>VLOOKUP(AM$5, $BA$6:$BV$10, $Y74+2)</f>
        <v>1.153</v>
      </c>
      <c r="AN74" s="37">
        <f>VLOOKUP(AN$5, $BA$6:$BV$10, $Z74+2)</f>
        <v>1.7749999999999999</v>
      </c>
      <c r="AO74" s="35">
        <f>VLOOKUP(AO$5, $BA$6:$BV$10, $Z74+2)</f>
        <v>1.5149999999999999</v>
      </c>
      <c r="AP74" s="35">
        <f>VLOOKUP(AP$5, $BA$6:$BV$10, $Z74+2)</f>
        <v>1.31</v>
      </c>
      <c r="AQ74" s="35">
        <f>VLOOKUP(AQ$5, $BA$6:$BV$10, $Z74+2)</f>
        <v>1.175</v>
      </c>
      <c r="AR74" s="37">
        <f>VLOOKUP(AR$5, $BA$12:$BV$16, $Y74+2)</f>
        <v>1.613</v>
      </c>
      <c r="AS74" s="35">
        <f>VLOOKUP(AS$5, $BA$12:$BV$16, $Y74+2)</f>
        <v>1.4179999999999999</v>
      </c>
      <c r="AT74" s="35">
        <f>VLOOKUP(AT$5, $BA$12:$BV$16, $Y74+2)</f>
        <v>1.2629999999999999</v>
      </c>
      <c r="AU74" s="35">
        <f>VLOOKUP(AU$5, $BA$12:$BV$16, $Y74+2)</f>
        <v>1.143</v>
      </c>
      <c r="AV74" s="37">
        <f>VLOOKUP(AV$5, $BA$12:$BV$16, $Z74+2)</f>
        <v>1.675</v>
      </c>
      <c r="AW74" s="35">
        <f>VLOOKUP(AW$5, $BA$12:$BV$16, $Z74+2)</f>
        <v>1.4650000000000001</v>
      </c>
      <c r="AX74" s="35">
        <f>VLOOKUP(AX$5, $BA$12:$BV$16, $Z74+2)</f>
        <v>1.2949999999999999</v>
      </c>
      <c r="AY74" s="35">
        <f>VLOOKUP(AY$5, $BA$12:$BV$16, $Z74+2)</f>
        <v>1.165</v>
      </c>
    </row>
    <row r="75" spans="23:51" x14ac:dyDescent="0.25">
      <c r="W75" s="30">
        <v>69</v>
      </c>
      <c r="X75" s="32">
        <f t="shared" si="7"/>
        <v>13.8</v>
      </c>
      <c r="Y75" s="32">
        <f t="shared" si="8"/>
        <v>13</v>
      </c>
      <c r="Z75" s="32">
        <f t="shared" si="9"/>
        <v>14</v>
      </c>
      <c r="AA75" s="32">
        <f>X75 - Y75</f>
        <v>0.80000000000000071</v>
      </c>
      <c r="AB75" s="50">
        <f>AJ75 + (AN75-AJ75) * $AA75</f>
        <v>1.7625999999999999</v>
      </c>
      <c r="AC75" s="32">
        <f>AK75 + (AO75-AK75) * $AA75</f>
        <v>1.5065999999999999</v>
      </c>
      <c r="AD75" s="32">
        <f>AL75 + (AP75-AL75) * $AA75</f>
        <v>1.304</v>
      </c>
      <c r="AE75" s="32">
        <f>AM75 + (AQ75-AM75) * $AA75</f>
        <v>1.1706000000000001</v>
      </c>
      <c r="AF75" s="44">
        <f>AR75 + (AV75-AR75) * $AA75</f>
        <v>1.6626000000000001</v>
      </c>
      <c r="AG75" s="32">
        <f>AS75 + (AW75-AS75) * $AA75</f>
        <v>1.4556</v>
      </c>
      <c r="AH75" s="32">
        <f>AT75 + (AX75-AT75) * $AA75</f>
        <v>1.2886</v>
      </c>
      <c r="AI75" s="32">
        <f>AU75 + (AY75-AU75) * $AA75</f>
        <v>1.1606000000000001</v>
      </c>
      <c r="AJ75" s="54">
        <f>VLOOKUP(AJ$5, $BA$6:$BV$10, $Y75+2)</f>
        <v>1.7130000000000001</v>
      </c>
      <c r="AK75" s="35">
        <f>VLOOKUP(AK$5, $BA$6:$BV$10, $Y75+2)</f>
        <v>1.4730000000000001</v>
      </c>
      <c r="AL75" s="35">
        <f>VLOOKUP(AL$5, $BA$6:$BV$10, $Y75+2)</f>
        <v>1.28</v>
      </c>
      <c r="AM75" s="35">
        <f>VLOOKUP(AM$5, $BA$6:$BV$10, $Y75+2)</f>
        <v>1.153</v>
      </c>
      <c r="AN75" s="37">
        <f>VLOOKUP(AN$5, $BA$6:$BV$10, $Z75+2)</f>
        <v>1.7749999999999999</v>
      </c>
      <c r="AO75" s="35">
        <f>VLOOKUP(AO$5, $BA$6:$BV$10, $Z75+2)</f>
        <v>1.5149999999999999</v>
      </c>
      <c r="AP75" s="35">
        <f>VLOOKUP(AP$5, $BA$6:$BV$10, $Z75+2)</f>
        <v>1.31</v>
      </c>
      <c r="AQ75" s="35">
        <f>VLOOKUP(AQ$5, $BA$6:$BV$10, $Z75+2)</f>
        <v>1.175</v>
      </c>
      <c r="AR75" s="37">
        <f>VLOOKUP(AR$5, $BA$12:$BV$16, $Y75+2)</f>
        <v>1.613</v>
      </c>
      <c r="AS75" s="35">
        <f>VLOOKUP(AS$5, $BA$12:$BV$16, $Y75+2)</f>
        <v>1.4179999999999999</v>
      </c>
      <c r="AT75" s="35">
        <f>VLOOKUP(AT$5, $BA$12:$BV$16, $Y75+2)</f>
        <v>1.2629999999999999</v>
      </c>
      <c r="AU75" s="35">
        <f>VLOOKUP(AU$5, $BA$12:$BV$16, $Y75+2)</f>
        <v>1.143</v>
      </c>
      <c r="AV75" s="37">
        <f>VLOOKUP(AV$5, $BA$12:$BV$16, $Z75+2)</f>
        <v>1.675</v>
      </c>
      <c r="AW75" s="35">
        <f>VLOOKUP(AW$5, $BA$12:$BV$16, $Z75+2)</f>
        <v>1.4650000000000001</v>
      </c>
      <c r="AX75" s="35">
        <f>VLOOKUP(AX$5, $BA$12:$BV$16, $Z75+2)</f>
        <v>1.2949999999999999</v>
      </c>
      <c r="AY75" s="35">
        <f>VLOOKUP(AY$5, $BA$12:$BV$16, $Z75+2)</f>
        <v>1.165</v>
      </c>
    </row>
    <row r="76" spans="23:51" x14ac:dyDescent="0.25">
      <c r="W76" s="30">
        <v>70</v>
      </c>
      <c r="X76" s="32">
        <f t="shared" si="7"/>
        <v>14</v>
      </c>
      <c r="Y76" s="32">
        <f t="shared" si="8"/>
        <v>14</v>
      </c>
      <c r="Z76" s="32">
        <f t="shared" si="9"/>
        <v>15</v>
      </c>
      <c r="AA76" s="32">
        <f>X76 - Y76</f>
        <v>0</v>
      </c>
      <c r="AB76" s="50">
        <f>AJ76 + (AN76-AJ76) * $AA76</f>
        <v>1.7749999999999999</v>
      </c>
      <c r="AC76" s="32">
        <f>AK76 + (AO76-AK76) * $AA76</f>
        <v>1.5149999999999999</v>
      </c>
      <c r="AD76" s="32">
        <f>AL76 + (AP76-AL76) * $AA76</f>
        <v>1.31</v>
      </c>
      <c r="AE76" s="32">
        <f>AM76 + (AQ76-AM76) * $AA76</f>
        <v>1.175</v>
      </c>
      <c r="AF76" s="44">
        <f>AR76 + (AV76-AR76) * $AA76</f>
        <v>1.675</v>
      </c>
      <c r="AG76" s="32">
        <f>AS76 + (AW76-AS76) * $AA76</f>
        <v>1.4650000000000001</v>
      </c>
      <c r="AH76" s="32">
        <f>AT76 + (AX76-AT76) * $AA76</f>
        <v>1.2949999999999999</v>
      </c>
      <c r="AI76" s="32">
        <f>AU76 + (AY76-AU76) * $AA76</f>
        <v>1.165</v>
      </c>
      <c r="AJ76" s="54">
        <f>VLOOKUP(AJ$5, $BA$6:$BV$10, $Y76+2)</f>
        <v>1.7749999999999999</v>
      </c>
      <c r="AK76" s="35">
        <f>VLOOKUP(AK$5, $BA$6:$BV$10, $Y76+2)</f>
        <v>1.5149999999999999</v>
      </c>
      <c r="AL76" s="35">
        <f>VLOOKUP(AL$5, $BA$6:$BV$10, $Y76+2)</f>
        <v>1.31</v>
      </c>
      <c r="AM76" s="35">
        <f>VLOOKUP(AM$5, $BA$6:$BV$10, $Y76+2)</f>
        <v>1.175</v>
      </c>
      <c r="AN76" s="37">
        <f>VLOOKUP(AN$5, $BA$6:$BV$10, $Z76+2)</f>
        <v>1.8380000000000001</v>
      </c>
      <c r="AO76" s="35">
        <f>VLOOKUP(AO$5, $BA$6:$BV$10, $Z76+2)</f>
        <v>1.5580000000000001</v>
      </c>
      <c r="AP76" s="35">
        <f>VLOOKUP(AP$5, $BA$6:$BV$10, $Z76+2)</f>
        <v>1.34</v>
      </c>
      <c r="AQ76" s="35">
        <f>VLOOKUP(AQ$5, $BA$6:$BV$10, $Z76+2)</f>
        <v>1.198</v>
      </c>
      <c r="AR76" s="37">
        <f>VLOOKUP(AR$5, $BA$12:$BV$16, $Y76+2)</f>
        <v>1.675</v>
      </c>
      <c r="AS76" s="35">
        <f>VLOOKUP(AS$5, $BA$12:$BV$16, $Y76+2)</f>
        <v>1.4650000000000001</v>
      </c>
      <c r="AT76" s="35">
        <f>VLOOKUP(AT$5, $BA$12:$BV$16, $Y76+2)</f>
        <v>1.2949999999999999</v>
      </c>
      <c r="AU76" s="35">
        <f>VLOOKUP(AU$5, $BA$12:$BV$16, $Y76+2)</f>
        <v>1.165</v>
      </c>
      <c r="AV76" s="37">
        <f>VLOOKUP(AV$5, $BA$12:$BV$16, $Z76+2)</f>
        <v>1.738</v>
      </c>
      <c r="AW76" s="35">
        <f>VLOOKUP(AW$5, $BA$12:$BV$16, $Z76+2)</f>
        <v>1.5129999999999999</v>
      </c>
      <c r="AX76" s="35">
        <f>VLOOKUP(AX$5, $BA$12:$BV$16, $Z76+2)</f>
        <v>1.3280000000000001</v>
      </c>
      <c r="AY76" s="35">
        <f>VLOOKUP(AY$5, $BA$12:$BV$16, $Z76+2)</f>
        <v>1.1879999999999999</v>
      </c>
    </row>
    <row r="77" spans="23:51" x14ac:dyDescent="0.25">
      <c r="W77" s="30">
        <v>71</v>
      </c>
      <c r="X77" s="32">
        <f t="shared" si="7"/>
        <v>14.2</v>
      </c>
      <c r="Y77" s="32">
        <f t="shared" si="8"/>
        <v>14</v>
      </c>
      <c r="Z77" s="32">
        <f t="shared" si="9"/>
        <v>15</v>
      </c>
      <c r="AA77" s="32">
        <f>X77 - Y77</f>
        <v>0.19999999999999929</v>
      </c>
      <c r="AB77" s="50">
        <f>AJ77 + (AN77-AJ77) * $AA77</f>
        <v>1.7875999999999999</v>
      </c>
      <c r="AC77" s="32">
        <f>AK77 + (AO77-AK77) * $AA77</f>
        <v>1.5235999999999998</v>
      </c>
      <c r="AD77" s="32">
        <f>AL77 + (AP77-AL77) * $AA77</f>
        <v>1.3160000000000001</v>
      </c>
      <c r="AE77" s="32">
        <f>AM77 + (AQ77-AM77) * $AA77</f>
        <v>1.1796</v>
      </c>
      <c r="AF77" s="44">
        <f>AR77 + (AV77-AR77) * $AA77</f>
        <v>1.6876</v>
      </c>
      <c r="AG77" s="32">
        <f>AS77 + (AW77-AS77) * $AA77</f>
        <v>1.4745999999999999</v>
      </c>
      <c r="AH77" s="32">
        <f>AT77 + (AX77-AT77) * $AA77</f>
        <v>1.3015999999999999</v>
      </c>
      <c r="AI77" s="32">
        <f>AU77 + (AY77-AU77) * $AA77</f>
        <v>1.1696</v>
      </c>
      <c r="AJ77" s="54">
        <f>VLOOKUP(AJ$5, $BA$6:$BV$10, $Y77+2)</f>
        <v>1.7749999999999999</v>
      </c>
      <c r="AK77" s="35">
        <f>VLOOKUP(AK$5, $BA$6:$BV$10, $Y77+2)</f>
        <v>1.5149999999999999</v>
      </c>
      <c r="AL77" s="35">
        <f>VLOOKUP(AL$5, $BA$6:$BV$10, $Y77+2)</f>
        <v>1.31</v>
      </c>
      <c r="AM77" s="35">
        <f>VLOOKUP(AM$5, $BA$6:$BV$10, $Y77+2)</f>
        <v>1.175</v>
      </c>
      <c r="AN77" s="37">
        <f>VLOOKUP(AN$5, $BA$6:$BV$10, $Z77+2)</f>
        <v>1.8380000000000001</v>
      </c>
      <c r="AO77" s="35">
        <f>VLOOKUP(AO$5, $BA$6:$BV$10, $Z77+2)</f>
        <v>1.5580000000000001</v>
      </c>
      <c r="AP77" s="35">
        <f>VLOOKUP(AP$5, $BA$6:$BV$10, $Z77+2)</f>
        <v>1.34</v>
      </c>
      <c r="AQ77" s="35">
        <f>VLOOKUP(AQ$5, $BA$6:$BV$10, $Z77+2)</f>
        <v>1.198</v>
      </c>
      <c r="AR77" s="37">
        <f>VLOOKUP(AR$5, $BA$12:$BV$16, $Y77+2)</f>
        <v>1.675</v>
      </c>
      <c r="AS77" s="35">
        <f>VLOOKUP(AS$5, $BA$12:$BV$16, $Y77+2)</f>
        <v>1.4650000000000001</v>
      </c>
      <c r="AT77" s="35">
        <f>VLOOKUP(AT$5, $BA$12:$BV$16, $Y77+2)</f>
        <v>1.2949999999999999</v>
      </c>
      <c r="AU77" s="35">
        <f>VLOOKUP(AU$5, $BA$12:$BV$16, $Y77+2)</f>
        <v>1.165</v>
      </c>
      <c r="AV77" s="37">
        <f>VLOOKUP(AV$5, $BA$12:$BV$16, $Z77+2)</f>
        <v>1.738</v>
      </c>
      <c r="AW77" s="35">
        <f>VLOOKUP(AW$5, $BA$12:$BV$16, $Z77+2)</f>
        <v>1.5129999999999999</v>
      </c>
      <c r="AX77" s="35">
        <f>VLOOKUP(AX$5, $BA$12:$BV$16, $Z77+2)</f>
        <v>1.3280000000000001</v>
      </c>
      <c r="AY77" s="35">
        <f>VLOOKUP(AY$5, $BA$12:$BV$16, $Z77+2)</f>
        <v>1.1879999999999999</v>
      </c>
    </row>
    <row r="78" spans="23:51" x14ac:dyDescent="0.25">
      <c r="W78" s="30">
        <v>72</v>
      </c>
      <c r="X78" s="32">
        <f t="shared" si="7"/>
        <v>14.4</v>
      </c>
      <c r="Y78" s="32">
        <f t="shared" si="8"/>
        <v>14</v>
      </c>
      <c r="Z78" s="32">
        <f t="shared" si="9"/>
        <v>15</v>
      </c>
      <c r="AA78" s="32">
        <f>X78 - Y78</f>
        <v>0.40000000000000036</v>
      </c>
      <c r="AB78" s="50">
        <f>AJ78 + (AN78-AJ78) * $AA78</f>
        <v>1.8002</v>
      </c>
      <c r="AC78" s="32">
        <f>AK78 + (AO78-AK78) * $AA78</f>
        <v>1.5322</v>
      </c>
      <c r="AD78" s="32">
        <f>AL78 + (AP78-AL78) * $AA78</f>
        <v>1.3220000000000001</v>
      </c>
      <c r="AE78" s="32">
        <f>AM78 + (AQ78-AM78) * $AA78</f>
        <v>1.1841999999999999</v>
      </c>
      <c r="AF78" s="44">
        <f>AR78 + (AV78-AR78) * $AA78</f>
        <v>1.7002000000000002</v>
      </c>
      <c r="AG78" s="32">
        <f>AS78 + (AW78-AS78) * $AA78</f>
        <v>1.4842</v>
      </c>
      <c r="AH78" s="32">
        <f>AT78 + (AX78-AT78) * $AA78</f>
        <v>1.3082</v>
      </c>
      <c r="AI78" s="32">
        <f>AU78 + (AY78-AU78) * $AA78</f>
        <v>1.1741999999999999</v>
      </c>
      <c r="AJ78" s="54">
        <f>VLOOKUP(AJ$5, $BA$6:$BV$10, $Y78+2)</f>
        <v>1.7749999999999999</v>
      </c>
      <c r="AK78" s="35">
        <f>VLOOKUP(AK$5, $BA$6:$BV$10, $Y78+2)</f>
        <v>1.5149999999999999</v>
      </c>
      <c r="AL78" s="35">
        <f>VLOOKUP(AL$5, $BA$6:$BV$10, $Y78+2)</f>
        <v>1.31</v>
      </c>
      <c r="AM78" s="35">
        <f>VLOOKUP(AM$5, $BA$6:$BV$10, $Y78+2)</f>
        <v>1.175</v>
      </c>
      <c r="AN78" s="37">
        <f>VLOOKUP(AN$5, $BA$6:$BV$10, $Z78+2)</f>
        <v>1.8380000000000001</v>
      </c>
      <c r="AO78" s="35">
        <f>VLOOKUP(AO$5, $BA$6:$BV$10, $Z78+2)</f>
        <v>1.5580000000000001</v>
      </c>
      <c r="AP78" s="35">
        <f>VLOOKUP(AP$5, $BA$6:$BV$10, $Z78+2)</f>
        <v>1.34</v>
      </c>
      <c r="AQ78" s="35">
        <f>VLOOKUP(AQ$5, $BA$6:$BV$10, $Z78+2)</f>
        <v>1.198</v>
      </c>
      <c r="AR78" s="37">
        <f>VLOOKUP(AR$5, $BA$12:$BV$16, $Y78+2)</f>
        <v>1.675</v>
      </c>
      <c r="AS78" s="35">
        <f>VLOOKUP(AS$5, $BA$12:$BV$16, $Y78+2)</f>
        <v>1.4650000000000001</v>
      </c>
      <c r="AT78" s="35">
        <f>VLOOKUP(AT$5, $BA$12:$BV$16, $Y78+2)</f>
        <v>1.2949999999999999</v>
      </c>
      <c r="AU78" s="35">
        <f>VLOOKUP(AU$5, $BA$12:$BV$16, $Y78+2)</f>
        <v>1.165</v>
      </c>
      <c r="AV78" s="37">
        <f>VLOOKUP(AV$5, $BA$12:$BV$16, $Z78+2)</f>
        <v>1.738</v>
      </c>
      <c r="AW78" s="35">
        <f>VLOOKUP(AW$5, $BA$12:$BV$16, $Z78+2)</f>
        <v>1.5129999999999999</v>
      </c>
      <c r="AX78" s="35">
        <f>VLOOKUP(AX$5, $BA$12:$BV$16, $Z78+2)</f>
        <v>1.3280000000000001</v>
      </c>
      <c r="AY78" s="35">
        <f>VLOOKUP(AY$5, $BA$12:$BV$16, $Z78+2)</f>
        <v>1.1879999999999999</v>
      </c>
    </row>
    <row r="79" spans="23:51" x14ac:dyDescent="0.25">
      <c r="W79" s="30">
        <v>73</v>
      </c>
      <c r="X79" s="32">
        <f t="shared" si="7"/>
        <v>14.6</v>
      </c>
      <c r="Y79" s="32">
        <f t="shared" si="8"/>
        <v>14</v>
      </c>
      <c r="Z79" s="32">
        <f t="shared" si="9"/>
        <v>15</v>
      </c>
      <c r="AA79" s="32">
        <f>X79 - Y79</f>
        <v>0.59999999999999964</v>
      </c>
      <c r="AB79" s="50">
        <f>AJ79 + (AN79-AJ79) * $AA79</f>
        <v>1.8128</v>
      </c>
      <c r="AC79" s="32">
        <f>AK79 + (AO79-AK79) * $AA79</f>
        <v>1.5407999999999999</v>
      </c>
      <c r="AD79" s="32">
        <f>AL79 + (AP79-AL79) * $AA79</f>
        <v>1.3280000000000001</v>
      </c>
      <c r="AE79" s="32">
        <f>AM79 + (AQ79-AM79) * $AA79</f>
        <v>1.1888000000000001</v>
      </c>
      <c r="AF79" s="44">
        <f>AR79 + (AV79-AR79) * $AA79</f>
        <v>1.7128000000000001</v>
      </c>
      <c r="AG79" s="32">
        <f>AS79 + (AW79-AS79) * $AA79</f>
        <v>1.4938</v>
      </c>
      <c r="AH79" s="32">
        <f>AT79 + (AX79-AT79) * $AA79</f>
        <v>1.3148</v>
      </c>
      <c r="AI79" s="32">
        <f>AU79 + (AY79-AU79) * $AA79</f>
        <v>1.1788000000000001</v>
      </c>
      <c r="AJ79" s="54">
        <f>VLOOKUP(AJ$5, $BA$6:$BV$10, $Y79+2)</f>
        <v>1.7749999999999999</v>
      </c>
      <c r="AK79" s="35">
        <f>VLOOKUP(AK$5, $BA$6:$BV$10, $Y79+2)</f>
        <v>1.5149999999999999</v>
      </c>
      <c r="AL79" s="35">
        <f>VLOOKUP(AL$5, $BA$6:$BV$10, $Y79+2)</f>
        <v>1.31</v>
      </c>
      <c r="AM79" s="35">
        <f>VLOOKUP(AM$5, $BA$6:$BV$10, $Y79+2)</f>
        <v>1.175</v>
      </c>
      <c r="AN79" s="37">
        <f>VLOOKUP(AN$5, $BA$6:$BV$10, $Z79+2)</f>
        <v>1.8380000000000001</v>
      </c>
      <c r="AO79" s="35">
        <f>VLOOKUP(AO$5, $BA$6:$BV$10, $Z79+2)</f>
        <v>1.5580000000000001</v>
      </c>
      <c r="AP79" s="35">
        <f>VLOOKUP(AP$5, $BA$6:$BV$10, $Z79+2)</f>
        <v>1.34</v>
      </c>
      <c r="AQ79" s="35">
        <f>VLOOKUP(AQ$5, $BA$6:$BV$10, $Z79+2)</f>
        <v>1.198</v>
      </c>
      <c r="AR79" s="37">
        <f>VLOOKUP(AR$5, $BA$12:$BV$16, $Y79+2)</f>
        <v>1.675</v>
      </c>
      <c r="AS79" s="35">
        <f>VLOOKUP(AS$5, $BA$12:$BV$16, $Y79+2)</f>
        <v>1.4650000000000001</v>
      </c>
      <c r="AT79" s="35">
        <f>VLOOKUP(AT$5, $BA$12:$BV$16, $Y79+2)</f>
        <v>1.2949999999999999</v>
      </c>
      <c r="AU79" s="35">
        <f>VLOOKUP(AU$5, $BA$12:$BV$16, $Y79+2)</f>
        <v>1.165</v>
      </c>
      <c r="AV79" s="37">
        <f>VLOOKUP(AV$5, $BA$12:$BV$16, $Z79+2)</f>
        <v>1.738</v>
      </c>
      <c r="AW79" s="35">
        <f>VLOOKUP(AW$5, $BA$12:$BV$16, $Z79+2)</f>
        <v>1.5129999999999999</v>
      </c>
      <c r="AX79" s="35">
        <f>VLOOKUP(AX$5, $BA$12:$BV$16, $Z79+2)</f>
        <v>1.3280000000000001</v>
      </c>
      <c r="AY79" s="35">
        <f>VLOOKUP(AY$5, $BA$12:$BV$16, $Z79+2)</f>
        <v>1.1879999999999999</v>
      </c>
    </row>
    <row r="80" spans="23:51" x14ac:dyDescent="0.25">
      <c r="W80" s="30">
        <v>74</v>
      </c>
      <c r="X80" s="32">
        <f t="shared" si="7"/>
        <v>14.8</v>
      </c>
      <c r="Y80" s="32">
        <f t="shared" si="8"/>
        <v>14</v>
      </c>
      <c r="Z80" s="32">
        <f t="shared" si="9"/>
        <v>15</v>
      </c>
      <c r="AA80" s="32">
        <f>X80 - Y80</f>
        <v>0.80000000000000071</v>
      </c>
      <c r="AB80" s="50">
        <f>AJ80 + (AN80-AJ80) * $AA80</f>
        <v>1.8254000000000001</v>
      </c>
      <c r="AC80" s="32">
        <f>AK80 + (AO80-AK80) * $AA80</f>
        <v>1.5494000000000001</v>
      </c>
      <c r="AD80" s="32">
        <f>AL80 + (AP80-AL80) * $AA80</f>
        <v>1.3340000000000001</v>
      </c>
      <c r="AE80" s="32">
        <f>AM80 + (AQ80-AM80) * $AA80</f>
        <v>1.1934</v>
      </c>
      <c r="AF80" s="44">
        <f>AR80 + (AV80-AR80) * $AA80</f>
        <v>1.7254</v>
      </c>
      <c r="AG80" s="32">
        <f>AS80 + (AW80-AS80) * $AA80</f>
        <v>1.5034000000000001</v>
      </c>
      <c r="AH80" s="32">
        <f>AT80 + (AX80-AT80) * $AA80</f>
        <v>1.3214000000000001</v>
      </c>
      <c r="AI80" s="32">
        <f>AU80 + (AY80-AU80) * $AA80</f>
        <v>1.1834</v>
      </c>
      <c r="AJ80" s="54">
        <f>VLOOKUP(AJ$5, $BA$6:$BV$10, $Y80+2)</f>
        <v>1.7749999999999999</v>
      </c>
      <c r="AK80" s="35">
        <f>VLOOKUP(AK$5, $BA$6:$BV$10, $Y80+2)</f>
        <v>1.5149999999999999</v>
      </c>
      <c r="AL80" s="35">
        <f>VLOOKUP(AL$5, $BA$6:$BV$10, $Y80+2)</f>
        <v>1.31</v>
      </c>
      <c r="AM80" s="35">
        <f>VLOOKUP(AM$5, $BA$6:$BV$10, $Y80+2)</f>
        <v>1.175</v>
      </c>
      <c r="AN80" s="37">
        <f>VLOOKUP(AN$5, $BA$6:$BV$10, $Z80+2)</f>
        <v>1.8380000000000001</v>
      </c>
      <c r="AO80" s="35">
        <f>VLOOKUP(AO$5, $BA$6:$BV$10, $Z80+2)</f>
        <v>1.5580000000000001</v>
      </c>
      <c r="AP80" s="35">
        <f>VLOOKUP(AP$5, $BA$6:$BV$10, $Z80+2)</f>
        <v>1.34</v>
      </c>
      <c r="AQ80" s="35">
        <f>VLOOKUP(AQ$5, $BA$6:$BV$10, $Z80+2)</f>
        <v>1.198</v>
      </c>
      <c r="AR80" s="37">
        <f>VLOOKUP(AR$5, $BA$12:$BV$16, $Y80+2)</f>
        <v>1.675</v>
      </c>
      <c r="AS80" s="35">
        <f>VLOOKUP(AS$5, $BA$12:$BV$16, $Y80+2)</f>
        <v>1.4650000000000001</v>
      </c>
      <c r="AT80" s="35">
        <f>VLOOKUP(AT$5, $BA$12:$BV$16, $Y80+2)</f>
        <v>1.2949999999999999</v>
      </c>
      <c r="AU80" s="35">
        <f>VLOOKUP(AU$5, $BA$12:$BV$16, $Y80+2)</f>
        <v>1.165</v>
      </c>
      <c r="AV80" s="37">
        <f>VLOOKUP(AV$5, $BA$12:$BV$16, $Z80+2)</f>
        <v>1.738</v>
      </c>
      <c r="AW80" s="35">
        <f>VLOOKUP(AW$5, $BA$12:$BV$16, $Z80+2)</f>
        <v>1.5129999999999999</v>
      </c>
      <c r="AX80" s="35">
        <f>VLOOKUP(AX$5, $BA$12:$BV$16, $Z80+2)</f>
        <v>1.3280000000000001</v>
      </c>
      <c r="AY80" s="35">
        <f>VLOOKUP(AY$5, $BA$12:$BV$16, $Z80+2)</f>
        <v>1.1879999999999999</v>
      </c>
    </row>
    <row r="81" spans="23:51" x14ac:dyDescent="0.25">
      <c r="W81" s="30">
        <v>75</v>
      </c>
      <c r="X81" s="32">
        <f t="shared" si="7"/>
        <v>15</v>
      </c>
      <c r="Y81" s="32">
        <f t="shared" si="8"/>
        <v>15</v>
      </c>
      <c r="Z81" s="32">
        <f t="shared" si="9"/>
        <v>16</v>
      </c>
      <c r="AA81" s="32">
        <f>X81 - Y81</f>
        <v>0</v>
      </c>
      <c r="AB81" s="50">
        <f>AJ81 + (AN81-AJ81) * $AA81</f>
        <v>1.8380000000000001</v>
      </c>
      <c r="AC81" s="32">
        <f>AK81 + (AO81-AK81) * $AA81</f>
        <v>1.5580000000000001</v>
      </c>
      <c r="AD81" s="32">
        <f>AL81 + (AP81-AL81) * $AA81</f>
        <v>1.34</v>
      </c>
      <c r="AE81" s="32">
        <f>AM81 + (AQ81-AM81) * $AA81</f>
        <v>1.198</v>
      </c>
      <c r="AF81" s="44">
        <f>AR81 + (AV81-AR81) * $AA81</f>
        <v>1.738</v>
      </c>
      <c r="AG81" s="32">
        <f>AS81 + (AW81-AS81) * $AA81</f>
        <v>1.5129999999999999</v>
      </c>
      <c r="AH81" s="32">
        <f>AT81 + (AX81-AT81) * $AA81</f>
        <v>1.3280000000000001</v>
      </c>
      <c r="AI81" s="32">
        <f>AU81 + (AY81-AU81) * $AA81</f>
        <v>1.1879999999999999</v>
      </c>
      <c r="AJ81" s="54">
        <f>VLOOKUP(AJ$5, $BA$6:$BV$10, $Y81+2)</f>
        <v>1.8380000000000001</v>
      </c>
      <c r="AK81" s="35">
        <f>VLOOKUP(AK$5, $BA$6:$BV$10, $Y81+2)</f>
        <v>1.5580000000000001</v>
      </c>
      <c r="AL81" s="35">
        <f>VLOOKUP(AL$5, $BA$6:$BV$10, $Y81+2)</f>
        <v>1.34</v>
      </c>
      <c r="AM81" s="35">
        <f>VLOOKUP(AM$5, $BA$6:$BV$10, $Y81+2)</f>
        <v>1.198</v>
      </c>
      <c r="AN81" s="37">
        <f>VLOOKUP(AN$5, $BA$6:$BV$10, $Z81+2)</f>
        <v>1.9</v>
      </c>
      <c r="AO81" s="35">
        <f>VLOOKUP(AO$5, $BA$6:$BV$10, $Z81+2)</f>
        <v>1.6</v>
      </c>
      <c r="AP81" s="35">
        <f>VLOOKUP(AP$5, $BA$6:$BV$10, $Z81+2)</f>
        <v>1.37</v>
      </c>
      <c r="AQ81" s="35">
        <f>VLOOKUP(AQ$5, $BA$6:$BV$10, $Z81+2)</f>
        <v>1.22</v>
      </c>
      <c r="AR81" s="37">
        <f>VLOOKUP(AR$5, $BA$12:$BV$16, $Y81+2)</f>
        <v>1.738</v>
      </c>
      <c r="AS81" s="35">
        <f>VLOOKUP(AS$5, $BA$12:$BV$16, $Y81+2)</f>
        <v>1.5129999999999999</v>
      </c>
      <c r="AT81" s="35">
        <f>VLOOKUP(AT$5, $BA$12:$BV$16, $Y81+2)</f>
        <v>1.3280000000000001</v>
      </c>
      <c r="AU81" s="35">
        <f>VLOOKUP(AU$5, $BA$12:$BV$16, $Y81+2)</f>
        <v>1.1879999999999999</v>
      </c>
      <c r="AV81" s="37">
        <f>VLOOKUP(AV$5, $BA$12:$BV$16, $Z81+2)</f>
        <v>1.8</v>
      </c>
      <c r="AW81" s="35">
        <f>VLOOKUP(AW$5, $BA$12:$BV$16, $Z81+2)</f>
        <v>1.56</v>
      </c>
      <c r="AX81" s="35">
        <f>VLOOKUP(AX$5, $BA$12:$BV$16, $Z81+2)</f>
        <v>1.36</v>
      </c>
      <c r="AY81" s="35">
        <f>VLOOKUP(AY$5, $BA$12:$BV$16, $Z81+2)</f>
        <v>1.21</v>
      </c>
    </row>
    <row r="82" spans="23:51" x14ac:dyDescent="0.25">
      <c r="W82" s="30">
        <v>76</v>
      </c>
      <c r="X82" s="32">
        <f t="shared" si="7"/>
        <v>15.2</v>
      </c>
      <c r="Y82" s="32">
        <f t="shared" si="8"/>
        <v>15</v>
      </c>
      <c r="Z82" s="32">
        <f t="shared" si="9"/>
        <v>16</v>
      </c>
      <c r="AA82" s="32">
        <f>X82 - Y82</f>
        <v>0.19999999999999929</v>
      </c>
      <c r="AB82" s="50">
        <f>AJ82 + (AN82-AJ82) * $AA82</f>
        <v>1.8504</v>
      </c>
      <c r="AC82" s="32">
        <f>AK82 + (AO82-AK82) * $AA82</f>
        <v>1.5664</v>
      </c>
      <c r="AD82" s="32">
        <f>AL82 + (AP82-AL82) * $AA82</f>
        <v>1.3460000000000001</v>
      </c>
      <c r="AE82" s="32">
        <f>AM82 + (AQ82-AM82) * $AA82</f>
        <v>1.2023999999999999</v>
      </c>
      <c r="AF82" s="44">
        <f>AR82 + (AV82-AR82) * $AA82</f>
        <v>1.7504</v>
      </c>
      <c r="AG82" s="32">
        <f>AS82 + (AW82-AS82) * $AA82</f>
        <v>1.5224</v>
      </c>
      <c r="AH82" s="32">
        <f>AT82 + (AX82-AT82) * $AA82</f>
        <v>1.3344</v>
      </c>
      <c r="AI82" s="32">
        <f>AU82 + (AY82-AU82) * $AA82</f>
        <v>1.1923999999999999</v>
      </c>
      <c r="AJ82" s="54">
        <f>VLOOKUP(AJ$5, $BA$6:$BV$10, $Y82+2)</f>
        <v>1.8380000000000001</v>
      </c>
      <c r="AK82" s="35">
        <f>VLOOKUP(AK$5, $BA$6:$BV$10, $Y82+2)</f>
        <v>1.5580000000000001</v>
      </c>
      <c r="AL82" s="35">
        <f>VLOOKUP(AL$5, $BA$6:$BV$10, $Y82+2)</f>
        <v>1.34</v>
      </c>
      <c r="AM82" s="35">
        <f>VLOOKUP(AM$5, $BA$6:$BV$10, $Y82+2)</f>
        <v>1.198</v>
      </c>
      <c r="AN82" s="37">
        <f>VLOOKUP(AN$5, $BA$6:$BV$10, $Z82+2)</f>
        <v>1.9</v>
      </c>
      <c r="AO82" s="35">
        <f>VLOOKUP(AO$5, $BA$6:$BV$10, $Z82+2)</f>
        <v>1.6</v>
      </c>
      <c r="AP82" s="35">
        <f>VLOOKUP(AP$5, $BA$6:$BV$10, $Z82+2)</f>
        <v>1.37</v>
      </c>
      <c r="AQ82" s="35">
        <f>VLOOKUP(AQ$5, $BA$6:$BV$10, $Z82+2)</f>
        <v>1.22</v>
      </c>
      <c r="AR82" s="37">
        <f>VLOOKUP(AR$5, $BA$12:$BV$16, $Y82+2)</f>
        <v>1.738</v>
      </c>
      <c r="AS82" s="35">
        <f>VLOOKUP(AS$5, $BA$12:$BV$16, $Y82+2)</f>
        <v>1.5129999999999999</v>
      </c>
      <c r="AT82" s="35">
        <f>VLOOKUP(AT$5, $BA$12:$BV$16, $Y82+2)</f>
        <v>1.3280000000000001</v>
      </c>
      <c r="AU82" s="35">
        <f>VLOOKUP(AU$5, $BA$12:$BV$16, $Y82+2)</f>
        <v>1.1879999999999999</v>
      </c>
      <c r="AV82" s="37">
        <f>VLOOKUP(AV$5, $BA$12:$BV$16, $Z82+2)</f>
        <v>1.8</v>
      </c>
      <c r="AW82" s="35">
        <f>VLOOKUP(AW$5, $BA$12:$BV$16, $Z82+2)</f>
        <v>1.56</v>
      </c>
      <c r="AX82" s="35">
        <f>VLOOKUP(AX$5, $BA$12:$BV$16, $Z82+2)</f>
        <v>1.36</v>
      </c>
      <c r="AY82" s="35">
        <f>VLOOKUP(AY$5, $BA$12:$BV$16, $Z82+2)</f>
        <v>1.21</v>
      </c>
    </row>
    <row r="83" spans="23:51" x14ac:dyDescent="0.25">
      <c r="W83" s="30">
        <v>77</v>
      </c>
      <c r="X83" s="32">
        <f t="shared" si="7"/>
        <v>15.4</v>
      </c>
      <c r="Y83" s="32">
        <f t="shared" si="8"/>
        <v>15</v>
      </c>
      <c r="Z83" s="32">
        <f t="shared" si="9"/>
        <v>16</v>
      </c>
      <c r="AA83" s="32">
        <f>X83 - Y83</f>
        <v>0.40000000000000036</v>
      </c>
      <c r="AB83" s="50">
        <f>AJ83 + (AN83-AJ83) * $AA83</f>
        <v>1.8628</v>
      </c>
      <c r="AC83" s="32">
        <f>AK83 + (AO83-AK83) * $AA83</f>
        <v>1.5748</v>
      </c>
      <c r="AD83" s="32">
        <f>AL83 + (AP83-AL83) * $AA83</f>
        <v>1.3520000000000001</v>
      </c>
      <c r="AE83" s="32">
        <f>AM83 + (AQ83-AM83) * $AA83</f>
        <v>1.2067999999999999</v>
      </c>
      <c r="AF83" s="44">
        <f>AR83 + (AV83-AR83) * $AA83</f>
        <v>1.7627999999999999</v>
      </c>
      <c r="AG83" s="32">
        <f>AS83 + (AW83-AS83) * $AA83</f>
        <v>1.5318000000000001</v>
      </c>
      <c r="AH83" s="32">
        <f>AT83 + (AX83-AT83) * $AA83</f>
        <v>1.3408</v>
      </c>
      <c r="AI83" s="32">
        <f>AU83 + (AY83-AU83) * $AA83</f>
        <v>1.1967999999999999</v>
      </c>
      <c r="AJ83" s="54">
        <f>VLOOKUP(AJ$5, $BA$6:$BV$10, $Y83+2)</f>
        <v>1.8380000000000001</v>
      </c>
      <c r="AK83" s="35">
        <f>VLOOKUP(AK$5, $BA$6:$BV$10, $Y83+2)</f>
        <v>1.5580000000000001</v>
      </c>
      <c r="AL83" s="35">
        <f>VLOOKUP(AL$5, $BA$6:$BV$10, $Y83+2)</f>
        <v>1.34</v>
      </c>
      <c r="AM83" s="35">
        <f>VLOOKUP(AM$5, $BA$6:$BV$10, $Y83+2)</f>
        <v>1.198</v>
      </c>
      <c r="AN83" s="37">
        <f>VLOOKUP(AN$5, $BA$6:$BV$10, $Z83+2)</f>
        <v>1.9</v>
      </c>
      <c r="AO83" s="35">
        <f>VLOOKUP(AO$5, $BA$6:$BV$10, $Z83+2)</f>
        <v>1.6</v>
      </c>
      <c r="AP83" s="35">
        <f>VLOOKUP(AP$5, $BA$6:$BV$10, $Z83+2)</f>
        <v>1.37</v>
      </c>
      <c r="AQ83" s="35">
        <f>VLOOKUP(AQ$5, $BA$6:$BV$10, $Z83+2)</f>
        <v>1.22</v>
      </c>
      <c r="AR83" s="37">
        <f>VLOOKUP(AR$5, $BA$12:$BV$16, $Y83+2)</f>
        <v>1.738</v>
      </c>
      <c r="AS83" s="35">
        <f>VLOOKUP(AS$5, $BA$12:$BV$16, $Y83+2)</f>
        <v>1.5129999999999999</v>
      </c>
      <c r="AT83" s="35">
        <f>VLOOKUP(AT$5, $BA$12:$BV$16, $Y83+2)</f>
        <v>1.3280000000000001</v>
      </c>
      <c r="AU83" s="35">
        <f>VLOOKUP(AU$5, $BA$12:$BV$16, $Y83+2)</f>
        <v>1.1879999999999999</v>
      </c>
      <c r="AV83" s="37">
        <f>VLOOKUP(AV$5, $BA$12:$BV$16, $Z83+2)</f>
        <v>1.8</v>
      </c>
      <c r="AW83" s="35">
        <f>VLOOKUP(AW$5, $BA$12:$BV$16, $Z83+2)</f>
        <v>1.56</v>
      </c>
      <c r="AX83" s="35">
        <f>VLOOKUP(AX$5, $BA$12:$BV$16, $Z83+2)</f>
        <v>1.36</v>
      </c>
      <c r="AY83" s="35">
        <f>VLOOKUP(AY$5, $BA$12:$BV$16, $Z83+2)</f>
        <v>1.21</v>
      </c>
    </row>
    <row r="84" spans="23:51" x14ac:dyDescent="0.25">
      <c r="W84" s="30">
        <v>78</v>
      </c>
      <c r="X84" s="32">
        <f t="shared" si="7"/>
        <v>15.6</v>
      </c>
      <c r="Y84" s="32">
        <f t="shared" si="8"/>
        <v>15</v>
      </c>
      <c r="Z84" s="32">
        <f t="shared" si="9"/>
        <v>16</v>
      </c>
      <c r="AA84" s="32">
        <f>X84 - Y84</f>
        <v>0.59999999999999964</v>
      </c>
      <c r="AB84" s="50">
        <f>AJ84 + (AN84-AJ84) * $AA84</f>
        <v>1.8752</v>
      </c>
      <c r="AC84" s="32">
        <f>AK84 + (AO84-AK84) * $AA84</f>
        <v>1.5832000000000002</v>
      </c>
      <c r="AD84" s="32">
        <f>AL84 + (AP84-AL84) * $AA84</f>
        <v>1.3580000000000001</v>
      </c>
      <c r="AE84" s="32">
        <f>AM84 + (AQ84-AM84) * $AA84</f>
        <v>1.2112000000000001</v>
      </c>
      <c r="AF84" s="44">
        <f>AR84 + (AV84-AR84) * $AA84</f>
        <v>1.7751999999999999</v>
      </c>
      <c r="AG84" s="32">
        <f>AS84 + (AW84-AS84) * $AA84</f>
        <v>1.5411999999999999</v>
      </c>
      <c r="AH84" s="32">
        <f>AT84 + (AX84-AT84) * $AA84</f>
        <v>1.3472000000000002</v>
      </c>
      <c r="AI84" s="32">
        <f>AU84 + (AY84-AU84) * $AA84</f>
        <v>1.2012</v>
      </c>
      <c r="AJ84" s="54">
        <f>VLOOKUP(AJ$5, $BA$6:$BV$10, $Y84+2)</f>
        <v>1.8380000000000001</v>
      </c>
      <c r="AK84" s="35">
        <f>VLOOKUP(AK$5, $BA$6:$BV$10, $Y84+2)</f>
        <v>1.5580000000000001</v>
      </c>
      <c r="AL84" s="35">
        <f>VLOOKUP(AL$5, $BA$6:$BV$10, $Y84+2)</f>
        <v>1.34</v>
      </c>
      <c r="AM84" s="35">
        <f>VLOOKUP(AM$5, $BA$6:$BV$10, $Y84+2)</f>
        <v>1.198</v>
      </c>
      <c r="AN84" s="37">
        <f>VLOOKUP(AN$5, $BA$6:$BV$10, $Z84+2)</f>
        <v>1.9</v>
      </c>
      <c r="AO84" s="35">
        <f>VLOOKUP(AO$5, $BA$6:$BV$10, $Z84+2)</f>
        <v>1.6</v>
      </c>
      <c r="AP84" s="35">
        <f>VLOOKUP(AP$5, $BA$6:$BV$10, $Z84+2)</f>
        <v>1.37</v>
      </c>
      <c r="AQ84" s="35">
        <f>VLOOKUP(AQ$5, $BA$6:$BV$10, $Z84+2)</f>
        <v>1.22</v>
      </c>
      <c r="AR84" s="37">
        <f>VLOOKUP(AR$5, $BA$12:$BV$16, $Y84+2)</f>
        <v>1.738</v>
      </c>
      <c r="AS84" s="35">
        <f>VLOOKUP(AS$5, $BA$12:$BV$16, $Y84+2)</f>
        <v>1.5129999999999999</v>
      </c>
      <c r="AT84" s="35">
        <f>VLOOKUP(AT$5, $BA$12:$BV$16, $Y84+2)</f>
        <v>1.3280000000000001</v>
      </c>
      <c r="AU84" s="35">
        <f>VLOOKUP(AU$5, $BA$12:$BV$16, $Y84+2)</f>
        <v>1.1879999999999999</v>
      </c>
      <c r="AV84" s="37">
        <f>VLOOKUP(AV$5, $BA$12:$BV$16, $Z84+2)</f>
        <v>1.8</v>
      </c>
      <c r="AW84" s="35">
        <f>VLOOKUP(AW$5, $BA$12:$BV$16, $Z84+2)</f>
        <v>1.56</v>
      </c>
      <c r="AX84" s="35">
        <f>VLOOKUP(AX$5, $BA$12:$BV$16, $Z84+2)</f>
        <v>1.36</v>
      </c>
      <c r="AY84" s="35">
        <f>VLOOKUP(AY$5, $BA$12:$BV$16, $Z84+2)</f>
        <v>1.21</v>
      </c>
    </row>
    <row r="85" spans="23:51" x14ac:dyDescent="0.25">
      <c r="W85" s="30">
        <v>79</v>
      </c>
      <c r="X85" s="32">
        <f t="shared" si="7"/>
        <v>15.8</v>
      </c>
      <c r="Y85" s="32">
        <f t="shared" si="8"/>
        <v>15</v>
      </c>
      <c r="Z85" s="32">
        <f t="shared" si="9"/>
        <v>16</v>
      </c>
      <c r="AA85" s="32">
        <f>X85 - Y85</f>
        <v>0.80000000000000071</v>
      </c>
      <c r="AB85" s="50">
        <f>AJ85 + (AN85-AJ85) * $AA85</f>
        <v>1.8875999999999999</v>
      </c>
      <c r="AC85" s="32">
        <f>AK85 + (AO85-AK85) * $AA85</f>
        <v>1.5916000000000001</v>
      </c>
      <c r="AD85" s="32">
        <f>AL85 + (AP85-AL85) * $AA85</f>
        <v>1.3640000000000001</v>
      </c>
      <c r="AE85" s="32">
        <f>AM85 + (AQ85-AM85) * $AA85</f>
        <v>1.2156</v>
      </c>
      <c r="AF85" s="44">
        <f>AR85 + (AV85-AR85) * $AA85</f>
        <v>1.7876000000000001</v>
      </c>
      <c r="AG85" s="32">
        <f>AS85 + (AW85-AS85) * $AA85</f>
        <v>1.5506</v>
      </c>
      <c r="AH85" s="32">
        <f>AT85 + (AX85-AT85) * $AA85</f>
        <v>1.3536000000000001</v>
      </c>
      <c r="AI85" s="32">
        <f>AU85 + (AY85-AU85) * $AA85</f>
        <v>1.2056</v>
      </c>
      <c r="AJ85" s="54">
        <f>VLOOKUP(AJ$5, $BA$6:$BV$10, $Y85+2)</f>
        <v>1.8380000000000001</v>
      </c>
      <c r="AK85" s="35">
        <f>VLOOKUP(AK$5, $BA$6:$BV$10, $Y85+2)</f>
        <v>1.5580000000000001</v>
      </c>
      <c r="AL85" s="35">
        <f>VLOOKUP(AL$5, $BA$6:$BV$10, $Y85+2)</f>
        <v>1.34</v>
      </c>
      <c r="AM85" s="35">
        <f>VLOOKUP(AM$5, $BA$6:$BV$10, $Y85+2)</f>
        <v>1.198</v>
      </c>
      <c r="AN85" s="37">
        <f>VLOOKUP(AN$5, $BA$6:$BV$10, $Z85+2)</f>
        <v>1.9</v>
      </c>
      <c r="AO85" s="35">
        <f>VLOOKUP(AO$5, $BA$6:$BV$10, $Z85+2)</f>
        <v>1.6</v>
      </c>
      <c r="AP85" s="35">
        <f>VLOOKUP(AP$5, $BA$6:$BV$10, $Z85+2)</f>
        <v>1.37</v>
      </c>
      <c r="AQ85" s="35">
        <f>VLOOKUP(AQ$5, $BA$6:$BV$10, $Z85+2)</f>
        <v>1.22</v>
      </c>
      <c r="AR85" s="37">
        <f>VLOOKUP(AR$5, $BA$12:$BV$16, $Y85+2)</f>
        <v>1.738</v>
      </c>
      <c r="AS85" s="35">
        <f>VLOOKUP(AS$5, $BA$12:$BV$16, $Y85+2)</f>
        <v>1.5129999999999999</v>
      </c>
      <c r="AT85" s="35">
        <f>VLOOKUP(AT$5, $BA$12:$BV$16, $Y85+2)</f>
        <v>1.3280000000000001</v>
      </c>
      <c r="AU85" s="35">
        <f>VLOOKUP(AU$5, $BA$12:$BV$16, $Y85+2)</f>
        <v>1.1879999999999999</v>
      </c>
      <c r="AV85" s="37">
        <f>VLOOKUP(AV$5, $BA$12:$BV$16, $Z85+2)</f>
        <v>1.8</v>
      </c>
      <c r="AW85" s="35">
        <f>VLOOKUP(AW$5, $BA$12:$BV$16, $Z85+2)</f>
        <v>1.56</v>
      </c>
      <c r="AX85" s="35">
        <f>VLOOKUP(AX$5, $BA$12:$BV$16, $Z85+2)</f>
        <v>1.36</v>
      </c>
      <c r="AY85" s="35">
        <f>VLOOKUP(AY$5, $BA$12:$BV$16, $Z85+2)</f>
        <v>1.21</v>
      </c>
    </row>
    <row r="86" spans="23:51" x14ac:dyDescent="0.25">
      <c r="W86" s="30">
        <v>80</v>
      </c>
      <c r="X86" s="32">
        <f t="shared" si="7"/>
        <v>16</v>
      </c>
      <c r="Y86" s="32">
        <f t="shared" si="8"/>
        <v>16</v>
      </c>
      <c r="Z86" s="32">
        <f t="shared" si="9"/>
        <v>17</v>
      </c>
      <c r="AA86" s="32">
        <f>X86 - Y86</f>
        <v>0</v>
      </c>
      <c r="AB86" s="50">
        <f>AJ86 + (AN86-AJ86) * $AA86</f>
        <v>1.9</v>
      </c>
      <c r="AC86" s="32">
        <f>AK86 + (AO86-AK86) * $AA86</f>
        <v>1.6</v>
      </c>
      <c r="AD86" s="32">
        <f>AL86 + (AP86-AL86) * $AA86</f>
        <v>1.37</v>
      </c>
      <c r="AE86" s="32">
        <f>AM86 + (AQ86-AM86) * $AA86</f>
        <v>1.22</v>
      </c>
      <c r="AF86" s="44">
        <f>AR86 + (AV86-AR86) * $AA86</f>
        <v>1.8</v>
      </c>
      <c r="AG86" s="32">
        <f>AS86 + (AW86-AS86) * $AA86</f>
        <v>1.56</v>
      </c>
      <c r="AH86" s="32">
        <f>AT86 + (AX86-AT86) * $AA86</f>
        <v>1.36</v>
      </c>
      <c r="AI86" s="32">
        <f>AU86 + (AY86-AU86) * $AA86</f>
        <v>1.21</v>
      </c>
      <c r="AJ86" s="54">
        <f>VLOOKUP(AJ$5, $BA$6:$BV$10, $Y86+2)</f>
        <v>1.9</v>
      </c>
      <c r="AK86" s="35">
        <f>VLOOKUP(AK$5, $BA$6:$BV$10, $Y86+2)</f>
        <v>1.6</v>
      </c>
      <c r="AL86" s="35">
        <f>VLOOKUP(AL$5, $BA$6:$BV$10, $Y86+2)</f>
        <v>1.37</v>
      </c>
      <c r="AM86" s="35">
        <f>VLOOKUP(AM$5, $BA$6:$BV$10, $Y86+2)</f>
        <v>1.22</v>
      </c>
      <c r="AN86" s="37">
        <f>VLOOKUP(AN$5, $BA$6:$BV$10, $Z86+2)</f>
        <v>1.9750000000000001</v>
      </c>
      <c r="AO86" s="35">
        <f>VLOOKUP(AO$5, $BA$6:$BV$10, $Z86+2)</f>
        <v>1.653</v>
      </c>
      <c r="AP86" s="35">
        <f>VLOOKUP(AP$5, $BA$6:$BV$10, $Z86+2)</f>
        <v>1.4079999999999999</v>
      </c>
      <c r="AQ86" s="35">
        <f>VLOOKUP(AQ$5, $BA$6:$BV$10, $Z86+2)</f>
        <v>1.25</v>
      </c>
      <c r="AR86" s="37">
        <f>VLOOKUP(AR$5, $BA$12:$BV$16, $Y86+2)</f>
        <v>1.8</v>
      </c>
      <c r="AS86" s="35">
        <f>VLOOKUP(AS$5, $BA$12:$BV$16, $Y86+2)</f>
        <v>1.56</v>
      </c>
      <c r="AT86" s="35">
        <f>VLOOKUP(AT$5, $BA$12:$BV$16, $Y86+2)</f>
        <v>1.36</v>
      </c>
      <c r="AU86" s="35">
        <f>VLOOKUP(AU$5, $BA$12:$BV$16, $Y86+2)</f>
        <v>1.21</v>
      </c>
      <c r="AV86" s="37">
        <f>VLOOKUP(AV$5, $BA$12:$BV$16, $Z86+2)</f>
        <v>1.875</v>
      </c>
      <c r="AW86" s="35">
        <f>VLOOKUP(AW$5, $BA$12:$BV$16, $Z86+2)</f>
        <v>1.6180000000000001</v>
      </c>
      <c r="AX86" s="35">
        <f>VLOOKUP(AX$5, $BA$12:$BV$16, $Z86+2)</f>
        <v>1.405</v>
      </c>
      <c r="AY86" s="35">
        <f>VLOOKUP(AY$5, $BA$12:$BV$16, $Z86+2)</f>
        <v>1.248</v>
      </c>
    </row>
    <row r="87" spans="23:51" x14ac:dyDescent="0.25">
      <c r="W87" s="30">
        <v>81</v>
      </c>
      <c r="X87" s="32">
        <f t="shared" si="7"/>
        <v>16.2</v>
      </c>
      <c r="Y87" s="32">
        <f t="shared" si="8"/>
        <v>16</v>
      </c>
      <c r="Z87" s="32">
        <f t="shared" si="9"/>
        <v>17</v>
      </c>
      <c r="AA87" s="32">
        <f>X87 - Y87</f>
        <v>0.19999999999999929</v>
      </c>
      <c r="AB87" s="50">
        <f>AJ87 + (AN87-AJ87) * $AA87</f>
        <v>1.9149999999999998</v>
      </c>
      <c r="AC87" s="32">
        <f>AK87 + (AO87-AK87) * $AA87</f>
        <v>1.6106</v>
      </c>
      <c r="AD87" s="32">
        <f>AL87 + (AP87-AL87) * $AA87</f>
        <v>1.3775999999999999</v>
      </c>
      <c r="AE87" s="32">
        <f>AM87 + (AQ87-AM87) * $AA87</f>
        <v>1.226</v>
      </c>
      <c r="AF87" s="44">
        <f>AR87 + (AV87-AR87) * $AA87</f>
        <v>1.8149999999999999</v>
      </c>
      <c r="AG87" s="32">
        <f>AS87 + (AW87-AS87) * $AA87</f>
        <v>1.5716000000000001</v>
      </c>
      <c r="AH87" s="32">
        <f>AT87 + (AX87-AT87) * $AA87</f>
        <v>1.369</v>
      </c>
      <c r="AI87" s="32">
        <f>AU87 + (AY87-AU87) * $AA87</f>
        <v>1.2176</v>
      </c>
      <c r="AJ87" s="54">
        <f>VLOOKUP(AJ$5, $BA$6:$BV$10, $Y87+2)</f>
        <v>1.9</v>
      </c>
      <c r="AK87" s="35">
        <f>VLOOKUP(AK$5, $BA$6:$BV$10, $Y87+2)</f>
        <v>1.6</v>
      </c>
      <c r="AL87" s="35">
        <f>VLOOKUP(AL$5, $BA$6:$BV$10, $Y87+2)</f>
        <v>1.37</v>
      </c>
      <c r="AM87" s="35">
        <f>VLOOKUP(AM$5, $BA$6:$BV$10, $Y87+2)</f>
        <v>1.22</v>
      </c>
      <c r="AN87" s="37">
        <f>VLOOKUP(AN$5, $BA$6:$BV$10, $Z87+2)</f>
        <v>1.9750000000000001</v>
      </c>
      <c r="AO87" s="35">
        <f>VLOOKUP(AO$5, $BA$6:$BV$10, $Z87+2)</f>
        <v>1.653</v>
      </c>
      <c r="AP87" s="35">
        <f>VLOOKUP(AP$5, $BA$6:$BV$10, $Z87+2)</f>
        <v>1.4079999999999999</v>
      </c>
      <c r="AQ87" s="35">
        <f>VLOOKUP(AQ$5, $BA$6:$BV$10, $Z87+2)</f>
        <v>1.25</v>
      </c>
      <c r="AR87" s="37">
        <f>VLOOKUP(AR$5, $BA$12:$BV$16, $Y87+2)</f>
        <v>1.8</v>
      </c>
      <c r="AS87" s="35">
        <f>VLOOKUP(AS$5, $BA$12:$BV$16, $Y87+2)</f>
        <v>1.56</v>
      </c>
      <c r="AT87" s="35">
        <f>VLOOKUP(AT$5, $BA$12:$BV$16, $Y87+2)</f>
        <v>1.36</v>
      </c>
      <c r="AU87" s="35">
        <f>VLOOKUP(AU$5, $BA$12:$BV$16, $Y87+2)</f>
        <v>1.21</v>
      </c>
      <c r="AV87" s="37">
        <f>VLOOKUP(AV$5, $BA$12:$BV$16, $Z87+2)</f>
        <v>1.875</v>
      </c>
      <c r="AW87" s="35">
        <f>VLOOKUP(AW$5, $BA$12:$BV$16, $Z87+2)</f>
        <v>1.6180000000000001</v>
      </c>
      <c r="AX87" s="35">
        <f>VLOOKUP(AX$5, $BA$12:$BV$16, $Z87+2)</f>
        <v>1.405</v>
      </c>
      <c r="AY87" s="35">
        <f>VLOOKUP(AY$5, $BA$12:$BV$16, $Z87+2)</f>
        <v>1.248</v>
      </c>
    </row>
    <row r="88" spans="23:51" x14ac:dyDescent="0.25">
      <c r="W88" s="30">
        <v>82</v>
      </c>
      <c r="X88" s="32">
        <f t="shared" si="7"/>
        <v>16.399999999999999</v>
      </c>
      <c r="Y88" s="32">
        <f t="shared" si="8"/>
        <v>16</v>
      </c>
      <c r="Z88" s="32">
        <f t="shared" si="9"/>
        <v>17</v>
      </c>
      <c r="AA88" s="32">
        <f>X88 - Y88</f>
        <v>0.39999999999999858</v>
      </c>
      <c r="AB88" s="50">
        <f>AJ88 + (AN88-AJ88) * $AA88</f>
        <v>1.93</v>
      </c>
      <c r="AC88" s="32">
        <f>AK88 + (AO88-AK88) * $AA88</f>
        <v>1.6212</v>
      </c>
      <c r="AD88" s="32">
        <f>AL88 + (AP88-AL88) * $AA88</f>
        <v>1.3852</v>
      </c>
      <c r="AE88" s="32">
        <f>AM88 + (AQ88-AM88) * $AA88</f>
        <v>1.232</v>
      </c>
      <c r="AF88" s="44">
        <f>AR88 + (AV88-AR88) * $AA88</f>
        <v>1.8299999999999998</v>
      </c>
      <c r="AG88" s="32">
        <f>AS88 + (AW88-AS88) * $AA88</f>
        <v>1.5831999999999999</v>
      </c>
      <c r="AH88" s="32">
        <f>AT88 + (AX88-AT88) * $AA88</f>
        <v>1.3780000000000001</v>
      </c>
      <c r="AI88" s="32">
        <f>AU88 + (AY88-AU88) * $AA88</f>
        <v>1.2251999999999998</v>
      </c>
      <c r="AJ88" s="54">
        <f>VLOOKUP(AJ$5, $BA$6:$BV$10, $Y88+2)</f>
        <v>1.9</v>
      </c>
      <c r="AK88" s="35">
        <f>VLOOKUP(AK$5, $BA$6:$BV$10, $Y88+2)</f>
        <v>1.6</v>
      </c>
      <c r="AL88" s="35">
        <f>VLOOKUP(AL$5, $BA$6:$BV$10, $Y88+2)</f>
        <v>1.37</v>
      </c>
      <c r="AM88" s="35">
        <f>VLOOKUP(AM$5, $BA$6:$BV$10, $Y88+2)</f>
        <v>1.22</v>
      </c>
      <c r="AN88" s="37">
        <f>VLOOKUP(AN$5, $BA$6:$BV$10, $Z88+2)</f>
        <v>1.9750000000000001</v>
      </c>
      <c r="AO88" s="35">
        <f>VLOOKUP(AO$5, $BA$6:$BV$10, $Z88+2)</f>
        <v>1.653</v>
      </c>
      <c r="AP88" s="35">
        <f>VLOOKUP(AP$5, $BA$6:$BV$10, $Z88+2)</f>
        <v>1.4079999999999999</v>
      </c>
      <c r="AQ88" s="35">
        <f>VLOOKUP(AQ$5, $BA$6:$BV$10, $Z88+2)</f>
        <v>1.25</v>
      </c>
      <c r="AR88" s="37">
        <f>VLOOKUP(AR$5, $BA$12:$BV$16, $Y88+2)</f>
        <v>1.8</v>
      </c>
      <c r="AS88" s="35">
        <f>VLOOKUP(AS$5, $BA$12:$BV$16, $Y88+2)</f>
        <v>1.56</v>
      </c>
      <c r="AT88" s="35">
        <f>VLOOKUP(AT$5, $BA$12:$BV$16, $Y88+2)</f>
        <v>1.36</v>
      </c>
      <c r="AU88" s="35">
        <f>VLOOKUP(AU$5, $BA$12:$BV$16, $Y88+2)</f>
        <v>1.21</v>
      </c>
      <c r="AV88" s="37">
        <f>VLOOKUP(AV$5, $BA$12:$BV$16, $Z88+2)</f>
        <v>1.875</v>
      </c>
      <c r="AW88" s="35">
        <f>VLOOKUP(AW$5, $BA$12:$BV$16, $Z88+2)</f>
        <v>1.6180000000000001</v>
      </c>
      <c r="AX88" s="35">
        <f>VLOOKUP(AX$5, $BA$12:$BV$16, $Z88+2)</f>
        <v>1.405</v>
      </c>
      <c r="AY88" s="35">
        <f>VLOOKUP(AY$5, $BA$12:$BV$16, $Z88+2)</f>
        <v>1.248</v>
      </c>
    </row>
    <row r="89" spans="23:51" x14ac:dyDescent="0.25">
      <c r="W89" s="30">
        <v>83</v>
      </c>
      <c r="X89" s="32">
        <f t="shared" si="7"/>
        <v>16.600000000000001</v>
      </c>
      <c r="Y89" s="32">
        <f t="shared" si="8"/>
        <v>16</v>
      </c>
      <c r="Z89" s="32">
        <f t="shared" si="9"/>
        <v>17</v>
      </c>
      <c r="AA89" s="32">
        <f>X89 - Y89</f>
        <v>0.60000000000000142</v>
      </c>
      <c r="AB89" s="50">
        <f>AJ89 + (AN89-AJ89) * $AA89</f>
        <v>1.9450000000000001</v>
      </c>
      <c r="AC89" s="32">
        <f>AK89 + (AO89-AK89) * $AA89</f>
        <v>1.6318000000000001</v>
      </c>
      <c r="AD89" s="32">
        <f>AL89 + (AP89-AL89) * $AA89</f>
        <v>1.3928</v>
      </c>
      <c r="AE89" s="32">
        <f>AM89 + (AQ89-AM89) * $AA89</f>
        <v>1.238</v>
      </c>
      <c r="AF89" s="44">
        <f>AR89 + (AV89-AR89) * $AA89</f>
        <v>1.8450000000000002</v>
      </c>
      <c r="AG89" s="32">
        <f>AS89 + (AW89-AS89) * $AA89</f>
        <v>1.5948000000000002</v>
      </c>
      <c r="AH89" s="32">
        <f>AT89 + (AX89-AT89) * $AA89</f>
        <v>1.387</v>
      </c>
      <c r="AI89" s="32">
        <f>AU89 + (AY89-AU89) * $AA89</f>
        <v>1.2328000000000001</v>
      </c>
      <c r="AJ89" s="54">
        <f>VLOOKUP(AJ$5, $BA$6:$BV$10, $Y89+2)</f>
        <v>1.9</v>
      </c>
      <c r="AK89" s="35">
        <f>VLOOKUP(AK$5, $BA$6:$BV$10, $Y89+2)</f>
        <v>1.6</v>
      </c>
      <c r="AL89" s="35">
        <f>VLOOKUP(AL$5, $BA$6:$BV$10, $Y89+2)</f>
        <v>1.37</v>
      </c>
      <c r="AM89" s="35">
        <f>VLOOKUP(AM$5, $BA$6:$BV$10, $Y89+2)</f>
        <v>1.22</v>
      </c>
      <c r="AN89" s="37">
        <f>VLOOKUP(AN$5, $BA$6:$BV$10, $Z89+2)</f>
        <v>1.9750000000000001</v>
      </c>
      <c r="AO89" s="35">
        <f>VLOOKUP(AO$5, $BA$6:$BV$10, $Z89+2)</f>
        <v>1.653</v>
      </c>
      <c r="AP89" s="35">
        <f>VLOOKUP(AP$5, $BA$6:$BV$10, $Z89+2)</f>
        <v>1.4079999999999999</v>
      </c>
      <c r="AQ89" s="35">
        <f>VLOOKUP(AQ$5, $BA$6:$BV$10, $Z89+2)</f>
        <v>1.25</v>
      </c>
      <c r="AR89" s="37">
        <f>VLOOKUP(AR$5, $BA$12:$BV$16, $Y89+2)</f>
        <v>1.8</v>
      </c>
      <c r="AS89" s="35">
        <f>VLOOKUP(AS$5, $BA$12:$BV$16, $Y89+2)</f>
        <v>1.56</v>
      </c>
      <c r="AT89" s="35">
        <f>VLOOKUP(AT$5, $BA$12:$BV$16, $Y89+2)</f>
        <v>1.36</v>
      </c>
      <c r="AU89" s="35">
        <f>VLOOKUP(AU$5, $BA$12:$BV$16, $Y89+2)</f>
        <v>1.21</v>
      </c>
      <c r="AV89" s="37">
        <f>VLOOKUP(AV$5, $BA$12:$BV$16, $Z89+2)</f>
        <v>1.875</v>
      </c>
      <c r="AW89" s="35">
        <f>VLOOKUP(AW$5, $BA$12:$BV$16, $Z89+2)</f>
        <v>1.6180000000000001</v>
      </c>
      <c r="AX89" s="35">
        <f>VLOOKUP(AX$5, $BA$12:$BV$16, $Z89+2)</f>
        <v>1.405</v>
      </c>
      <c r="AY89" s="35">
        <f>VLOOKUP(AY$5, $BA$12:$BV$16, $Z89+2)</f>
        <v>1.248</v>
      </c>
    </row>
    <row r="90" spans="23:51" x14ac:dyDescent="0.25">
      <c r="W90" s="30">
        <v>84</v>
      </c>
      <c r="X90" s="32">
        <f t="shared" si="7"/>
        <v>16.8</v>
      </c>
      <c r="Y90" s="32">
        <f t="shared" si="8"/>
        <v>16</v>
      </c>
      <c r="Z90" s="32">
        <f t="shared" si="9"/>
        <v>17</v>
      </c>
      <c r="AA90" s="32">
        <f>X90 - Y90</f>
        <v>0.80000000000000071</v>
      </c>
      <c r="AB90" s="50">
        <f>AJ90 + (AN90-AJ90) * $AA90</f>
        <v>1.9600000000000002</v>
      </c>
      <c r="AC90" s="32">
        <f>AK90 + (AO90-AK90) * $AA90</f>
        <v>1.6424000000000001</v>
      </c>
      <c r="AD90" s="32">
        <f>AL90 + (AP90-AL90) * $AA90</f>
        <v>1.4004000000000001</v>
      </c>
      <c r="AE90" s="32">
        <f>AM90 + (AQ90-AM90) * $AA90</f>
        <v>1.244</v>
      </c>
      <c r="AF90" s="44">
        <f>AR90 + (AV90-AR90) * $AA90</f>
        <v>1.86</v>
      </c>
      <c r="AG90" s="32">
        <f>AS90 + (AW90-AS90) * $AA90</f>
        <v>1.6064000000000001</v>
      </c>
      <c r="AH90" s="32">
        <f>AT90 + (AX90-AT90) * $AA90</f>
        <v>1.3960000000000001</v>
      </c>
      <c r="AI90" s="32">
        <f>AU90 + (AY90-AU90) * $AA90</f>
        <v>1.2403999999999999</v>
      </c>
      <c r="AJ90" s="54">
        <f>VLOOKUP(AJ$5, $BA$6:$BV$10, $Y90+2)</f>
        <v>1.9</v>
      </c>
      <c r="AK90" s="35">
        <f>VLOOKUP(AK$5, $BA$6:$BV$10, $Y90+2)</f>
        <v>1.6</v>
      </c>
      <c r="AL90" s="35">
        <f>VLOOKUP(AL$5, $BA$6:$BV$10, $Y90+2)</f>
        <v>1.37</v>
      </c>
      <c r="AM90" s="35">
        <f>VLOOKUP(AM$5, $BA$6:$BV$10, $Y90+2)</f>
        <v>1.22</v>
      </c>
      <c r="AN90" s="37">
        <f>VLOOKUP(AN$5, $BA$6:$BV$10, $Z90+2)</f>
        <v>1.9750000000000001</v>
      </c>
      <c r="AO90" s="35">
        <f>VLOOKUP(AO$5, $BA$6:$BV$10, $Z90+2)</f>
        <v>1.653</v>
      </c>
      <c r="AP90" s="35">
        <f>VLOOKUP(AP$5, $BA$6:$BV$10, $Z90+2)</f>
        <v>1.4079999999999999</v>
      </c>
      <c r="AQ90" s="35">
        <f>VLOOKUP(AQ$5, $BA$6:$BV$10, $Z90+2)</f>
        <v>1.25</v>
      </c>
      <c r="AR90" s="37">
        <f>VLOOKUP(AR$5, $BA$12:$BV$16, $Y90+2)</f>
        <v>1.8</v>
      </c>
      <c r="AS90" s="35">
        <f>VLOOKUP(AS$5, $BA$12:$BV$16, $Y90+2)</f>
        <v>1.56</v>
      </c>
      <c r="AT90" s="35">
        <f>VLOOKUP(AT$5, $BA$12:$BV$16, $Y90+2)</f>
        <v>1.36</v>
      </c>
      <c r="AU90" s="35">
        <f>VLOOKUP(AU$5, $BA$12:$BV$16, $Y90+2)</f>
        <v>1.21</v>
      </c>
      <c r="AV90" s="37">
        <f>VLOOKUP(AV$5, $BA$12:$BV$16, $Z90+2)</f>
        <v>1.875</v>
      </c>
      <c r="AW90" s="35">
        <f>VLOOKUP(AW$5, $BA$12:$BV$16, $Z90+2)</f>
        <v>1.6180000000000001</v>
      </c>
      <c r="AX90" s="35">
        <f>VLOOKUP(AX$5, $BA$12:$BV$16, $Z90+2)</f>
        <v>1.405</v>
      </c>
      <c r="AY90" s="35">
        <f>VLOOKUP(AY$5, $BA$12:$BV$16, $Z90+2)</f>
        <v>1.248</v>
      </c>
    </row>
    <row r="91" spans="23:51" x14ac:dyDescent="0.25">
      <c r="W91" s="30">
        <v>85</v>
      </c>
      <c r="X91" s="32">
        <f t="shared" si="7"/>
        <v>17</v>
      </c>
      <c r="Y91" s="32">
        <f t="shared" si="8"/>
        <v>17</v>
      </c>
      <c r="Z91" s="32">
        <f t="shared" si="9"/>
        <v>18</v>
      </c>
      <c r="AA91" s="32">
        <f>X91 - Y91</f>
        <v>0</v>
      </c>
      <c r="AB91" s="50">
        <f>AJ91 + (AN91-AJ91) * $AA91</f>
        <v>1.9750000000000001</v>
      </c>
      <c r="AC91" s="32">
        <f>AK91 + (AO91-AK91) * $AA91</f>
        <v>1.653</v>
      </c>
      <c r="AD91" s="32">
        <f>AL91 + (AP91-AL91) * $AA91</f>
        <v>1.4079999999999999</v>
      </c>
      <c r="AE91" s="32">
        <f>AM91 + (AQ91-AM91) * $AA91</f>
        <v>1.25</v>
      </c>
      <c r="AF91" s="44">
        <f>AR91 + (AV91-AR91) * $AA91</f>
        <v>1.875</v>
      </c>
      <c r="AG91" s="32">
        <f>AS91 + (AW91-AS91) * $AA91</f>
        <v>1.6180000000000001</v>
      </c>
      <c r="AH91" s="32">
        <f>AT91 + (AX91-AT91) * $AA91</f>
        <v>1.405</v>
      </c>
      <c r="AI91" s="32">
        <f>AU91 + (AY91-AU91) * $AA91</f>
        <v>1.248</v>
      </c>
      <c r="AJ91" s="54">
        <f>VLOOKUP(AJ$5, $BA$6:$BV$10, $Y91+2)</f>
        <v>1.9750000000000001</v>
      </c>
      <c r="AK91" s="35">
        <f>VLOOKUP(AK$5, $BA$6:$BV$10, $Y91+2)</f>
        <v>1.653</v>
      </c>
      <c r="AL91" s="35">
        <f>VLOOKUP(AL$5, $BA$6:$BV$10, $Y91+2)</f>
        <v>1.4079999999999999</v>
      </c>
      <c r="AM91" s="35">
        <f>VLOOKUP(AM$5, $BA$6:$BV$10, $Y91+2)</f>
        <v>1.25</v>
      </c>
      <c r="AN91" s="37">
        <f>VLOOKUP(AN$5, $BA$6:$BV$10, $Z91+2)</f>
        <v>2.0499999999999998</v>
      </c>
      <c r="AO91" s="35">
        <f>VLOOKUP(AO$5, $BA$6:$BV$10, $Z91+2)</f>
        <v>1.7050000000000001</v>
      </c>
      <c r="AP91" s="35">
        <f>VLOOKUP(AP$5, $BA$6:$BV$10, $Z91+2)</f>
        <v>1.4450000000000001</v>
      </c>
      <c r="AQ91" s="35">
        <f>VLOOKUP(AQ$5, $BA$6:$BV$10, $Z91+2)</f>
        <v>1.28</v>
      </c>
      <c r="AR91" s="37">
        <f>VLOOKUP(AR$5, $BA$12:$BV$16, $Y91+2)</f>
        <v>1.875</v>
      </c>
      <c r="AS91" s="35">
        <f>VLOOKUP(AS$5, $BA$12:$BV$16, $Y91+2)</f>
        <v>1.6180000000000001</v>
      </c>
      <c r="AT91" s="35">
        <f>VLOOKUP(AT$5, $BA$12:$BV$16, $Y91+2)</f>
        <v>1.405</v>
      </c>
      <c r="AU91" s="35">
        <f>VLOOKUP(AU$5, $BA$12:$BV$16, $Y91+2)</f>
        <v>1.248</v>
      </c>
      <c r="AV91" s="37">
        <f>VLOOKUP(AV$5, $BA$12:$BV$16, $Z91+2)</f>
        <v>1.95</v>
      </c>
      <c r="AW91" s="35">
        <f>VLOOKUP(AW$5, $BA$12:$BV$16, $Z91+2)</f>
        <v>1.675</v>
      </c>
      <c r="AX91" s="35">
        <f>VLOOKUP(AX$5, $BA$12:$BV$16, $Z91+2)</f>
        <v>1.45</v>
      </c>
      <c r="AY91" s="35">
        <f>VLOOKUP(AY$5, $BA$12:$BV$16, $Z91+2)</f>
        <v>1.2849999999999999</v>
      </c>
    </row>
    <row r="92" spans="23:51" x14ac:dyDescent="0.25">
      <c r="W92" s="30">
        <v>86</v>
      </c>
      <c r="X92" s="32">
        <f t="shared" si="7"/>
        <v>17.2</v>
      </c>
      <c r="Y92" s="32">
        <f t="shared" si="8"/>
        <v>17</v>
      </c>
      <c r="Z92" s="32">
        <f t="shared" si="9"/>
        <v>18</v>
      </c>
      <c r="AA92" s="32">
        <f>X92 - Y92</f>
        <v>0.19999999999999929</v>
      </c>
      <c r="AB92" s="50">
        <f>AJ92 + (AN92-AJ92) * $AA92</f>
        <v>1.99</v>
      </c>
      <c r="AC92" s="32">
        <f>AK92 + (AO92-AK92) * $AA92</f>
        <v>1.6634</v>
      </c>
      <c r="AD92" s="32">
        <f>AL92 + (AP92-AL92) * $AA92</f>
        <v>1.4154</v>
      </c>
      <c r="AE92" s="32">
        <f>AM92 + (AQ92-AM92) * $AA92</f>
        <v>1.256</v>
      </c>
      <c r="AF92" s="44">
        <f>AR92 + (AV92-AR92) * $AA92</f>
        <v>1.89</v>
      </c>
      <c r="AG92" s="32">
        <f>AS92 + (AW92-AS92) * $AA92</f>
        <v>1.6294</v>
      </c>
      <c r="AH92" s="32">
        <f>AT92 + (AX92-AT92) * $AA92</f>
        <v>1.4139999999999999</v>
      </c>
      <c r="AI92" s="32">
        <f>AU92 + (AY92-AU92) * $AA92</f>
        <v>1.2553999999999998</v>
      </c>
      <c r="AJ92" s="54">
        <f>VLOOKUP(AJ$5, $BA$6:$BV$10, $Y92+2)</f>
        <v>1.9750000000000001</v>
      </c>
      <c r="AK92" s="35">
        <f>VLOOKUP(AK$5, $BA$6:$BV$10, $Y92+2)</f>
        <v>1.653</v>
      </c>
      <c r="AL92" s="35">
        <f>VLOOKUP(AL$5, $BA$6:$BV$10, $Y92+2)</f>
        <v>1.4079999999999999</v>
      </c>
      <c r="AM92" s="35">
        <f>VLOOKUP(AM$5, $BA$6:$BV$10, $Y92+2)</f>
        <v>1.25</v>
      </c>
      <c r="AN92" s="37">
        <f>VLOOKUP(AN$5, $BA$6:$BV$10, $Z92+2)</f>
        <v>2.0499999999999998</v>
      </c>
      <c r="AO92" s="35">
        <f>VLOOKUP(AO$5, $BA$6:$BV$10, $Z92+2)</f>
        <v>1.7050000000000001</v>
      </c>
      <c r="AP92" s="35">
        <f>VLOOKUP(AP$5, $BA$6:$BV$10, $Z92+2)</f>
        <v>1.4450000000000001</v>
      </c>
      <c r="AQ92" s="35">
        <f>VLOOKUP(AQ$5, $BA$6:$BV$10, $Z92+2)</f>
        <v>1.28</v>
      </c>
      <c r="AR92" s="37">
        <f>VLOOKUP(AR$5, $BA$12:$BV$16, $Y92+2)</f>
        <v>1.875</v>
      </c>
      <c r="AS92" s="35">
        <f>VLOOKUP(AS$5, $BA$12:$BV$16, $Y92+2)</f>
        <v>1.6180000000000001</v>
      </c>
      <c r="AT92" s="35">
        <f>VLOOKUP(AT$5, $BA$12:$BV$16, $Y92+2)</f>
        <v>1.405</v>
      </c>
      <c r="AU92" s="35">
        <f>VLOOKUP(AU$5, $BA$12:$BV$16, $Y92+2)</f>
        <v>1.248</v>
      </c>
      <c r="AV92" s="37">
        <f>VLOOKUP(AV$5, $BA$12:$BV$16, $Z92+2)</f>
        <v>1.95</v>
      </c>
      <c r="AW92" s="35">
        <f>VLOOKUP(AW$5, $BA$12:$BV$16, $Z92+2)</f>
        <v>1.675</v>
      </c>
      <c r="AX92" s="35">
        <f>VLOOKUP(AX$5, $BA$12:$BV$16, $Z92+2)</f>
        <v>1.45</v>
      </c>
      <c r="AY92" s="35">
        <f>VLOOKUP(AY$5, $BA$12:$BV$16, $Z92+2)</f>
        <v>1.2849999999999999</v>
      </c>
    </row>
    <row r="93" spans="23:51" x14ac:dyDescent="0.25">
      <c r="W93" s="30">
        <v>87</v>
      </c>
      <c r="X93" s="32">
        <f t="shared" si="7"/>
        <v>17.399999999999999</v>
      </c>
      <c r="Y93" s="32">
        <f t="shared" si="8"/>
        <v>17</v>
      </c>
      <c r="Z93" s="32">
        <f t="shared" si="9"/>
        <v>18</v>
      </c>
      <c r="AA93" s="32">
        <f>X93 - Y93</f>
        <v>0.39999999999999858</v>
      </c>
      <c r="AB93" s="50">
        <f>AJ93 + (AN93-AJ93) * $AA93</f>
        <v>2.0049999999999999</v>
      </c>
      <c r="AC93" s="32">
        <f>AK93 + (AO93-AK93) * $AA93</f>
        <v>1.6738</v>
      </c>
      <c r="AD93" s="32">
        <f>AL93 + (AP93-AL93) * $AA93</f>
        <v>1.4227999999999998</v>
      </c>
      <c r="AE93" s="32">
        <f>AM93 + (AQ93-AM93) * $AA93</f>
        <v>1.262</v>
      </c>
      <c r="AF93" s="44">
        <f>AR93 + (AV93-AR93) * $AA93</f>
        <v>1.9049999999999998</v>
      </c>
      <c r="AG93" s="32">
        <f>AS93 + (AW93-AS93) * $AA93</f>
        <v>1.6408</v>
      </c>
      <c r="AH93" s="32">
        <f>AT93 + (AX93-AT93) * $AA93</f>
        <v>1.423</v>
      </c>
      <c r="AI93" s="32">
        <f>AU93 + (AY93-AU93) * $AA93</f>
        <v>1.2627999999999999</v>
      </c>
      <c r="AJ93" s="54">
        <f>VLOOKUP(AJ$5, $BA$6:$BV$10, $Y93+2)</f>
        <v>1.9750000000000001</v>
      </c>
      <c r="AK93" s="35">
        <f>VLOOKUP(AK$5, $BA$6:$BV$10, $Y93+2)</f>
        <v>1.653</v>
      </c>
      <c r="AL93" s="35">
        <f>VLOOKUP(AL$5, $BA$6:$BV$10, $Y93+2)</f>
        <v>1.4079999999999999</v>
      </c>
      <c r="AM93" s="35">
        <f>VLOOKUP(AM$5, $BA$6:$BV$10, $Y93+2)</f>
        <v>1.25</v>
      </c>
      <c r="AN93" s="37">
        <f>VLOOKUP(AN$5, $BA$6:$BV$10, $Z93+2)</f>
        <v>2.0499999999999998</v>
      </c>
      <c r="AO93" s="35">
        <f>VLOOKUP(AO$5, $BA$6:$BV$10, $Z93+2)</f>
        <v>1.7050000000000001</v>
      </c>
      <c r="AP93" s="35">
        <f>VLOOKUP(AP$5, $BA$6:$BV$10, $Z93+2)</f>
        <v>1.4450000000000001</v>
      </c>
      <c r="AQ93" s="35">
        <f>VLOOKUP(AQ$5, $BA$6:$BV$10, $Z93+2)</f>
        <v>1.28</v>
      </c>
      <c r="AR93" s="37">
        <f>VLOOKUP(AR$5, $BA$12:$BV$16, $Y93+2)</f>
        <v>1.875</v>
      </c>
      <c r="AS93" s="35">
        <f>VLOOKUP(AS$5, $BA$12:$BV$16, $Y93+2)</f>
        <v>1.6180000000000001</v>
      </c>
      <c r="AT93" s="35">
        <f>VLOOKUP(AT$5, $BA$12:$BV$16, $Y93+2)</f>
        <v>1.405</v>
      </c>
      <c r="AU93" s="35">
        <f>VLOOKUP(AU$5, $BA$12:$BV$16, $Y93+2)</f>
        <v>1.248</v>
      </c>
      <c r="AV93" s="37">
        <f>VLOOKUP(AV$5, $BA$12:$BV$16, $Z93+2)</f>
        <v>1.95</v>
      </c>
      <c r="AW93" s="35">
        <f>VLOOKUP(AW$5, $BA$12:$BV$16, $Z93+2)</f>
        <v>1.675</v>
      </c>
      <c r="AX93" s="35">
        <f>VLOOKUP(AX$5, $BA$12:$BV$16, $Z93+2)</f>
        <v>1.45</v>
      </c>
      <c r="AY93" s="35">
        <f>VLOOKUP(AY$5, $BA$12:$BV$16, $Z93+2)</f>
        <v>1.2849999999999999</v>
      </c>
    </row>
    <row r="94" spans="23:51" x14ac:dyDescent="0.25">
      <c r="W94" s="30">
        <v>88</v>
      </c>
      <c r="X94" s="32">
        <f t="shared" si="7"/>
        <v>17.600000000000001</v>
      </c>
      <c r="Y94" s="32">
        <f t="shared" si="8"/>
        <v>17</v>
      </c>
      <c r="Z94" s="32">
        <f t="shared" si="9"/>
        <v>18</v>
      </c>
      <c r="AA94" s="32">
        <f>X94 - Y94</f>
        <v>0.60000000000000142</v>
      </c>
      <c r="AB94" s="50">
        <f>AJ94 + (AN94-AJ94) * $AA94</f>
        <v>2.02</v>
      </c>
      <c r="AC94" s="32">
        <f>AK94 + (AO94-AK94) * $AA94</f>
        <v>1.6842000000000001</v>
      </c>
      <c r="AD94" s="32">
        <f>AL94 + (AP94-AL94) * $AA94</f>
        <v>1.4302000000000001</v>
      </c>
      <c r="AE94" s="32">
        <f>AM94 + (AQ94-AM94) * $AA94</f>
        <v>1.268</v>
      </c>
      <c r="AF94" s="44">
        <f>AR94 + (AV94-AR94) * $AA94</f>
        <v>1.9200000000000002</v>
      </c>
      <c r="AG94" s="32">
        <f>AS94 + (AW94-AS94) * $AA94</f>
        <v>1.6522000000000001</v>
      </c>
      <c r="AH94" s="32">
        <f>AT94 + (AX94-AT94) * $AA94</f>
        <v>1.4319999999999999</v>
      </c>
      <c r="AI94" s="32">
        <f>AU94 + (AY94-AU94) * $AA94</f>
        <v>1.2702</v>
      </c>
      <c r="AJ94" s="54">
        <f>VLOOKUP(AJ$5, $BA$6:$BV$10, $Y94+2)</f>
        <v>1.9750000000000001</v>
      </c>
      <c r="AK94" s="35">
        <f>VLOOKUP(AK$5, $BA$6:$BV$10, $Y94+2)</f>
        <v>1.653</v>
      </c>
      <c r="AL94" s="35">
        <f>VLOOKUP(AL$5, $BA$6:$BV$10, $Y94+2)</f>
        <v>1.4079999999999999</v>
      </c>
      <c r="AM94" s="35">
        <f>VLOOKUP(AM$5, $BA$6:$BV$10, $Y94+2)</f>
        <v>1.25</v>
      </c>
      <c r="AN94" s="37">
        <f>VLOOKUP(AN$5, $BA$6:$BV$10, $Z94+2)</f>
        <v>2.0499999999999998</v>
      </c>
      <c r="AO94" s="35">
        <f>VLOOKUP(AO$5, $BA$6:$BV$10, $Z94+2)</f>
        <v>1.7050000000000001</v>
      </c>
      <c r="AP94" s="35">
        <f>VLOOKUP(AP$5, $BA$6:$BV$10, $Z94+2)</f>
        <v>1.4450000000000001</v>
      </c>
      <c r="AQ94" s="35">
        <f>VLOOKUP(AQ$5, $BA$6:$BV$10, $Z94+2)</f>
        <v>1.28</v>
      </c>
      <c r="AR94" s="37">
        <f>VLOOKUP(AR$5, $BA$12:$BV$16, $Y94+2)</f>
        <v>1.875</v>
      </c>
      <c r="AS94" s="35">
        <f>VLOOKUP(AS$5, $BA$12:$BV$16, $Y94+2)</f>
        <v>1.6180000000000001</v>
      </c>
      <c r="AT94" s="35">
        <f>VLOOKUP(AT$5, $BA$12:$BV$16, $Y94+2)</f>
        <v>1.405</v>
      </c>
      <c r="AU94" s="35">
        <f>VLOOKUP(AU$5, $BA$12:$BV$16, $Y94+2)</f>
        <v>1.248</v>
      </c>
      <c r="AV94" s="37">
        <f>VLOOKUP(AV$5, $BA$12:$BV$16, $Z94+2)</f>
        <v>1.95</v>
      </c>
      <c r="AW94" s="35">
        <f>VLOOKUP(AW$5, $BA$12:$BV$16, $Z94+2)</f>
        <v>1.675</v>
      </c>
      <c r="AX94" s="35">
        <f>VLOOKUP(AX$5, $BA$12:$BV$16, $Z94+2)</f>
        <v>1.45</v>
      </c>
      <c r="AY94" s="35">
        <f>VLOOKUP(AY$5, $BA$12:$BV$16, $Z94+2)</f>
        <v>1.2849999999999999</v>
      </c>
    </row>
    <row r="95" spans="23:51" x14ac:dyDescent="0.25">
      <c r="W95" s="30">
        <v>89</v>
      </c>
      <c r="X95" s="32">
        <f t="shared" si="7"/>
        <v>17.8</v>
      </c>
      <c r="Y95" s="32">
        <f t="shared" si="8"/>
        <v>17</v>
      </c>
      <c r="Z95" s="32">
        <f t="shared" si="9"/>
        <v>18</v>
      </c>
      <c r="AA95" s="32">
        <f>X95 - Y95</f>
        <v>0.80000000000000071</v>
      </c>
      <c r="AB95" s="50">
        <f>AJ95 + (AN95-AJ95) * $AA95</f>
        <v>2.0350000000000001</v>
      </c>
      <c r="AC95" s="32">
        <f>AK95 + (AO95-AK95) * $AA95</f>
        <v>1.6946000000000001</v>
      </c>
      <c r="AD95" s="32">
        <f>AL95 + (AP95-AL95) * $AA95</f>
        <v>1.4376</v>
      </c>
      <c r="AE95" s="32">
        <f>AM95 + (AQ95-AM95) * $AA95</f>
        <v>1.274</v>
      </c>
      <c r="AF95" s="44">
        <f>AR95 + (AV95-AR95) * $AA95</f>
        <v>1.9350000000000001</v>
      </c>
      <c r="AG95" s="32">
        <f>AS95 + (AW95-AS95) * $AA95</f>
        <v>1.6636000000000002</v>
      </c>
      <c r="AH95" s="32">
        <f>AT95 + (AX95-AT95) * $AA95</f>
        <v>1.4410000000000001</v>
      </c>
      <c r="AI95" s="32">
        <f>AU95 + (AY95-AU95) * $AA95</f>
        <v>1.2776000000000001</v>
      </c>
      <c r="AJ95" s="54">
        <f>VLOOKUP(AJ$5, $BA$6:$BV$10, $Y95+2)</f>
        <v>1.9750000000000001</v>
      </c>
      <c r="AK95" s="35">
        <f>VLOOKUP(AK$5, $BA$6:$BV$10, $Y95+2)</f>
        <v>1.653</v>
      </c>
      <c r="AL95" s="35">
        <f>VLOOKUP(AL$5, $BA$6:$BV$10, $Y95+2)</f>
        <v>1.4079999999999999</v>
      </c>
      <c r="AM95" s="35">
        <f>VLOOKUP(AM$5, $BA$6:$BV$10, $Y95+2)</f>
        <v>1.25</v>
      </c>
      <c r="AN95" s="37">
        <f>VLOOKUP(AN$5, $BA$6:$BV$10, $Z95+2)</f>
        <v>2.0499999999999998</v>
      </c>
      <c r="AO95" s="35">
        <f>VLOOKUP(AO$5, $BA$6:$BV$10, $Z95+2)</f>
        <v>1.7050000000000001</v>
      </c>
      <c r="AP95" s="35">
        <f>VLOOKUP(AP$5, $BA$6:$BV$10, $Z95+2)</f>
        <v>1.4450000000000001</v>
      </c>
      <c r="AQ95" s="35">
        <f>VLOOKUP(AQ$5, $BA$6:$BV$10, $Z95+2)</f>
        <v>1.28</v>
      </c>
      <c r="AR95" s="37">
        <f>VLOOKUP(AR$5, $BA$12:$BV$16, $Y95+2)</f>
        <v>1.875</v>
      </c>
      <c r="AS95" s="35">
        <f>VLOOKUP(AS$5, $BA$12:$BV$16, $Y95+2)</f>
        <v>1.6180000000000001</v>
      </c>
      <c r="AT95" s="35">
        <f>VLOOKUP(AT$5, $BA$12:$BV$16, $Y95+2)</f>
        <v>1.405</v>
      </c>
      <c r="AU95" s="35">
        <f>VLOOKUP(AU$5, $BA$12:$BV$16, $Y95+2)</f>
        <v>1.248</v>
      </c>
      <c r="AV95" s="37">
        <f>VLOOKUP(AV$5, $BA$12:$BV$16, $Z95+2)</f>
        <v>1.95</v>
      </c>
      <c r="AW95" s="35">
        <f>VLOOKUP(AW$5, $BA$12:$BV$16, $Z95+2)</f>
        <v>1.675</v>
      </c>
      <c r="AX95" s="35">
        <f>VLOOKUP(AX$5, $BA$12:$BV$16, $Z95+2)</f>
        <v>1.45</v>
      </c>
      <c r="AY95" s="35">
        <f>VLOOKUP(AY$5, $BA$12:$BV$16, $Z95+2)</f>
        <v>1.2849999999999999</v>
      </c>
    </row>
    <row r="96" spans="23:51" x14ac:dyDescent="0.25">
      <c r="W96" s="30">
        <v>90</v>
      </c>
      <c r="X96" s="32">
        <f t="shared" si="7"/>
        <v>18</v>
      </c>
      <c r="Y96" s="32">
        <f t="shared" si="8"/>
        <v>18</v>
      </c>
      <c r="Z96" s="32">
        <f t="shared" si="9"/>
        <v>19</v>
      </c>
      <c r="AA96" s="32">
        <f>X96 - Y96</f>
        <v>0</v>
      </c>
      <c r="AB96" s="50">
        <f>AJ96 + (AN96-AJ96) * $AA96</f>
        <v>2.0499999999999998</v>
      </c>
      <c r="AC96" s="32">
        <f>AK96 + (AO96-AK96) * $AA96</f>
        <v>1.7050000000000001</v>
      </c>
      <c r="AD96" s="32">
        <f>AL96 + (AP96-AL96) * $AA96</f>
        <v>1.4450000000000001</v>
      </c>
      <c r="AE96" s="32">
        <f>AM96 + (AQ96-AM96) * $AA96</f>
        <v>1.28</v>
      </c>
      <c r="AF96" s="44">
        <f>AR96 + (AV96-AR96) * $AA96</f>
        <v>1.95</v>
      </c>
      <c r="AG96" s="32">
        <f>AS96 + (AW96-AS96) * $AA96</f>
        <v>1.675</v>
      </c>
      <c r="AH96" s="32">
        <f>AT96 + (AX96-AT96) * $AA96</f>
        <v>1.45</v>
      </c>
      <c r="AI96" s="32">
        <f>AU96 + (AY96-AU96) * $AA96</f>
        <v>1.2849999999999999</v>
      </c>
      <c r="AJ96" s="54">
        <f>VLOOKUP(AJ$5, $BA$6:$BV$10, $Y96+2)</f>
        <v>2.0499999999999998</v>
      </c>
      <c r="AK96" s="35">
        <f>VLOOKUP(AK$5, $BA$6:$BV$10, $Y96+2)</f>
        <v>1.7050000000000001</v>
      </c>
      <c r="AL96" s="35">
        <f>VLOOKUP(AL$5, $BA$6:$BV$10, $Y96+2)</f>
        <v>1.4450000000000001</v>
      </c>
      <c r="AM96" s="35">
        <f>VLOOKUP(AM$5, $BA$6:$BV$10, $Y96+2)</f>
        <v>1.28</v>
      </c>
      <c r="AN96" s="37">
        <f>VLOOKUP(AN$5, $BA$6:$BV$10, $Z96+2)</f>
        <v>2.125</v>
      </c>
      <c r="AO96" s="35">
        <f>VLOOKUP(AO$5, $BA$6:$BV$10, $Z96+2)</f>
        <v>1.758</v>
      </c>
      <c r="AP96" s="35">
        <f>VLOOKUP(AP$5, $BA$6:$BV$10, $Z96+2)</f>
        <v>1.4830000000000001</v>
      </c>
      <c r="AQ96" s="35">
        <f>VLOOKUP(AQ$5, $BA$6:$BV$10, $Z96+2)</f>
        <v>1.31</v>
      </c>
      <c r="AR96" s="37">
        <f>VLOOKUP(AR$5, $BA$12:$BV$16, $Y96+2)</f>
        <v>1.95</v>
      </c>
      <c r="AS96" s="35">
        <f>VLOOKUP(AS$5, $BA$12:$BV$16, $Y96+2)</f>
        <v>1.675</v>
      </c>
      <c r="AT96" s="35">
        <f>VLOOKUP(AT$5, $BA$12:$BV$16, $Y96+2)</f>
        <v>1.45</v>
      </c>
      <c r="AU96" s="35">
        <f>VLOOKUP(AU$5, $BA$12:$BV$16, $Y96+2)</f>
        <v>1.2849999999999999</v>
      </c>
      <c r="AV96" s="37">
        <f>VLOOKUP(AV$5, $BA$12:$BV$16, $Z96+2)</f>
        <v>2.0249999999999999</v>
      </c>
      <c r="AW96" s="35">
        <f>VLOOKUP(AW$5, $BA$12:$BV$16, $Z96+2)</f>
        <v>1.7330000000000001</v>
      </c>
      <c r="AX96" s="35">
        <f>VLOOKUP(AX$5, $BA$12:$BV$16, $Z96+2)</f>
        <v>1.4950000000000001</v>
      </c>
      <c r="AY96" s="35">
        <f>VLOOKUP(AY$5, $BA$12:$BV$16, $Z96+2)</f>
        <v>1.323</v>
      </c>
    </row>
    <row r="97" spans="23:51" x14ac:dyDescent="0.25">
      <c r="W97" s="30">
        <v>91</v>
      </c>
      <c r="X97" s="32">
        <f t="shared" si="7"/>
        <v>18.2</v>
      </c>
      <c r="Y97" s="32">
        <f t="shared" si="8"/>
        <v>18</v>
      </c>
      <c r="Z97" s="32">
        <f t="shared" si="9"/>
        <v>19</v>
      </c>
      <c r="AA97" s="32">
        <f>X97 - Y97</f>
        <v>0.19999999999999929</v>
      </c>
      <c r="AB97" s="50">
        <f>AJ97 + (AN97-AJ97) * $AA97</f>
        <v>2.0649999999999999</v>
      </c>
      <c r="AC97" s="32">
        <f>AK97 + (AO97-AK97) * $AA97</f>
        <v>1.7156</v>
      </c>
      <c r="AD97" s="32">
        <f>AL97 + (AP97-AL97) * $AA97</f>
        <v>1.4526000000000001</v>
      </c>
      <c r="AE97" s="32">
        <f>AM97 + (AQ97-AM97) * $AA97</f>
        <v>1.286</v>
      </c>
      <c r="AF97" s="44">
        <f>AR97 + (AV97-AR97) * $AA97</f>
        <v>1.9649999999999999</v>
      </c>
      <c r="AG97" s="32">
        <f>AS97 + (AW97-AS97) * $AA97</f>
        <v>1.6866000000000001</v>
      </c>
      <c r="AH97" s="32">
        <f>AT97 + (AX97-AT97) * $AA97</f>
        <v>1.4589999999999999</v>
      </c>
      <c r="AI97" s="32">
        <f>AU97 + (AY97-AU97) * $AA97</f>
        <v>1.2926</v>
      </c>
      <c r="AJ97" s="54">
        <f>VLOOKUP(AJ$5, $BA$6:$BV$10, $Y97+2)</f>
        <v>2.0499999999999998</v>
      </c>
      <c r="AK97" s="35">
        <f>VLOOKUP(AK$5, $BA$6:$BV$10, $Y97+2)</f>
        <v>1.7050000000000001</v>
      </c>
      <c r="AL97" s="35">
        <f>VLOOKUP(AL$5, $BA$6:$BV$10, $Y97+2)</f>
        <v>1.4450000000000001</v>
      </c>
      <c r="AM97" s="35">
        <f>VLOOKUP(AM$5, $BA$6:$BV$10, $Y97+2)</f>
        <v>1.28</v>
      </c>
      <c r="AN97" s="37">
        <f>VLOOKUP(AN$5, $BA$6:$BV$10, $Z97+2)</f>
        <v>2.125</v>
      </c>
      <c r="AO97" s="35">
        <f>VLOOKUP(AO$5, $BA$6:$BV$10, $Z97+2)</f>
        <v>1.758</v>
      </c>
      <c r="AP97" s="35">
        <f>VLOOKUP(AP$5, $BA$6:$BV$10, $Z97+2)</f>
        <v>1.4830000000000001</v>
      </c>
      <c r="AQ97" s="35">
        <f>VLOOKUP(AQ$5, $BA$6:$BV$10, $Z97+2)</f>
        <v>1.31</v>
      </c>
      <c r="AR97" s="37">
        <f>VLOOKUP(AR$5, $BA$12:$BV$16, $Y97+2)</f>
        <v>1.95</v>
      </c>
      <c r="AS97" s="35">
        <f>VLOOKUP(AS$5, $BA$12:$BV$16, $Y97+2)</f>
        <v>1.675</v>
      </c>
      <c r="AT97" s="35">
        <f>VLOOKUP(AT$5, $BA$12:$BV$16, $Y97+2)</f>
        <v>1.45</v>
      </c>
      <c r="AU97" s="35">
        <f>VLOOKUP(AU$5, $BA$12:$BV$16, $Y97+2)</f>
        <v>1.2849999999999999</v>
      </c>
      <c r="AV97" s="37">
        <f>VLOOKUP(AV$5, $BA$12:$BV$16, $Z97+2)</f>
        <v>2.0249999999999999</v>
      </c>
      <c r="AW97" s="35">
        <f>VLOOKUP(AW$5, $BA$12:$BV$16, $Z97+2)</f>
        <v>1.7330000000000001</v>
      </c>
      <c r="AX97" s="35">
        <f>VLOOKUP(AX$5, $BA$12:$BV$16, $Z97+2)</f>
        <v>1.4950000000000001</v>
      </c>
      <c r="AY97" s="35">
        <f>VLOOKUP(AY$5, $BA$12:$BV$16, $Z97+2)</f>
        <v>1.323</v>
      </c>
    </row>
    <row r="98" spans="23:51" x14ac:dyDescent="0.25">
      <c r="W98" s="30">
        <v>92</v>
      </c>
      <c r="X98" s="32">
        <f t="shared" si="7"/>
        <v>18.399999999999999</v>
      </c>
      <c r="Y98" s="32">
        <f t="shared" si="8"/>
        <v>18</v>
      </c>
      <c r="Z98" s="32">
        <f t="shared" si="9"/>
        <v>19</v>
      </c>
      <c r="AA98" s="32">
        <f>X98 - Y98</f>
        <v>0.39999999999999858</v>
      </c>
      <c r="AB98" s="50">
        <f>AJ98 + (AN98-AJ98) * $AA98</f>
        <v>2.0799999999999996</v>
      </c>
      <c r="AC98" s="32">
        <f>AK98 + (AO98-AK98) * $AA98</f>
        <v>1.7262</v>
      </c>
      <c r="AD98" s="32">
        <f>AL98 + (AP98-AL98) * $AA98</f>
        <v>1.4601999999999999</v>
      </c>
      <c r="AE98" s="32">
        <f>AM98 + (AQ98-AM98) * $AA98</f>
        <v>1.292</v>
      </c>
      <c r="AF98" s="44">
        <f>AR98 + (AV98-AR98) * $AA98</f>
        <v>1.9799999999999998</v>
      </c>
      <c r="AG98" s="32">
        <f>AS98 + (AW98-AS98) * $AA98</f>
        <v>1.6981999999999999</v>
      </c>
      <c r="AH98" s="32">
        <f>AT98 + (AX98-AT98) * $AA98</f>
        <v>1.468</v>
      </c>
      <c r="AI98" s="32">
        <f>AU98 + (AY98-AU98) * $AA98</f>
        <v>1.3001999999999998</v>
      </c>
      <c r="AJ98" s="54">
        <f>VLOOKUP(AJ$5, $BA$6:$BV$10, $Y98+2)</f>
        <v>2.0499999999999998</v>
      </c>
      <c r="AK98" s="35">
        <f>VLOOKUP(AK$5, $BA$6:$BV$10, $Y98+2)</f>
        <v>1.7050000000000001</v>
      </c>
      <c r="AL98" s="35">
        <f>VLOOKUP(AL$5, $BA$6:$BV$10, $Y98+2)</f>
        <v>1.4450000000000001</v>
      </c>
      <c r="AM98" s="35">
        <f>VLOOKUP(AM$5, $BA$6:$BV$10, $Y98+2)</f>
        <v>1.28</v>
      </c>
      <c r="AN98" s="37">
        <f>VLOOKUP(AN$5, $BA$6:$BV$10, $Z98+2)</f>
        <v>2.125</v>
      </c>
      <c r="AO98" s="35">
        <f>VLOOKUP(AO$5, $BA$6:$BV$10, $Z98+2)</f>
        <v>1.758</v>
      </c>
      <c r="AP98" s="35">
        <f>VLOOKUP(AP$5, $BA$6:$BV$10, $Z98+2)</f>
        <v>1.4830000000000001</v>
      </c>
      <c r="AQ98" s="35">
        <f>VLOOKUP(AQ$5, $BA$6:$BV$10, $Z98+2)</f>
        <v>1.31</v>
      </c>
      <c r="AR98" s="37">
        <f>VLOOKUP(AR$5, $BA$12:$BV$16, $Y98+2)</f>
        <v>1.95</v>
      </c>
      <c r="AS98" s="35">
        <f>VLOOKUP(AS$5, $BA$12:$BV$16, $Y98+2)</f>
        <v>1.675</v>
      </c>
      <c r="AT98" s="35">
        <f>VLOOKUP(AT$5, $BA$12:$BV$16, $Y98+2)</f>
        <v>1.45</v>
      </c>
      <c r="AU98" s="35">
        <f>VLOOKUP(AU$5, $BA$12:$BV$16, $Y98+2)</f>
        <v>1.2849999999999999</v>
      </c>
      <c r="AV98" s="37">
        <f>VLOOKUP(AV$5, $BA$12:$BV$16, $Z98+2)</f>
        <v>2.0249999999999999</v>
      </c>
      <c r="AW98" s="35">
        <f>VLOOKUP(AW$5, $BA$12:$BV$16, $Z98+2)</f>
        <v>1.7330000000000001</v>
      </c>
      <c r="AX98" s="35">
        <f>VLOOKUP(AX$5, $BA$12:$BV$16, $Z98+2)</f>
        <v>1.4950000000000001</v>
      </c>
      <c r="AY98" s="35">
        <f>VLOOKUP(AY$5, $BA$12:$BV$16, $Z98+2)</f>
        <v>1.323</v>
      </c>
    </row>
    <row r="99" spans="23:51" x14ac:dyDescent="0.25">
      <c r="W99" s="30">
        <v>93</v>
      </c>
      <c r="X99" s="32">
        <f t="shared" si="7"/>
        <v>18.600000000000001</v>
      </c>
      <c r="Y99" s="32">
        <f t="shared" si="8"/>
        <v>18</v>
      </c>
      <c r="Z99" s="32">
        <f t="shared" si="9"/>
        <v>19</v>
      </c>
      <c r="AA99" s="32">
        <f>X99 - Y99</f>
        <v>0.60000000000000142</v>
      </c>
      <c r="AB99" s="50">
        <f>AJ99 + (AN99-AJ99) * $AA99</f>
        <v>2.0950000000000002</v>
      </c>
      <c r="AC99" s="32">
        <f>AK99 + (AO99-AK99) * $AA99</f>
        <v>1.7368000000000001</v>
      </c>
      <c r="AD99" s="32">
        <f>AL99 + (AP99-AL99) * $AA99</f>
        <v>1.4678000000000002</v>
      </c>
      <c r="AE99" s="32">
        <f>AM99 + (AQ99-AM99) * $AA99</f>
        <v>1.298</v>
      </c>
      <c r="AF99" s="44">
        <f>AR99 + (AV99-AR99) * $AA99</f>
        <v>1.9950000000000001</v>
      </c>
      <c r="AG99" s="32">
        <f>AS99 + (AW99-AS99) * $AA99</f>
        <v>1.7098000000000002</v>
      </c>
      <c r="AH99" s="32">
        <f>AT99 + (AX99-AT99) * $AA99</f>
        <v>1.4770000000000001</v>
      </c>
      <c r="AI99" s="32">
        <f>AU99 + (AY99-AU99) * $AA99</f>
        <v>1.3078000000000001</v>
      </c>
      <c r="AJ99" s="54">
        <f>VLOOKUP(AJ$5, $BA$6:$BV$10, $Y99+2)</f>
        <v>2.0499999999999998</v>
      </c>
      <c r="AK99" s="35">
        <f>VLOOKUP(AK$5, $BA$6:$BV$10, $Y99+2)</f>
        <v>1.7050000000000001</v>
      </c>
      <c r="AL99" s="35">
        <f>VLOOKUP(AL$5, $BA$6:$BV$10, $Y99+2)</f>
        <v>1.4450000000000001</v>
      </c>
      <c r="AM99" s="35">
        <f>VLOOKUP(AM$5, $BA$6:$BV$10, $Y99+2)</f>
        <v>1.28</v>
      </c>
      <c r="AN99" s="37">
        <f>VLOOKUP(AN$5, $BA$6:$BV$10, $Z99+2)</f>
        <v>2.125</v>
      </c>
      <c r="AO99" s="35">
        <f>VLOOKUP(AO$5, $BA$6:$BV$10, $Z99+2)</f>
        <v>1.758</v>
      </c>
      <c r="AP99" s="35">
        <f>VLOOKUP(AP$5, $BA$6:$BV$10, $Z99+2)</f>
        <v>1.4830000000000001</v>
      </c>
      <c r="AQ99" s="35">
        <f>VLOOKUP(AQ$5, $BA$6:$BV$10, $Z99+2)</f>
        <v>1.31</v>
      </c>
      <c r="AR99" s="37">
        <f>VLOOKUP(AR$5, $BA$12:$BV$16, $Y99+2)</f>
        <v>1.95</v>
      </c>
      <c r="AS99" s="35">
        <f>VLOOKUP(AS$5, $BA$12:$BV$16, $Y99+2)</f>
        <v>1.675</v>
      </c>
      <c r="AT99" s="35">
        <f>VLOOKUP(AT$5, $BA$12:$BV$16, $Y99+2)</f>
        <v>1.45</v>
      </c>
      <c r="AU99" s="35">
        <f>VLOOKUP(AU$5, $BA$12:$BV$16, $Y99+2)</f>
        <v>1.2849999999999999</v>
      </c>
      <c r="AV99" s="37">
        <f>VLOOKUP(AV$5, $BA$12:$BV$16, $Z99+2)</f>
        <v>2.0249999999999999</v>
      </c>
      <c r="AW99" s="35">
        <f>VLOOKUP(AW$5, $BA$12:$BV$16, $Z99+2)</f>
        <v>1.7330000000000001</v>
      </c>
      <c r="AX99" s="35">
        <f>VLOOKUP(AX$5, $BA$12:$BV$16, $Z99+2)</f>
        <v>1.4950000000000001</v>
      </c>
      <c r="AY99" s="35">
        <f>VLOOKUP(AY$5, $BA$12:$BV$16, $Z99+2)</f>
        <v>1.323</v>
      </c>
    </row>
    <row r="100" spans="23:51" x14ac:dyDescent="0.25">
      <c r="W100" s="30">
        <v>94</v>
      </c>
      <c r="X100" s="32">
        <f t="shared" si="7"/>
        <v>18.8</v>
      </c>
      <c r="Y100" s="32">
        <f t="shared" si="8"/>
        <v>18</v>
      </c>
      <c r="Z100" s="32">
        <f t="shared" si="9"/>
        <v>19</v>
      </c>
      <c r="AA100" s="32">
        <f>X100 - Y100</f>
        <v>0.80000000000000071</v>
      </c>
      <c r="AB100" s="50">
        <f>AJ100 + (AN100-AJ100) * $AA100</f>
        <v>2.11</v>
      </c>
      <c r="AC100" s="32">
        <f>AK100 + (AO100-AK100) * $AA100</f>
        <v>1.7474000000000001</v>
      </c>
      <c r="AD100" s="32">
        <f>AL100 + (AP100-AL100) * $AA100</f>
        <v>1.4754</v>
      </c>
      <c r="AE100" s="32">
        <f>AM100 + (AQ100-AM100) * $AA100</f>
        <v>1.304</v>
      </c>
      <c r="AF100" s="44">
        <f>AR100 + (AV100-AR100) * $AA100</f>
        <v>2.0099999999999998</v>
      </c>
      <c r="AG100" s="32">
        <f>AS100 + (AW100-AS100) * $AA100</f>
        <v>1.7214</v>
      </c>
      <c r="AH100" s="32">
        <f>AT100 + (AX100-AT100) * $AA100</f>
        <v>1.4860000000000002</v>
      </c>
      <c r="AI100" s="32">
        <f>AU100 + (AY100-AU100) * $AA100</f>
        <v>1.3153999999999999</v>
      </c>
      <c r="AJ100" s="54">
        <f>VLOOKUP(AJ$5, $BA$6:$BV$10, $Y100+2)</f>
        <v>2.0499999999999998</v>
      </c>
      <c r="AK100" s="35">
        <f>VLOOKUP(AK$5, $BA$6:$BV$10, $Y100+2)</f>
        <v>1.7050000000000001</v>
      </c>
      <c r="AL100" s="35">
        <f>VLOOKUP(AL$5, $BA$6:$BV$10, $Y100+2)</f>
        <v>1.4450000000000001</v>
      </c>
      <c r="AM100" s="35">
        <f>VLOOKUP(AM$5, $BA$6:$BV$10, $Y100+2)</f>
        <v>1.28</v>
      </c>
      <c r="AN100" s="37">
        <f>VLOOKUP(AN$5, $BA$6:$BV$10, $Z100+2)</f>
        <v>2.125</v>
      </c>
      <c r="AO100" s="35">
        <f>VLOOKUP(AO$5, $BA$6:$BV$10, $Z100+2)</f>
        <v>1.758</v>
      </c>
      <c r="AP100" s="35">
        <f>VLOOKUP(AP$5, $BA$6:$BV$10, $Z100+2)</f>
        <v>1.4830000000000001</v>
      </c>
      <c r="AQ100" s="35">
        <f>VLOOKUP(AQ$5, $BA$6:$BV$10, $Z100+2)</f>
        <v>1.31</v>
      </c>
      <c r="AR100" s="37">
        <f>VLOOKUP(AR$5, $BA$12:$BV$16, $Y100+2)</f>
        <v>1.95</v>
      </c>
      <c r="AS100" s="35">
        <f>VLOOKUP(AS$5, $BA$12:$BV$16, $Y100+2)</f>
        <v>1.675</v>
      </c>
      <c r="AT100" s="35">
        <f>VLOOKUP(AT$5, $BA$12:$BV$16, $Y100+2)</f>
        <v>1.45</v>
      </c>
      <c r="AU100" s="35">
        <f>VLOOKUP(AU$5, $BA$12:$BV$16, $Y100+2)</f>
        <v>1.2849999999999999</v>
      </c>
      <c r="AV100" s="37">
        <f>VLOOKUP(AV$5, $BA$12:$BV$16, $Z100+2)</f>
        <v>2.0249999999999999</v>
      </c>
      <c r="AW100" s="35">
        <f>VLOOKUP(AW$5, $BA$12:$BV$16, $Z100+2)</f>
        <v>1.7330000000000001</v>
      </c>
      <c r="AX100" s="35">
        <f>VLOOKUP(AX$5, $BA$12:$BV$16, $Z100+2)</f>
        <v>1.4950000000000001</v>
      </c>
      <c r="AY100" s="35">
        <f>VLOOKUP(AY$5, $BA$12:$BV$16, $Z100+2)</f>
        <v>1.323</v>
      </c>
    </row>
    <row r="101" spans="23:51" x14ac:dyDescent="0.25">
      <c r="W101" s="30">
        <v>95</v>
      </c>
      <c r="X101" s="32">
        <f t="shared" si="7"/>
        <v>19</v>
      </c>
      <c r="Y101" s="32">
        <f t="shared" si="8"/>
        <v>19</v>
      </c>
      <c r="Z101" s="32">
        <f t="shared" si="9"/>
        <v>20</v>
      </c>
      <c r="AA101" s="32">
        <f>X101 - Y101</f>
        <v>0</v>
      </c>
      <c r="AB101" s="50">
        <f>AJ101 + (AN101-AJ101) * $AA101</f>
        <v>2.125</v>
      </c>
      <c r="AC101" s="32">
        <f>AK101 + (AO101-AK101) * $AA101</f>
        <v>1.758</v>
      </c>
      <c r="AD101" s="32">
        <f>AL101 + (AP101-AL101) * $AA101</f>
        <v>1.4830000000000001</v>
      </c>
      <c r="AE101" s="32">
        <f>AM101 + (AQ101-AM101) * $AA101</f>
        <v>1.31</v>
      </c>
      <c r="AF101" s="44">
        <f>AR101 + (AV101-AR101) * $AA101</f>
        <v>2.0249999999999999</v>
      </c>
      <c r="AG101" s="32">
        <f>AS101 + (AW101-AS101) * $AA101</f>
        <v>1.7330000000000001</v>
      </c>
      <c r="AH101" s="32">
        <f>AT101 + (AX101-AT101) * $AA101</f>
        <v>1.4950000000000001</v>
      </c>
      <c r="AI101" s="32">
        <f>AU101 + (AY101-AU101) * $AA101</f>
        <v>1.323</v>
      </c>
      <c r="AJ101" s="54">
        <f>VLOOKUP(AJ$5, $BA$6:$BV$10, $Y101+2)</f>
        <v>2.125</v>
      </c>
      <c r="AK101" s="35">
        <f>VLOOKUP(AK$5, $BA$6:$BV$10, $Y101+2)</f>
        <v>1.758</v>
      </c>
      <c r="AL101" s="35">
        <f>VLOOKUP(AL$5, $BA$6:$BV$10, $Y101+2)</f>
        <v>1.4830000000000001</v>
      </c>
      <c r="AM101" s="35">
        <f>VLOOKUP(AM$5, $BA$6:$BV$10, $Y101+2)</f>
        <v>1.31</v>
      </c>
      <c r="AN101" s="37">
        <f>VLOOKUP(AN$5, $BA$6:$BV$10, $Z101+2)</f>
        <v>2.2000000000000002</v>
      </c>
      <c r="AO101" s="35">
        <f>VLOOKUP(AO$5, $BA$6:$BV$10, $Z101+2)</f>
        <v>1.81</v>
      </c>
      <c r="AP101" s="35">
        <f>VLOOKUP(AP$5, $BA$6:$BV$10, $Z101+2)</f>
        <v>1.52</v>
      </c>
      <c r="AQ101" s="35">
        <f>VLOOKUP(AQ$5, $BA$6:$BV$10, $Z101+2)</f>
        <v>1.34</v>
      </c>
      <c r="AR101" s="37">
        <f>VLOOKUP(AR$5, $BA$12:$BV$16, $Y101+2)</f>
        <v>2.0249999999999999</v>
      </c>
      <c r="AS101" s="35">
        <f>VLOOKUP(AS$5, $BA$12:$BV$16, $Y101+2)</f>
        <v>1.7330000000000001</v>
      </c>
      <c r="AT101" s="35">
        <f>VLOOKUP(AT$5, $BA$12:$BV$16, $Y101+2)</f>
        <v>1.4950000000000001</v>
      </c>
      <c r="AU101" s="35">
        <f>VLOOKUP(AU$5, $BA$12:$BV$16, $Y101+2)</f>
        <v>1.323</v>
      </c>
      <c r="AV101" s="37">
        <f>VLOOKUP(AV$5, $BA$12:$BV$16, $Z101+2)</f>
        <v>2.1</v>
      </c>
      <c r="AW101" s="35">
        <f>VLOOKUP(AW$5, $BA$12:$BV$16, $Z101+2)</f>
        <v>1.79</v>
      </c>
      <c r="AX101" s="35">
        <f>VLOOKUP(AX$5, $BA$12:$BV$16, $Z101+2)</f>
        <v>1.54</v>
      </c>
      <c r="AY101" s="35">
        <f>VLOOKUP(AY$5, $BA$12:$BV$16, $Z101+2)</f>
        <v>1.36</v>
      </c>
    </row>
    <row r="102" spans="23:51" x14ac:dyDescent="0.25">
      <c r="W102" s="30">
        <v>96</v>
      </c>
      <c r="X102" s="32">
        <f t="shared" si="7"/>
        <v>19.2</v>
      </c>
      <c r="Y102" s="32">
        <f t="shared" si="8"/>
        <v>19</v>
      </c>
      <c r="Z102" s="32">
        <f t="shared" si="9"/>
        <v>20</v>
      </c>
      <c r="AA102" s="32">
        <f>X102 - Y102</f>
        <v>0.19999999999999929</v>
      </c>
      <c r="AB102" s="50">
        <f>AJ102 + (AN102-AJ102) * $AA102</f>
        <v>2.14</v>
      </c>
      <c r="AC102" s="32">
        <f>AK102 + (AO102-AK102) * $AA102</f>
        <v>1.7684</v>
      </c>
      <c r="AD102" s="32">
        <f>AL102 + (AP102-AL102) * $AA102</f>
        <v>1.4903999999999999</v>
      </c>
      <c r="AE102" s="32">
        <f>AM102 + (AQ102-AM102) * $AA102</f>
        <v>1.3160000000000001</v>
      </c>
      <c r="AF102" s="44">
        <f>AR102 + (AV102-AR102) * $AA102</f>
        <v>2.04</v>
      </c>
      <c r="AG102" s="32">
        <f>AS102 + (AW102-AS102) * $AA102</f>
        <v>1.7444</v>
      </c>
      <c r="AH102" s="32">
        <f>AT102 + (AX102-AT102) * $AA102</f>
        <v>1.504</v>
      </c>
      <c r="AI102" s="32">
        <f>AU102 + (AY102-AU102) * $AA102</f>
        <v>1.3304</v>
      </c>
      <c r="AJ102" s="54">
        <f>VLOOKUP(AJ$5, $BA$6:$BV$10, $Y102+2)</f>
        <v>2.125</v>
      </c>
      <c r="AK102" s="35">
        <f>VLOOKUP(AK$5, $BA$6:$BV$10, $Y102+2)</f>
        <v>1.758</v>
      </c>
      <c r="AL102" s="35">
        <f>VLOOKUP(AL$5, $BA$6:$BV$10, $Y102+2)</f>
        <v>1.4830000000000001</v>
      </c>
      <c r="AM102" s="35">
        <f>VLOOKUP(AM$5, $BA$6:$BV$10, $Y102+2)</f>
        <v>1.31</v>
      </c>
      <c r="AN102" s="37">
        <f>VLOOKUP(AN$5, $BA$6:$BV$10, $Z102+2)</f>
        <v>2.2000000000000002</v>
      </c>
      <c r="AO102" s="35">
        <f>VLOOKUP(AO$5, $BA$6:$BV$10, $Z102+2)</f>
        <v>1.81</v>
      </c>
      <c r="AP102" s="35">
        <f>VLOOKUP(AP$5, $BA$6:$BV$10, $Z102+2)</f>
        <v>1.52</v>
      </c>
      <c r="AQ102" s="35">
        <f>VLOOKUP(AQ$5, $BA$6:$BV$10, $Z102+2)</f>
        <v>1.34</v>
      </c>
      <c r="AR102" s="37">
        <f>VLOOKUP(AR$5, $BA$12:$BV$16, $Y102+2)</f>
        <v>2.0249999999999999</v>
      </c>
      <c r="AS102" s="35">
        <f>VLOOKUP(AS$5, $BA$12:$BV$16, $Y102+2)</f>
        <v>1.7330000000000001</v>
      </c>
      <c r="AT102" s="35">
        <f>VLOOKUP(AT$5, $BA$12:$BV$16, $Y102+2)</f>
        <v>1.4950000000000001</v>
      </c>
      <c r="AU102" s="35">
        <f>VLOOKUP(AU$5, $BA$12:$BV$16, $Y102+2)</f>
        <v>1.323</v>
      </c>
      <c r="AV102" s="37">
        <f>VLOOKUP(AV$5, $BA$12:$BV$16, $Z102+2)</f>
        <v>2.1</v>
      </c>
      <c r="AW102" s="35">
        <f>VLOOKUP(AW$5, $BA$12:$BV$16, $Z102+2)</f>
        <v>1.79</v>
      </c>
      <c r="AX102" s="35">
        <f>VLOOKUP(AX$5, $BA$12:$BV$16, $Z102+2)</f>
        <v>1.54</v>
      </c>
      <c r="AY102" s="35">
        <f>VLOOKUP(AY$5, $BA$12:$BV$16, $Z102+2)</f>
        <v>1.36</v>
      </c>
    </row>
    <row r="103" spans="23:51" x14ac:dyDescent="0.25">
      <c r="W103" s="30">
        <v>97</v>
      </c>
      <c r="X103" s="32">
        <f t="shared" si="7"/>
        <v>19.399999999999999</v>
      </c>
      <c r="Y103" s="32">
        <f t="shared" si="8"/>
        <v>19</v>
      </c>
      <c r="Z103" s="32">
        <f t="shared" si="9"/>
        <v>20</v>
      </c>
      <c r="AA103" s="32">
        <f>X103 - Y103</f>
        <v>0.39999999999999858</v>
      </c>
      <c r="AB103" s="50">
        <f>AJ103 + (AN103-AJ103) * $AA103</f>
        <v>2.1549999999999998</v>
      </c>
      <c r="AC103" s="32">
        <f>AK103 + (AO103-AK103) * $AA103</f>
        <v>1.7787999999999999</v>
      </c>
      <c r="AD103" s="32">
        <f>AL103 + (AP103-AL103) * $AA103</f>
        <v>1.4978</v>
      </c>
      <c r="AE103" s="32">
        <f>AM103 + (AQ103-AM103) * $AA103</f>
        <v>1.3220000000000001</v>
      </c>
      <c r="AF103" s="44">
        <f>AR103 + (AV103-AR103) * $AA103</f>
        <v>2.0549999999999997</v>
      </c>
      <c r="AG103" s="32">
        <f>AS103 + (AW103-AS103) * $AA103</f>
        <v>1.7558</v>
      </c>
      <c r="AH103" s="32">
        <f>AT103 + (AX103-AT103) * $AA103</f>
        <v>1.5130000000000001</v>
      </c>
      <c r="AI103" s="32">
        <f>AU103 + (AY103-AU103) * $AA103</f>
        <v>1.3377999999999999</v>
      </c>
      <c r="AJ103" s="54">
        <f>VLOOKUP(AJ$5, $BA$6:$BV$10, $Y103+2)</f>
        <v>2.125</v>
      </c>
      <c r="AK103" s="35">
        <f>VLOOKUP(AK$5, $BA$6:$BV$10, $Y103+2)</f>
        <v>1.758</v>
      </c>
      <c r="AL103" s="35">
        <f>VLOOKUP(AL$5, $BA$6:$BV$10, $Y103+2)</f>
        <v>1.4830000000000001</v>
      </c>
      <c r="AM103" s="35">
        <f>VLOOKUP(AM$5, $BA$6:$BV$10, $Y103+2)</f>
        <v>1.31</v>
      </c>
      <c r="AN103" s="37">
        <f>VLOOKUP(AN$5, $BA$6:$BV$10, $Z103+2)</f>
        <v>2.2000000000000002</v>
      </c>
      <c r="AO103" s="35">
        <f>VLOOKUP(AO$5, $BA$6:$BV$10, $Z103+2)</f>
        <v>1.81</v>
      </c>
      <c r="AP103" s="35">
        <f>VLOOKUP(AP$5, $BA$6:$BV$10, $Z103+2)</f>
        <v>1.52</v>
      </c>
      <c r="AQ103" s="35">
        <f>VLOOKUP(AQ$5, $BA$6:$BV$10, $Z103+2)</f>
        <v>1.34</v>
      </c>
      <c r="AR103" s="37">
        <f>VLOOKUP(AR$5, $BA$12:$BV$16, $Y103+2)</f>
        <v>2.0249999999999999</v>
      </c>
      <c r="AS103" s="35">
        <f>VLOOKUP(AS$5, $BA$12:$BV$16, $Y103+2)</f>
        <v>1.7330000000000001</v>
      </c>
      <c r="AT103" s="35">
        <f>VLOOKUP(AT$5, $BA$12:$BV$16, $Y103+2)</f>
        <v>1.4950000000000001</v>
      </c>
      <c r="AU103" s="35">
        <f>VLOOKUP(AU$5, $BA$12:$BV$16, $Y103+2)</f>
        <v>1.323</v>
      </c>
      <c r="AV103" s="37">
        <f>VLOOKUP(AV$5, $BA$12:$BV$16, $Z103+2)</f>
        <v>2.1</v>
      </c>
      <c r="AW103" s="35">
        <f>VLOOKUP(AW$5, $BA$12:$BV$16, $Z103+2)</f>
        <v>1.79</v>
      </c>
      <c r="AX103" s="35">
        <f>VLOOKUP(AX$5, $BA$12:$BV$16, $Z103+2)</f>
        <v>1.54</v>
      </c>
      <c r="AY103" s="35">
        <f>VLOOKUP(AY$5, $BA$12:$BV$16, $Z103+2)</f>
        <v>1.36</v>
      </c>
    </row>
    <row r="104" spans="23:51" x14ac:dyDescent="0.25">
      <c r="W104" s="30">
        <v>98</v>
      </c>
      <c r="X104" s="32">
        <f t="shared" si="7"/>
        <v>19.600000000000001</v>
      </c>
      <c r="Y104" s="32">
        <f t="shared" si="8"/>
        <v>19</v>
      </c>
      <c r="Z104" s="32">
        <f t="shared" si="9"/>
        <v>20</v>
      </c>
      <c r="AA104" s="32">
        <f>X104 - Y104</f>
        <v>0.60000000000000142</v>
      </c>
      <c r="AB104" s="50">
        <f>AJ104 + (AN104-AJ104) * $AA104</f>
        <v>2.1700000000000004</v>
      </c>
      <c r="AC104" s="32">
        <f>AK104 + (AO104-AK104) * $AA104</f>
        <v>1.7892000000000001</v>
      </c>
      <c r="AD104" s="32">
        <f>AL104 + (AP104-AL104) * $AA104</f>
        <v>1.5052000000000001</v>
      </c>
      <c r="AE104" s="32">
        <f>AM104 + (AQ104-AM104) * $AA104</f>
        <v>1.3280000000000001</v>
      </c>
      <c r="AF104" s="44">
        <f>AR104 + (AV104-AR104) * $AA104</f>
        <v>2.0700000000000003</v>
      </c>
      <c r="AG104" s="32">
        <f>AS104 + (AW104-AS104) * $AA104</f>
        <v>1.7672000000000001</v>
      </c>
      <c r="AH104" s="32">
        <f>AT104 + (AX104-AT104) * $AA104</f>
        <v>1.522</v>
      </c>
      <c r="AI104" s="32">
        <f>AU104 + (AY104-AU104) * $AA104</f>
        <v>1.3452000000000002</v>
      </c>
      <c r="AJ104" s="54">
        <f>VLOOKUP(AJ$5, $BA$6:$BV$10, $Y104+2)</f>
        <v>2.125</v>
      </c>
      <c r="AK104" s="35">
        <f>VLOOKUP(AK$5, $BA$6:$BV$10, $Y104+2)</f>
        <v>1.758</v>
      </c>
      <c r="AL104" s="35">
        <f>VLOOKUP(AL$5, $BA$6:$BV$10, $Y104+2)</f>
        <v>1.4830000000000001</v>
      </c>
      <c r="AM104" s="35">
        <f>VLOOKUP(AM$5, $BA$6:$BV$10, $Y104+2)</f>
        <v>1.31</v>
      </c>
      <c r="AN104" s="37">
        <f>VLOOKUP(AN$5, $BA$6:$BV$10, $Z104+2)</f>
        <v>2.2000000000000002</v>
      </c>
      <c r="AO104" s="35">
        <f>VLOOKUP(AO$5, $BA$6:$BV$10, $Z104+2)</f>
        <v>1.81</v>
      </c>
      <c r="AP104" s="35">
        <f>VLOOKUP(AP$5, $BA$6:$BV$10, $Z104+2)</f>
        <v>1.52</v>
      </c>
      <c r="AQ104" s="35">
        <f>VLOOKUP(AQ$5, $BA$6:$BV$10, $Z104+2)</f>
        <v>1.34</v>
      </c>
      <c r="AR104" s="37">
        <f>VLOOKUP(AR$5, $BA$12:$BV$16, $Y104+2)</f>
        <v>2.0249999999999999</v>
      </c>
      <c r="AS104" s="35">
        <f>VLOOKUP(AS$5, $BA$12:$BV$16, $Y104+2)</f>
        <v>1.7330000000000001</v>
      </c>
      <c r="AT104" s="35">
        <f>VLOOKUP(AT$5, $BA$12:$BV$16, $Y104+2)</f>
        <v>1.4950000000000001</v>
      </c>
      <c r="AU104" s="35">
        <f>VLOOKUP(AU$5, $BA$12:$BV$16, $Y104+2)</f>
        <v>1.323</v>
      </c>
      <c r="AV104" s="37">
        <f>VLOOKUP(AV$5, $BA$12:$BV$16, $Z104+2)</f>
        <v>2.1</v>
      </c>
      <c r="AW104" s="35">
        <f>VLOOKUP(AW$5, $BA$12:$BV$16, $Z104+2)</f>
        <v>1.79</v>
      </c>
      <c r="AX104" s="35">
        <f>VLOOKUP(AX$5, $BA$12:$BV$16, $Z104+2)</f>
        <v>1.54</v>
      </c>
      <c r="AY104" s="35">
        <f>VLOOKUP(AY$5, $BA$12:$BV$16, $Z104+2)</f>
        <v>1.36</v>
      </c>
    </row>
    <row r="105" spans="23:51" x14ac:dyDescent="0.25">
      <c r="W105" s="30">
        <v>99</v>
      </c>
      <c r="X105" s="32">
        <f t="shared" si="7"/>
        <v>19.8</v>
      </c>
      <c r="Y105" s="32">
        <f t="shared" si="8"/>
        <v>19</v>
      </c>
      <c r="Z105" s="32">
        <f t="shared" si="9"/>
        <v>20</v>
      </c>
      <c r="AA105" s="32">
        <f>X105 - Y105</f>
        <v>0.80000000000000071</v>
      </c>
      <c r="AB105" s="50">
        <f>AJ105 + (AN105-AJ105) * $AA105</f>
        <v>2.1850000000000001</v>
      </c>
      <c r="AC105" s="32">
        <f>AK105 + (AO105-AK105) * $AA105</f>
        <v>1.7996000000000001</v>
      </c>
      <c r="AD105" s="32">
        <f>AL105 + (AP105-AL105) * $AA105</f>
        <v>1.5126000000000002</v>
      </c>
      <c r="AE105" s="32">
        <f>AM105 + (AQ105-AM105) * $AA105</f>
        <v>1.3340000000000001</v>
      </c>
      <c r="AF105" s="44">
        <f>AR105 + (AV105-AR105) * $AA105</f>
        <v>2.085</v>
      </c>
      <c r="AG105" s="32">
        <f>AS105 + (AW105-AS105) * $AA105</f>
        <v>1.7786000000000002</v>
      </c>
      <c r="AH105" s="32">
        <f>AT105 + (AX105-AT105) * $AA105</f>
        <v>1.5310000000000001</v>
      </c>
      <c r="AI105" s="32">
        <f>AU105 + (AY105-AU105) * $AA105</f>
        <v>1.3526</v>
      </c>
      <c r="AJ105" s="54">
        <f>VLOOKUP(AJ$5, $BA$6:$BV$10, $Y105+2)</f>
        <v>2.125</v>
      </c>
      <c r="AK105" s="35">
        <f>VLOOKUP(AK$5, $BA$6:$BV$10, $Y105+2)</f>
        <v>1.758</v>
      </c>
      <c r="AL105" s="35">
        <f>VLOOKUP(AL$5, $BA$6:$BV$10, $Y105+2)</f>
        <v>1.4830000000000001</v>
      </c>
      <c r="AM105" s="35">
        <f>VLOOKUP(AM$5, $BA$6:$BV$10, $Y105+2)</f>
        <v>1.31</v>
      </c>
      <c r="AN105" s="37">
        <f>VLOOKUP(AN$5, $BA$6:$BV$10, $Z105+2)</f>
        <v>2.2000000000000002</v>
      </c>
      <c r="AO105" s="35">
        <f>VLOOKUP(AO$5, $BA$6:$BV$10, $Z105+2)</f>
        <v>1.81</v>
      </c>
      <c r="AP105" s="35">
        <f>VLOOKUP(AP$5, $BA$6:$BV$10, $Z105+2)</f>
        <v>1.52</v>
      </c>
      <c r="AQ105" s="35">
        <f>VLOOKUP(AQ$5, $BA$6:$BV$10, $Z105+2)</f>
        <v>1.34</v>
      </c>
      <c r="AR105" s="37">
        <f>VLOOKUP(AR$5, $BA$12:$BV$16, $Y105+2)</f>
        <v>2.0249999999999999</v>
      </c>
      <c r="AS105" s="35">
        <f>VLOOKUP(AS$5, $BA$12:$BV$16, $Y105+2)</f>
        <v>1.7330000000000001</v>
      </c>
      <c r="AT105" s="35">
        <f>VLOOKUP(AT$5, $BA$12:$BV$16, $Y105+2)</f>
        <v>1.4950000000000001</v>
      </c>
      <c r="AU105" s="35">
        <f>VLOOKUP(AU$5, $BA$12:$BV$16, $Y105+2)</f>
        <v>1.323</v>
      </c>
      <c r="AV105" s="37">
        <f>VLOOKUP(AV$5, $BA$12:$BV$16, $Z105+2)</f>
        <v>2.1</v>
      </c>
      <c r="AW105" s="35">
        <f>VLOOKUP(AW$5, $BA$12:$BV$16, $Z105+2)</f>
        <v>1.79</v>
      </c>
      <c r="AX105" s="35">
        <f>VLOOKUP(AX$5, $BA$12:$BV$16, $Z105+2)</f>
        <v>1.54</v>
      </c>
      <c r="AY105" s="35">
        <f>VLOOKUP(AY$5, $BA$12:$BV$16, $Z105+2)</f>
        <v>1.36</v>
      </c>
    </row>
    <row r="106" spans="23:51" x14ac:dyDescent="0.25">
      <c r="W106" s="30">
        <v>100</v>
      </c>
      <c r="X106" s="32">
        <f t="shared" si="7"/>
        <v>20</v>
      </c>
      <c r="Y106" s="32">
        <f t="shared" si="8"/>
        <v>20</v>
      </c>
      <c r="Z106" s="32">
        <f t="shared" si="9"/>
        <v>20</v>
      </c>
      <c r="AA106" s="32">
        <f>X106 - Y106</f>
        <v>0</v>
      </c>
      <c r="AB106" s="50">
        <f>AJ106 + (AN106-AJ106) * $AA106</f>
        <v>2.2000000000000002</v>
      </c>
      <c r="AC106" s="32">
        <f>AK106 + (AO106-AK106) * $AA106</f>
        <v>1.81</v>
      </c>
      <c r="AD106" s="32">
        <f>AL106 + (AP106-AL106) * $AA106</f>
        <v>1.52</v>
      </c>
      <c r="AE106" s="32">
        <f>AM106 + (AQ106-AM106) * $AA106</f>
        <v>1.34</v>
      </c>
      <c r="AF106" s="44">
        <f>AR106 + (AV106-AR106) * $AA106</f>
        <v>2.1</v>
      </c>
      <c r="AG106" s="32">
        <f>AS106 + (AW106-AS106) * $AA106</f>
        <v>1.79</v>
      </c>
      <c r="AH106" s="32">
        <f>AT106 + (AX106-AT106) * $AA106</f>
        <v>1.54</v>
      </c>
      <c r="AI106" s="32">
        <f>AU106 + (AY106-AU106) * $AA106</f>
        <v>1.36</v>
      </c>
      <c r="AJ106" s="54">
        <f>VLOOKUP(AJ$5, $BA$6:$BV$10, $Y106+2)</f>
        <v>2.2000000000000002</v>
      </c>
      <c r="AK106" s="35">
        <f>VLOOKUP(AK$5, $BA$6:$BV$10, $Y106+2)</f>
        <v>1.81</v>
      </c>
      <c r="AL106" s="35">
        <f>VLOOKUP(AL$5, $BA$6:$BV$10, $Y106+2)</f>
        <v>1.52</v>
      </c>
      <c r="AM106" s="35">
        <f>VLOOKUP(AM$5, $BA$6:$BV$10, $Y106+2)</f>
        <v>1.34</v>
      </c>
      <c r="AN106" s="37">
        <f>VLOOKUP(AN$5, $BA$6:$BV$10, $Z106+2)</f>
        <v>2.2000000000000002</v>
      </c>
      <c r="AO106" s="35">
        <f>VLOOKUP(AO$5, $BA$6:$BV$10, $Z106+2)</f>
        <v>1.81</v>
      </c>
      <c r="AP106" s="35">
        <f>VLOOKUP(AP$5, $BA$6:$BV$10, $Z106+2)</f>
        <v>1.52</v>
      </c>
      <c r="AQ106" s="35">
        <f>VLOOKUP(AQ$5, $BA$6:$BV$10, $Z106+2)</f>
        <v>1.34</v>
      </c>
      <c r="AR106" s="37">
        <f>VLOOKUP(AR$5, $BA$12:$BV$16, $Y106+2)</f>
        <v>2.1</v>
      </c>
      <c r="AS106" s="35">
        <f>VLOOKUP(AS$5, $BA$12:$BV$16, $Y106+2)</f>
        <v>1.79</v>
      </c>
      <c r="AT106" s="35">
        <f>VLOOKUP(AT$5, $BA$12:$BV$16, $Y106+2)</f>
        <v>1.54</v>
      </c>
      <c r="AU106" s="35">
        <f>VLOOKUP(AU$5, $BA$12:$BV$16, $Y106+2)</f>
        <v>1.36</v>
      </c>
      <c r="AV106" s="37">
        <f>VLOOKUP(AV$5, $BA$12:$BV$16, $Z106+2)</f>
        <v>2.1</v>
      </c>
      <c r="AW106" s="35">
        <f>VLOOKUP(AW$5, $BA$12:$BV$16, $Z106+2)</f>
        <v>1.79</v>
      </c>
      <c r="AX106" s="35">
        <f>VLOOKUP(AX$5, $BA$12:$BV$16, $Z106+2)</f>
        <v>1.54</v>
      </c>
      <c r="AY106" s="35">
        <f>VLOOKUP(AY$5, $BA$12:$BV$16, $Z106+2)</f>
        <v>1.36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4783-E743-4BAD-B84F-25F4AD389487}">
  <sheetPr>
    <tabColor rgb="FFFFFFCC"/>
  </sheetPr>
  <dimension ref="A1:CU38"/>
  <sheetViews>
    <sheetView topLeftCell="X1" zoomScale="80" zoomScaleNormal="80" workbookViewId="0">
      <selection activeCell="J41" sqref="J41"/>
    </sheetView>
  </sheetViews>
  <sheetFormatPr defaultRowHeight="15" x14ac:dyDescent="0.25"/>
  <cols>
    <col min="1" max="1" width="11.7109375" style="3" customWidth="1"/>
    <col min="2" max="22" width="11" style="3" customWidth="1"/>
    <col min="23" max="23" width="14.85546875" style="3" customWidth="1"/>
    <col min="24" max="24" width="6.42578125" style="3" customWidth="1"/>
    <col min="25" max="25" width="10.85546875" style="3" bestFit="1" customWidth="1"/>
    <col min="26" max="29" width="7.85546875" style="3" customWidth="1"/>
    <col min="30" max="30" width="2.5703125" style="3" customWidth="1"/>
    <col min="31" max="31" width="9.140625" style="3"/>
    <col min="32" max="35" width="7.85546875" style="3" customWidth="1"/>
    <col min="36" max="41" width="9.140625" style="3"/>
    <col min="42" max="42" width="1.5703125" style="3" customWidth="1"/>
    <col min="43" max="43" width="9.140625" style="3"/>
    <col min="44" max="47" width="7.85546875" style="3" customWidth="1"/>
    <col min="48" max="55" width="9.140625" style="3"/>
    <col min="56" max="56" width="6.42578125" style="3" customWidth="1"/>
    <col min="57" max="57" width="10.85546875" style="3" bestFit="1" customWidth="1"/>
    <col min="58" max="61" width="7.85546875" style="3" customWidth="1"/>
    <col min="62" max="62" width="2.5703125" style="3" customWidth="1"/>
    <col min="63" max="63" width="9.140625" style="3"/>
    <col min="64" max="67" width="7.85546875" style="3" customWidth="1"/>
    <col min="68" max="73" width="9.140625" style="3"/>
    <col min="74" max="74" width="1.5703125" style="3" customWidth="1"/>
    <col min="75" max="75" width="9.140625" style="3"/>
    <col min="76" max="79" width="7.85546875" style="3" customWidth="1"/>
    <col min="80" max="16384" width="9.140625" style="3"/>
  </cols>
  <sheetData>
    <row r="1" spans="1:99" s="1" customFormat="1" ht="23.25" x14ac:dyDescent="0.35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X1" s="6" t="s">
        <v>26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D1" s="6" t="s">
        <v>27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J1" s="6" t="s">
        <v>28</v>
      </c>
      <c r="CK1" s="6"/>
      <c r="CL1" s="6"/>
      <c r="CM1" s="6"/>
      <c r="CN1" s="6"/>
      <c r="CO1" s="6"/>
      <c r="CP1" s="6"/>
      <c r="CQ1" s="6"/>
      <c r="CR1" s="6"/>
    </row>
    <row r="4" spans="1:99" x14ac:dyDescent="0.25">
      <c r="A4" s="9" t="s">
        <v>56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X4" s="9" t="s">
        <v>56</v>
      </c>
      <c r="Y4" s="10"/>
      <c r="Z4" s="10"/>
      <c r="AA4" s="9"/>
      <c r="AB4" s="10"/>
      <c r="AC4" s="9"/>
      <c r="BD4" s="9" t="s">
        <v>56</v>
      </c>
      <c r="BE4" s="10"/>
      <c r="BF4" s="10"/>
      <c r="BG4" s="9"/>
      <c r="BH4" s="10"/>
      <c r="BI4" s="9"/>
      <c r="CJ4" s="26" t="s">
        <v>29</v>
      </c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</row>
    <row r="5" spans="1:99" x14ac:dyDescent="0.25">
      <c r="A5" s="11"/>
      <c r="B5" s="12">
        <v>0</v>
      </c>
      <c r="C5" s="12">
        <v>5</v>
      </c>
      <c r="D5" s="12">
        <v>10</v>
      </c>
      <c r="E5" s="12">
        <v>15</v>
      </c>
      <c r="F5" s="12">
        <v>20</v>
      </c>
      <c r="G5" s="12">
        <v>25</v>
      </c>
      <c r="H5" s="12">
        <v>30</v>
      </c>
      <c r="I5" s="12">
        <v>35</v>
      </c>
      <c r="J5" s="12">
        <v>40</v>
      </c>
      <c r="K5" s="12">
        <v>45</v>
      </c>
      <c r="L5" s="12">
        <v>50</v>
      </c>
      <c r="M5" s="12">
        <v>55</v>
      </c>
      <c r="N5" s="12">
        <v>60</v>
      </c>
      <c r="O5" s="12">
        <v>65</v>
      </c>
      <c r="P5" s="12">
        <v>70</v>
      </c>
      <c r="Q5" s="12">
        <v>75</v>
      </c>
      <c r="R5" s="12">
        <v>80</v>
      </c>
      <c r="S5" s="12">
        <v>85</v>
      </c>
      <c r="T5" s="12">
        <v>90</v>
      </c>
      <c r="U5" s="12">
        <v>95</v>
      </c>
      <c r="V5" s="12">
        <v>100</v>
      </c>
      <c r="X5" s="10"/>
      <c r="Y5" s="10"/>
      <c r="Z5" s="36" t="s">
        <v>31</v>
      </c>
      <c r="AA5" s="36"/>
      <c r="AB5" s="36"/>
      <c r="AC5" s="36"/>
      <c r="BD5" s="10"/>
      <c r="BE5" s="10"/>
      <c r="BF5" s="36" t="s">
        <v>31</v>
      </c>
      <c r="BG5" s="36"/>
      <c r="BH5" s="36"/>
      <c r="BI5" s="36"/>
      <c r="CJ5" s="7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</row>
    <row r="6" spans="1:99" x14ac:dyDescent="0.25">
      <c r="A6" s="4" t="s">
        <v>24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  <c r="O6" s="4" t="s">
        <v>45</v>
      </c>
      <c r="P6" s="4" t="s">
        <v>46</v>
      </c>
      <c r="Q6" s="4" t="s">
        <v>47</v>
      </c>
      <c r="R6" s="4" t="s">
        <v>48</v>
      </c>
      <c r="S6" s="4" t="s">
        <v>49</v>
      </c>
      <c r="T6" s="4" t="s">
        <v>50</v>
      </c>
      <c r="U6" s="4" t="s">
        <v>51</v>
      </c>
      <c r="V6" s="4" t="s">
        <v>52</v>
      </c>
      <c r="X6" s="4"/>
      <c r="Y6" s="4"/>
      <c r="Z6" s="13">
        <v>2400</v>
      </c>
      <c r="AA6" s="13">
        <v>2100</v>
      </c>
      <c r="AB6" s="13">
        <v>1800</v>
      </c>
      <c r="AC6" s="13">
        <v>1500</v>
      </c>
      <c r="BD6" s="4"/>
      <c r="BE6" s="4"/>
      <c r="BF6" s="13">
        <v>2400</v>
      </c>
      <c r="BG6" s="13">
        <v>2100</v>
      </c>
      <c r="BH6" s="13">
        <v>1800</v>
      </c>
      <c r="BI6" s="13">
        <v>1500</v>
      </c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</row>
    <row r="7" spans="1:99" x14ac:dyDescent="0.25">
      <c r="A7" s="13">
        <v>1500</v>
      </c>
      <c r="B7" s="15">
        <f>INDEX(Z7:AC12, MATCH(B5, X7:X12, 0),  MATCH(A7, Z6:AC6, 0))</f>
        <v>1</v>
      </c>
      <c r="C7" s="16">
        <f>ROUND( (F7-B7)/(F5-B5)*(C5-B5) + B7, 3)</f>
        <v>1.0549999999999999</v>
      </c>
      <c r="D7" s="16">
        <f>ROUND( (F7-B7)/(F5-B5)*(D5-B5) + B7, 3)</f>
        <v>1.1100000000000001</v>
      </c>
      <c r="E7" s="16">
        <f>ROUND( (F7-B7)/(F5-B5)*(E5-B5) + B7, 3)</f>
        <v>1.165</v>
      </c>
      <c r="F7" s="15">
        <f>INDEX(Z7:AC12, MATCH(F5, X7:X12, 0),  MATCH(A7, Z6:AC6, 0))</f>
        <v>1.22</v>
      </c>
      <c r="G7" s="16">
        <f>ROUND( (J7-F7)/(J5-F5)*(G5-F5) + F7, 3)</f>
        <v>1.2729999999999999</v>
      </c>
      <c r="H7" s="16">
        <f>ROUND( (J7-F7)/(J5-F5)*(H5-F5) + F7, 3)</f>
        <v>1.325</v>
      </c>
      <c r="I7" s="16">
        <f>ROUND( (J7-F7)/(J5-F5)*(I5-F5) + F7, 3)</f>
        <v>1.3779999999999999</v>
      </c>
      <c r="J7" s="15">
        <f>INDEX(Z7:AC12, MATCH(J5, X7:X12, 0),  MATCH(A7, Z6:AC6, 0))</f>
        <v>1.43</v>
      </c>
      <c r="K7" s="16">
        <f>ROUND( (N7-J7)/(N5-J5)*(K5-J5) + J7, 3)</f>
        <v>1.4850000000000001</v>
      </c>
      <c r="L7" s="16">
        <f>ROUND( (N7-J7)/(N5-J5)*(L5-J5) + J7, 3)</f>
        <v>1.54</v>
      </c>
      <c r="M7" s="16">
        <f>ROUND( (N7-J7)/(N5-J5)*(M5-J5) + J7, 3)</f>
        <v>1.595</v>
      </c>
      <c r="N7" s="15">
        <f>INDEX(Z7:AC12, MATCH(N5, X7:X12, 0),  MATCH(A7, Z6:AC6, 0))</f>
        <v>1.65</v>
      </c>
      <c r="O7" s="16">
        <f>ROUND( (R7-N7)/(R5-N5)*(O5-N5) + N7, 3)</f>
        <v>1.7130000000000001</v>
      </c>
      <c r="P7" s="16">
        <f>ROUND( (R7-N7)/(R5-N5)*(P5-N5) + N7, 3)</f>
        <v>1.7749999999999999</v>
      </c>
      <c r="Q7" s="16">
        <f>ROUND( (R7-N7)/(R5-N5)*(Q5-N5) + N7, 3)</f>
        <v>1.8380000000000001</v>
      </c>
      <c r="R7" s="15">
        <f>INDEX(Z7:AC12, MATCH(R5, X7:X12, 0),  MATCH(A7, Z6:AC6, 0))</f>
        <v>1.9</v>
      </c>
      <c r="S7" s="16">
        <f>ROUND( (V7-R7)/(V5-R5)*(S5-R5) + R7, 3)</f>
        <v>1.9750000000000001</v>
      </c>
      <c r="T7" s="16">
        <f>ROUND( (V7-R7)/(V5-R5)*(T5-R5) + R7, 3)</f>
        <v>2.0499999999999998</v>
      </c>
      <c r="U7" s="16">
        <f>ROUND( (V7-R7)/(V5-R5)*(U5-R5) + R7, 3)</f>
        <v>2.125</v>
      </c>
      <c r="V7" s="15">
        <f>INDEX(Z7:AC12, MATCH(V5, X7:X12, 0),  MATCH(A7, Z6:AC6, 0))</f>
        <v>2.2000000000000002</v>
      </c>
      <c r="X7" s="17">
        <v>0</v>
      </c>
      <c r="Y7" s="18" t="str">
        <f t="shared" ref="Y7:Y12" si="0">"MPR  " &amp; X7 &amp; "%"</f>
        <v>MPR  0%</v>
      </c>
      <c r="Z7" s="19">
        <v>1</v>
      </c>
      <c r="AA7" s="19">
        <v>1</v>
      </c>
      <c r="AB7" s="19">
        <v>1</v>
      </c>
      <c r="AC7" s="20">
        <f>BI7</f>
        <v>1</v>
      </c>
      <c r="BD7" s="17">
        <v>0</v>
      </c>
      <c r="BE7" s="18" t="str">
        <f t="shared" ref="BE7:BE12" si="1">"MPR  " &amp; BD7 &amp; "%"</f>
        <v>MPR  0%</v>
      </c>
      <c r="BF7" s="19">
        <v>1</v>
      </c>
      <c r="BG7" s="19">
        <v>1</v>
      </c>
      <c r="BH7" s="19">
        <v>1</v>
      </c>
      <c r="BI7" s="21">
        <v>1</v>
      </c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</row>
    <row r="8" spans="1:99" x14ac:dyDescent="0.25">
      <c r="A8" s="13">
        <v>1800</v>
      </c>
      <c r="B8" s="15">
        <f>INDEX(Z7:AC12, MATCH(B5, X7:X12, 0),  MATCH(A8, Z6:AC6, 0))</f>
        <v>1</v>
      </c>
      <c r="C8" s="16">
        <f>ROUND( (F8-B8)/(F5-B5)*(C5-B5) + B8, 3)</f>
        <v>1.0349999999999999</v>
      </c>
      <c r="D8" s="16">
        <f>ROUND( (F8-B8)/(F5-B5)*(D5-B5) + B8, 3)</f>
        <v>1.07</v>
      </c>
      <c r="E8" s="16">
        <f>ROUND( (F8-B8)/(F5-B5)*(E5-B5) + B8, 3)</f>
        <v>1.105</v>
      </c>
      <c r="F8" s="15">
        <f>INDEX(Z7:AC12, MATCH(F5, X7:X12, 0),  MATCH(A8, Z6:AC6, 0))</f>
        <v>1.1399999999999999</v>
      </c>
      <c r="G8" s="16">
        <f>ROUND( (J8-F8)/(J5-F5)*(G5-F5) + F8, 3)</f>
        <v>1.173</v>
      </c>
      <c r="H8" s="16">
        <f>ROUND( (J8-F8)/(J5-F5)*(H5-F5) + F8, 3)</f>
        <v>1.2050000000000001</v>
      </c>
      <c r="I8" s="16">
        <f>ROUND( (J8-F8)/(J5-F5)*(I5-F5) + F8, 3)</f>
        <v>1.238</v>
      </c>
      <c r="J8" s="15">
        <f>INDEX(Z7:AC12, MATCH(J5, X7:X12, 0),  MATCH(A8, Z6:AC6, 0))</f>
        <v>1.27</v>
      </c>
      <c r="K8" s="16">
        <f>ROUND( (N8-J8)/(N5-J5)*(K5-J5) + J8, 3)</f>
        <v>1.31</v>
      </c>
      <c r="L8" s="16">
        <f>ROUND( (N8-J8)/(N5-J5)*(L5-J5) + J8, 3)</f>
        <v>1.35</v>
      </c>
      <c r="M8" s="16">
        <f>ROUND( (N8-J8)/(N5-J5)*(M5-J5) + J8, 3)</f>
        <v>1.39</v>
      </c>
      <c r="N8" s="15">
        <f>INDEX(Z7:AC12, MATCH(N5, X7:X12, 0),  MATCH(A8, Z6:AC6, 0))</f>
        <v>1.43</v>
      </c>
      <c r="O8" s="16">
        <f>ROUND( (R8-N8)/(R5-N5)*(O5-N5) + N8, 3)</f>
        <v>1.4730000000000001</v>
      </c>
      <c r="P8" s="16">
        <f>ROUND( (R8-N8)/(R5-N5)*(P5-N5) + N8, 3)</f>
        <v>1.5149999999999999</v>
      </c>
      <c r="Q8" s="16">
        <f>ROUND( (R8-N8)/(R5-N5)*(Q5-N5) + N8, 3)</f>
        <v>1.5580000000000001</v>
      </c>
      <c r="R8" s="15">
        <f>INDEX(Z7:AC12, MATCH(R5, X7:X12, 0),  MATCH(A8, Z6:AC6, 0))</f>
        <v>1.6</v>
      </c>
      <c r="S8" s="16">
        <f>ROUND( (V8-R8)/(V5-R5)*(S5-R5) + R8, 3)</f>
        <v>1.653</v>
      </c>
      <c r="T8" s="16">
        <f>ROUND( (V8-R8)/(V5-R5)*(T5-R5) + R8, 3)</f>
        <v>1.7050000000000001</v>
      </c>
      <c r="U8" s="16">
        <f>ROUND( (V8-R8)/(V5-R5)*(U5-R5) + R8, 3)</f>
        <v>1.758</v>
      </c>
      <c r="V8" s="15">
        <f>INDEX(Z7:AC12, MATCH(V5, X7:X12, 0),  MATCH(A8, Z6:AC6, 0))</f>
        <v>1.81</v>
      </c>
      <c r="X8" s="17">
        <v>20</v>
      </c>
      <c r="Y8" s="18" t="str">
        <f t="shared" si="0"/>
        <v>MPR  20%</v>
      </c>
      <c r="Z8" s="19">
        <v>1.02</v>
      </c>
      <c r="AA8" s="22">
        <v>1.07</v>
      </c>
      <c r="AB8" s="19">
        <v>1.1399999999999999</v>
      </c>
      <c r="AC8" s="23">
        <v>1.22</v>
      </c>
      <c r="BD8" s="17">
        <v>20</v>
      </c>
      <c r="BE8" s="18" t="str">
        <f t="shared" si="1"/>
        <v>MPR  20%</v>
      </c>
      <c r="BF8" s="19">
        <v>1.02</v>
      </c>
      <c r="BG8" s="19">
        <v>1.03</v>
      </c>
      <c r="BH8" s="19">
        <v>1.1399999999999999</v>
      </c>
      <c r="BI8" s="21">
        <v>1.35</v>
      </c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</row>
    <row r="9" spans="1:99" x14ac:dyDescent="0.25">
      <c r="A9" s="13">
        <v>2100</v>
      </c>
      <c r="B9" s="15">
        <f>INDEX(Z7:AC12, MATCH(B5, X7:X12, 0),  MATCH(A9, Z6:AC6, 0))</f>
        <v>1</v>
      </c>
      <c r="C9" s="16">
        <f>ROUND( (F9-B9)/(F5-B5)*(C5-B5) + B9, 3)</f>
        <v>1.018</v>
      </c>
      <c r="D9" s="16">
        <f>ROUND( (F9-B9)/(F5-B5)*(D5-B5) + B9, 3)</f>
        <v>1.0349999999999999</v>
      </c>
      <c r="E9" s="16">
        <f>ROUND( (F9-B9)/(F5-B5)*(E5-B5) + B9, 3)</f>
        <v>1.0529999999999999</v>
      </c>
      <c r="F9" s="15">
        <f>INDEX(Z7:AC12, MATCH(F5, X7:X12, 0),  MATCH(A9, Z6:AC6, 0))</f>
        <v>1.07</v>
      </c>
      <c r="G9" s="16">
        <f>ROUND( (J9-F9)/(J5-F5)*(G5-F5) + F9, 3)</f>
        <v>1.0900000000000001</v>
      </c>
      <c r="H9" s="16">
        <f>ROUND( (J9-F9)/(J5-F5)*(H5-F5) + F9, 3)</f>
        <v>1.1100000000000001</v>
      </c>
      <c r="I9" s="16">
        <f>ROUND( (J9-F9)/(J5-F5)*(I5-F5) + F9, 3)</f>
        <v>1.1299999999999999</v>
      </c>
      <c r="J9" s="15">
        <f>INDEX(Z7:AC12, MATCH(J5, X7:X12, 0),  MATCH(A9, Z6:AC6, 0))</f>
        <v>1.1499999999999999</v>
      </c>
      <c r="K9" s="16">
        <f>ROUND( (N9-J9)/(N5-J5)*(K5-J5) + J9, 3)</f>
        <v>1.175</v>
      </c>
      <c r="L9" s="16">
        <f>ROUND( (N9-J9)/(N5-J5)*(L5-J5) + J9, 3)</f>
        <v>1.2</v>
      </c>
      <c r="M9" s="16">
        <f>ROUND( (N9-J9)/(N5-J5)*(M5-J5) + J9, 3)</f>
        <v>1.2250000000000001</v>
      </c>
      <c r="N9" s="15">
        <f>INDEX(Z7:AC12, MATCH(N5, X7:X12, 0),  MATCH(A9, Z6:AC6, 0))</f>
        <v>1.25</v>
      </c>
      <c r="O9" s="16">
        <f>ROUND( (R9-N9)/(R5-N5)*(O5-N5) + N9, 3)</f>
        <v>1.28</v>
      </c>
      <c r="P9" s="16">
        <f>ROUND( (R9-N9)/(R5-N5)*(P5-N5) + N9, 3)</f>
        <v>1.31</v>
      </c>
      <c r="Q9" s="16">
        <f>ROUND( (R9-N9)/(R5-N5)*(Q5-N5) + N9, 3)</f>
        <v>1.34</v>
      </c>
      <c r="R9" s="15">
        <f>INDEX(Z7:AC12, MATCH(R5, X7:X12, 0),  MATCH(A9, Z6:AC6, 0))</f>
        <v>1.37</v>
      </c>
      <c r="S9" s="16">
        <f>ROUND( (V9-R9)/(V5-R5)*(S5-R5) + R9, 3)</f>
        <v>1.4079999999999999</v>
      </c>
      <c r="T9" s="16">
        <f>ROUND( (V9-R9)/(V5-R5)*(T5-R5) + R9, 3)</f>
        <v>1.4450000000000001</v>
      </c>
      <c r="U9" s="16">
        <f>ROUND( (V9-R9)/(V5-R5)*(U5-R5) + R9, 3)</f>
        <v>1.4830000000000001</v>
      </c>
      <c r="V9" s="15">
        <f>INDEX(Z7:AC12, MATCH(V5, X7:X12, 0),  MATCH(A9, Z6:AC6, 0))</f>
        <v>1.52</v>
      </c>
      <c r="X9" s="17">
        <v>40</v>
      </c>
      <c r="Y9" s="18" t="str">
        <f t="shared" si="0"/>
        <v>MPR  40%</v>
      </c>
      <c r="Z9" s="19">
        <v>1.07</v>
      </c>
      <c r="AA9" s="22">
        <v>1.1499999999999999</v>
      </c>
      <c r="AB9" s="19">
        <v>1.27</v>
      </c>
      <c r="AC9" s="23">
        <v>1.43</v>
      </c>
      <c r="BD9" s="17">
        <v>40</v>
      </c>
      <c r="BE9" s="18" t="str">
        <f t="shared" si="1"/>
        <v>MPR  40%</v>
      </c>
      <c r="BF9" s="19">
        <v>1.07</v>
      </c>
      <c r="BG9" s="19">
        <v>1.1000000000000001</v>
      </c>
      <c r="BH9" s="19">
        <v>1.27</v>
      </c>
      <c r="BI9" s="21">
        <v>1.58</v>
      </c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</row>
    <row r="10" spans="1:99" x14ac:dyDescent="0.25">
      <c r="A10" s="13">
        <v>2400</v>
      </c>
      <c r="B10" s="15">
        <f>INDEX(Z7:AC12, MATCH(B5, X7:X12, 0),  MATCH(A10, Z6:AC6, 0))</f>
        <v>1</v>
      </c>
      <c r="C10" s="16">
        <f>ROUND( (F10-B10)/(F5-B5)*(C5-B5) + B10, 3)</f>
        <v>1.0049999999999999</v>
      </c>
      <c r="D10" s="16">
        <f>ROUND( (F10-B10)/(F5-B5)*(D5-B5) + B10, 3)</f>
        <v>1.01</v>
      </c>
      <c r="E10" s="16">
        <f>ROUND( (F10-B10)/(F5-B5)*(E5-B5) + B10, 3)</f>
        <v>1.0149999999999999</v>
      </c>
      <c r="F10" s="15">
        <f>INDEX(Z7:AC12, MATCH(F5, X7:X12, 0),  MATCH(A10, Z6:AC6, 0))</f>
        <v>1.02</v>
      </c>
      <c r="G10" s="16">
        <f>ROUND( (J10-F10)/(J5-F5)*(G5-F5) + F10, 3)</f>
        <v>1.0329999999999999</v>
      </c>
      <c r="H10" s="16">
        <f>ROUND( (J10-F10)/(J5-F5)*(H5-F5) + F10, 3)</f>
        <v>1.0449999999999999</v>
      </c>
      <c r="I10" s="16">
        <f>ROUND( (J10-F10)/(J5-F5)*(I5-F5) + F10, 3)</f>
        <v>1.0580000000000001</v>
      </c>
      <c r="J10" s="15">
        <f>INDEX(Z7:AC12, MATCH(J5, X7:X12, 0),  MATCH(A10, Z6:AC6, 0))</f>
        <v>1.07</v>
      </c>
      <c r="K10" s="16">
        <f>ROUND( (N10-J10)/(N5-J5)*(K5-J5) + J10, 3)</f>
        <v>1.085</v>
      </c>
      <c r="L10" s="16">
        <f>ROUND( (N10-J10)/(N5-J5)*(L5-J5) + J10, 3)</f>
        <v>1.1000000000000001</v>
      </c>
      <c r="M10" s="16">
        <f>ROUND( (N10-J10)/(N5-J5)*(M5-J5) + J10, 3)</f>
        <v>1.115</v>
      </c>
      <c r="N10" s="15">
        <f>INDEX(Z7:AC12, MATCH(N5, X7:X12, 0),  MATCH(A10, Z6:AC6, 0))</f>
        <v>1.1299999999999999</v>
      </c>
      <c r="O10" s="16">
        <f>ROUND( (R10-N10)/(R5-N5)*(O5-N5) + N10, 3)</f>
        <v>1.153</v>
      </c>
      <c r="P10" s="16">
        <f>ROUND( (R10-N10)/(R5-N5)*(P5-N5) + N10, 3)</f>
        <v>1.175</v>
      </c>
      <c r="Q10" s="16">
        <f>ROUND( (R10-N10)/(R5-N5)*(Q5-N5) + N10, 3)</f>
        <v>1.198</v>
      </c>
      <c r="R10" s="15">
        <f>INDEX(Z7:AC12, MATCH(R5, X7:X12, 0),  MATCH(A10, Z6:AC6, 0))</f>
        <v>1.22</v>
      </c>
      <c r="S10" s="16">
        <f>ROUND( (V10-R10)/(V5-R5)*(S5-R5) + R10, 3)</f>
        <v>1.25</v>
      </c>
      <c r="T10" s="16">
        <f>ROUND( (V10-R10)/(V5-R5)*(T5-R5) + R10, 3)</f>
        <v>1.28</v>
      </c>
      <c r="U10" s="16">
        <f>ROUND( (V10-R10)/(V5-R5)*(U5-R5) + R10, 3)</f>
        <v>1.31</v>
      </c>
      <c r="V10" s="15">
        <f>INDEX(Z7:AC12, MATCH(V5, X7:X12, 0),  MATCH(A10, Z6:AC6, 0))</f>
        <v>1.34</v>
      </c>
      <c r="X10" s="17">
        <v>60</v>
      </c>
      <c r="Y10" s="18" t="str">
        <f t="shared" si="0"/>
        <v>MPR  60%</v>
      </c>
      <c r="Z10" s="19">
        <v>1.1299999999999999</v>
      </c>
      <c r="AA10" s="22">
        <v>1.25</v>
      </c>
      <c r="AB10" s="19">
        <v>1.43</v>
      </c>
      <c r="AC10" s="20">
        <f t="shared" ref="AC10" si="2">BI10</f>
        <v>1.65</v>
      </c>
      <c r="BD10" s="17">
        <v>60</v>
      </c>
      <c r="BE10" s="18" t="str">
        <f t="shared" si="1"/>
        <v>MPR  60%</v>
      </c>
      <c r="BF10" s="19">
        <v>1.1299999999999999</v>
      </c>
      <c r="BG10" s="19">
        <v>1.26</v>
      </c>
      <c r="BH10" s="19">
        <v>1.43</v>
      </c>
      <c r="BI10" s="21">
        <v>1.65</v>
      </c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</row>
    <row r="11" spans="1:99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X11" s="17">
        <v>80</v>
      </c>
      <c r="Y11" s="18" t="str">
        <f t="shared" si="0"/>
        <v>MPR  80%</v>
      </c>
      <c r="Z11" s="19">
        <v>1.22</v>
      </c>
      <c r="AA11" s="19">
        <v>1.37</v>
      </c>
      <c r="AB11" s="22">
        <v>1.6</v>
      </c>
      <c r="AC11" s="23">
        <v>1.9</v>
      </c>
      <c r="BD11" s="17">
        <v>80</v>
      </c>
      <c r="BE11" s="18" t="str">
        <f t="shared" si="1"/>
        <v>MPR  80%</v>
      </c>
      <c r="BF11" s="19">
        <v>1.22</v>
      </c>
      <c r="BG11" s="19">
        <v>1.37</v>
      </c>
      <c r="BH11" s="19">
        <v>1.63</v>
      </c>
      <c r="BI11" s="21">
        <v>2</v>
      </c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</row>
    <row r="12" spans="1:99" x14ac:dyDescent="0.25">
      <c r="X12" s="17">
        <v>100</v>
      </c>
      <c r="Y12" s="18" t="str">
        <f t="shared" si="0"/>
        <v>MPR  100%</v>
      </c>
      <c r="Z12" s="19">
        <v>1.34</v>
      </c>
      <c r="AA12" s="19">
        <v>1.52</v>
      </c>
      <c r="AB12" s="22">
        <v>1.81</v>
      </c>
      <c r="AC12" s="23">
        <v>2.2000000000000002</v>
      </c>
      <c r="BD12" s="17">
        <v>100</v>
      </c>
      <c r="BE12" s="18" t="str">
        <f t="shared" si="1"/>
        <v>MPR  100%</v>
      </c>
      <c r="BF12" s="19">
        <v>1.34</v>
      </c>
      <c r="BG12" s="19">
        <v>1.52</v>
      </c>
      <c r="BH12" s="19">
        <v>1.82</v>
      </c>
      <c r="BI12" s="21">
        <v>2.25</v>
      </c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</row>
    <row r="13" spans="1:99" x14ac:dyDescent="0.25">
      <c r="B13" s="9" t="s">
        <v>57</v>
      </c>
      <c r="C13" s="11"/>
      <c r="D13" s="11"/>
      <c r="E13" s="11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</row>
    <row r="14" spans="1:99" x14ac:dyDescent="0.25">
      <c r="B14" s="11" t="s">
        <v>54</v>
      </c>
      <c r="C14" s="25">
        <v>1693.375</v>
      </c>
      <c r="D14" s="11"/>
      <c r="E14" s="11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</row>
    <row r="15" spans="1:99" x14ac:dyDescent="0.25">
      <c r="B15" s="11" t="s">
        <v>55</v>
      </c>
      <c r="C15" s="25">
        <v>2450</v>
      </c>
      <c r="D15" s="11"/>
      <c r="E15" s="11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</row>
    <row r="16" spans="1:99" x14ac:dyDescent="0.25"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</row>
    <row r="27" spans="1:61" x14ac:dyDescent="0.25">
      <c r="A27" s="9" t="s">
        <v>30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9" t="s">
        <v>30</v>
      </c>
      <c r="Y27" s="10"/>
      <c r="Z27" s="10"/>
      <c r="AA27" s="9"/>
      <c r="AB27" s="10"/>
      <c r="AC27" s="9"/>
      <c r="BD27" s="9" t="s">
        <v>30</v>
      </c>
      <c r="BE27" s="10"/>
      <c r="BF27" s="10"/>
      <c r="BG27" s="9"/>
      <c r="BH27" s="10"/>
      <c r="BI27" s="9"/>
    </row>
    <row r="28" spans="1:61" x14ac:dyDescent="0.25">
      <c r="A28" s="11"/>
      <c r="B28" s="12">
        <v>0</v>
      </c>
      <c r="C28" s="12">
        <v>5</v>
      </c>
      <c r="D28" s="12">
        <v>10</v>
      </c>
      <c r="E28" s="12">
        <v>15</v>
      </c>
      <c r="F28" s="12">
        <v>20</v>
      </c>
      <c r="G28" s="12">
        <v>25</v>
      </c>
      <c r="H28" s="12">
        <v>30</v>
      </c>
      <c r="I28" s="12">
        <v>35</v>
      </c>
      <c r="J28" s="12">
        <v>40</v>
      </c>
      <c r="K28" s="12">
        <v>45</v>
      </c>
      <c r="L28" s="12">
        <v>50</v>
      </c>
      <c r="M28" s="12">
        <v>55</v>
      </c>
      <c r="N28" s="12">
        <v>60</v>
      </c>
      <c r="O28" s="12">
        <v>65</v>
      </c>
      <c r="P28" s="12">
        <v>70</v>
      </c>
      <c r="Q28" s="12">
        <v>75</v>
      </c>
      <c r="R28" s="12">
        <v>80</v>
      </c>
      <c r="S28" s="12">
        <v>85</v>
      </c>
      <c r="T28" s="12">
        <v>90</v>
      </c>
      <c r="U28" s="12">
        <v>95</v>
      </c>
      <c r="V28" s="12">
        <v>100</v>
      </c>
      <c r="X28" s="10"/>
      <c r="Y28" s="10"/>
      <c r="Z28" s="36" t="s">
        <v>31</v>
      </c>
      <c r="AA28" s="36"/>
      <c r="AB28" s="36"/>
      <c r="AC28" s="36"/>
      <c r="BD28" s="10"/>
      <c r="BE28" s="10"/>
      <c r="BF28" s="36" t="s">
        <v>31</v>
      </c>
      <c r="BG28" s="36"/>
      <c r="BH28" s="36"/>
      <c r="BI28" s="36"/>
    </row>
    <row r="29" spans="1:61" x14ac:dyDescent="0.25">
      <c r="A29" s="4" t="s">
        <v>24</v>
      </c>
      <c r="B29" s="4" t="s">
        <v>32</v>
      </c>
      <c r="C29" s="4" t="s">
        <v>33</v>
      </c>
      <c r="D29" s="4" t="s">
        <v>34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4" t="s">
        <v>40</v>
      </c>
      <c r="K29" s="4" t="s">
        <v>41</v>
      </c>
      <c r="L29" s="4" t="s">
        <v>42</v>
      </c>
      <c r="M29" s="4" t="s">
        <v>43</v>
      </c>
      <c r="N29" s="4" t="s">
        <v>44</v>
      </c>
      <c r="O29" s="4" t="s">
        <v>45</v>
      </c>
      <c r="P29" s="4" t="s">
        <v>46</v>
      </c>
      <c r="Q29" s="4" t="s">
        <v>47</v>
      </c>
      <c r="R29" s="4" t="s">
        <v>48</v>
      </c>
      <c r="S29" s="4" t="s">
        <v>49</v>
      </c>
      <c r="T29" s="4" t="s">
        <v>50</v>
      </c>
      <c r="U29" s="4" t="s">
        <v>51</v>
      </c>
      <c r="V29" s="4" t="s">
        <v>52</v>
      </c>
      <c r="X29" s="4"/>
      <c r="Y29" s="4"/>
      <c r="Z29" s="13">
        <v>2400</v>
      </c>
      <c r="AA29" s="13">
        <v>2100</v>
      </c>
      <c r="AB29" s="13">
        <v>1800</v>
      </c>
      <c r="AC29" s="13">
        <v>1500</v>
      </c>
      <c r="BD29" s="4"/>
      <c r="BE29" s="4"/>
      <c r="BF29" s="13">
        <v>2400</v>
      </c>
      <c r="BG29" s="13">
        <v>2100</v>
      </c>
      <c r="BH29" s="13">
        <v>1800</v>
      </c>
      <c r="BI29" s="13">
        <v>1500</v>
      </c>
    </row>
    <row r="30" spans="1:61" x14ac:dyDescent="0.25">
      <c r="A30" s="14">
        <v>1500</v>
      </c>
      <c r="B30" s="15">
        <f>INDEX(Z30:AC35, MATCH(B28, X30:X35, 0),  MATCH(A30, Z29:AC29, 0))</f>
        <v>1</v>
      </c>
      <c r="C30" s="16">
        <f>ROUND( (F30-B30)/(F28-B28)*(C28-B28) + B30, 3)</f>
        <v>1.0449999999999999</v>
      </c>
      <c r="D30" s="16">
        <f>ROUND( (F30-B30)/(F28-B28)*(D28-B28) + B30, 3)</f>
        <v>1.0900000000000001</v>
      </c>
      <c r="E30" s="16">
        <f>ROUND( (F30-B30)/(F28-B28)*(E28-B28) + B30, 3)</f>
        <v>1.135</v>
      </c>
      <c r="F30" s="15">
        <f>INDEX(Z30:AC35, MATCH(F28, X30:X35, 0),  MATCH(A30, Z29:AC29, 0))</f>
        <v>1.18</v>
      </c>
      <c r="G30" s="16">
        <f>ROUND( (J30-F30)/(J28-F28)*(G28-F28) + F30, 3)</f>
        <v>1.2250000000000001</v>
      </c>
      <c r="H30" s="16">
        <f>ROUND( (J30-F30)/(J28-F28)*(H28-F28) + F30, 3)</f>
        <v>1.27</v>
      </c>
      <c r="I30" s="16">
        <f>ROUND( (J30-F30)/(J28-F28)*(I28-F28) + F30, 3)</f>
        <v>1.3149999999999999</v>
      </c>
      <c r="J30" s="15">
        <f>INDEX(Z30:AC35, MATCH(J28, X30:X35, 0),  MATCH(A30, Z29:AC29, 0))</f>
        <v>1.36</v>
      </c>
      <c r="K30" s="16">
        <f>ROUND( (N30-J30)/(N28-J28)*(K28-J28) + J30, 3)</f>
        <v>1.4079999999999999</v>
      </c>
      <c r="L30" s="16">
        <f>ROUND( (N30-J30)/(N28-J28)*(L28-J28) + J30, 3)</f>
        <v>1.4550000000000001</v>
      </c>
      <c r="M30" s="16">
        <f>ROUND( (N30-J30)/(N28-J28)*(M28-J28) + J30, 3)</f>
        <v>1.5029999999999999</v>
      </c>
      <c r="N30" s="15">
        <f>INDEX(Z30:AC35, MATCH(N28, X30:X35, 0),  MATCH(A30, Z29:AC29, 0))</f>
        <v>1.55</v>
      </c>
      <c r="O30" s="16">
        <f>ROUND( (R30-N30)/(R28-N28)*(O28-N28) + N30, 3)</f>
        <v>1.613</v>
      </c>
      <c r="P30" s="16">
        <f>ROUND( (R30-N30)/(R28-N28)*(P28-N28) + N30, 3)</f>
        <v>1.675</v>
      </c>
      <c r="Q30" s="16">
        <f>ROUND( (R30-N30)/(R28-N28)*(Q28-N28) + N30, 3)</f>
        <v>1.738</v>
      </c>
      <c r="R30" s="15">
        <f>INDEX(Z30:AC35, MATCH(R28, X30:X35, 0),  MATCH(A30, Z29:AC29, 0))</f>
        <v>1.8</v>
      </c>
      <c r="S30" s="16">
        <f>ROUND( (V30-R30)/(V28-R28)*(S28-R28) + R30, 3)</f>
        <v>1.875</v>
      </c>
      <c r="T30" s="16">
        <f>ROUND( (V30-R30)/(V28-R28)*(T28-R28) + R30, 3)</f>
        <v>1.95</v>
      </c>
      <c r="U30" s="16">
        <f>ROUND( (V30-R30)/(V28-R28)*(U28-R28) + R30, 3)</f>
        <v>2.0249999999999999</v>
      </c>
      <c r="V30" s="15">
        <f>INDEX(Z30:AC35, MATCH(V28, X30:X35, 0),  MATCH(A30, Z29:AC29, 0))</f>
        <v>2.1</v>
      </c>
      <c r="X30" s="17">
        <v>0</v>
      </c>
      <c r="Y30" s="18" t="str">
        <f t="shared" ref="Y30:Y35" si="3">"MPR  " &amp; X30 &amp; "%"</f>
        <v>MPR  0%</v>
      </c>
      <c r="Z30" s="19">
        <v>1</v>
      </c>
      <c r="AA30" s="19">
        <v>1</v>
      </c>
      <c r="AB30" s="19">
        <v>1</v>
      </c>
      <c r="AC30" s="20">
        <f>BI30</f>
        <v>1</v>
      </c>
      <c r="BD30" s="17">
        <v>0</v>
      </c>
      <c r="BE30" s="18" t="str">
        <f t="shared" ref="BE30:BE35" si="4">"MPR  " &amp; BD30 &amp; "%"</f>
        <v>MPR  0%</v>
      </c>
      <c r="BF30" s="19">
        <v>1</v>
      </c>
      <c r="BG30" s="19">
        <v>1</v>
      </c>
      <c r="BH30" s="19">
        <v>1</v>
      </c>
      <c r="BI30" s="21">
        <v>1</v>
      </c>
    </row>
    <row r="31" spans="1:61" x14ac:dyDescent="0.25">
      <c r="A31" s="14">
        <v>1800</v>
      </c>
      <c r="B31" s="15">
        <f>INDEX(Z30:AC35, MATCH(B28, X30:X35, 0),  MATCH(A31, Z29:AC29, 0))</f>
        <v>1</v>
      </c>
      <c r="C31" s="16">
        <f>ROUND( (F31-B31)/(F28-B28)*(C28-B28) + B31, 3)</f>
        <v>1.0329999999999999</v>
      </c>
      <c r="D31" s="16">
        <f>ROUND( (F31-B31)/(F28-B28)*(D28-B28) + B31, 3)</f>
        <v>1.0649999999999999</v>
      </c>
      <c r="E31" s="16">
        <f>ROUND( (F31-B31)/(F28-B28)*(E28-B28) + B31, 3)</f>
        <v>1.0980000000000001</v>
      </c>
      <c r="F31" s="15">
        <f>INDEX(Z30:AC35, MATCH(F28, X30:X35, 0),  MATCH(A31, Z29:AC29, 0))</f>
        <v>1.1299999999999999</v>
      </c>
      <c r="G31" s="16">
        <f>ROUND( (J31-F31)/(J28-F28)*(G28-F28) + F31, 3)</f>
        <v>1.1599999999999999</v>
      </c>
      <c r="H31" s="16">
        <f>ROUND( (J31-F31)/(J28-F28)*(H28-F28) + F31, 3)</f>
        <v>1.19</v>
      </c>
      <c r="I31" s="16">
        <f>ROUND( (J31-F31)/(J28-F28)*(I28-F28) + F31, 3)</f>
        <v>1.22</v>
      </c>
      <c r="J31" s="15">
        <f>INDEX(Z30:AC35, MATCH(J28, X30:X35, 0),  MATCH(A31, Z29:AC29, 0))</f>
        <v>1.25</v>
      </c>
      <c r="K31" s="16">
        <f>ROUND( (N31-J31)/(N28-J28)*(K28-J28) + J31, 3)</f>
        <v>1.28</v>
      </c>
      <c r="L31" s="16">
        <f>ROUND( (N31-J31)/(N28-J28)*(L28-J28) + J31, 3)</f>
        <v>1.31</v>
      </c>
      <c r="M31" s="16">
        <f>ROUND( (N31-J31)/(N28-J28)*(M28-J28) + J31, 3)</f>
        <v>1.34</v>
      </c>
      <c r="N31" s="15">
        <f>INDEX(Z30:AC35, MATCH(N28, X30:X35, 0),  MATCH(A31, Z29:AC29, 0))</f>
        <v>1.37</v>
      </c>
      <c r="O31" s="16">
        <f>ROUND( (R31-N31)/(R28-N28)*(O28-N28) + N31, 3)</f>
        <v>1.4179999999999999</v>
      </c>
      <c r="P31" s="16">
        <f>ROUND( (R31-N31)/(R28-N28)*(P28-N28) + N31, 3)</f>
        <v>1.4650000000000001</v>
      </c>
      <c r="Q31" s="16">
        <f>ROUND( (R31-N31)/(R28-N28)*(Q28-N28) + N31, 3)</f>
        <v>1.5129999999999999</v>
      </c>
      <c r="R31" s="15">
        <f>INDEX(Z30:AC35, MATCH(R28, X30:X35, 0),  MATCH(A31, Z29:AC29, 0))</f>
        <v>1.56</v>
      </c>
      <c r="S31" s="16">
        <f>ROUND( (V31-R31)/(V28-R28)*(S28-R28) + R31, 3)</f>
        <v>1.6180000000000001</v>
      </c>
      <c r="T31" s="16">
        <f>ROUND( (V31-R31)/(V28-R28)*(T28-R28) + R31, 3)</f>
        <v>1.675</v>
      </c>
      <c r="U31" s="16">
        <f>ROUND( (V31-R31)/(V28-R28)*(U28-R28) + R31, 3)</f>
        <v>1.7330000000000001</v>
      </c>
      <c r="V31" s="15">
        <f>INDEX(Z30:AC35, MATCH(V28, X30:X35, 0),  MATCH(A31, Z29:AC29, 0))</f>
        <v>1.79</v>
      </c>
      <c r="X31" s="17">
        <v>20</v>
      </c>
      <c r="Y31" s="18" t="str">
        <f t="shared" si="3"/>
        <v>MPR  20%</v>
      </c>
      <c r="Z31" s="19">
        <v>1.02</v>
      </c>
      <c r="AA31" s="22">
        <v>1.07</v>
      </c>
      <c r="AB31" s="22">
        <v>1.1299999999999999</v>
      </c>
      <c r="AC31" s="23">
        <v>1.18</v>
      </c>
      <c r="BD31" s="17">
        <v>20</v>
      </c>
      <c r="BE31" s="18" t="str">
        <f t="shared" si="4"/>
        <v>MPR  20%</v>
      </c>
      <c r="BF31" s="19">
        <v>1.02</v>
      </c>
      <c r="BG31" s="19">
        <v>1.01</v>
      </c>
      <c r="BH31" s="19">
        <v>1.1499999999999999</v>
      </c>
      <c r="BI31" s="21">
        <v>1.45</v>
      </c>
    </row>
    <row r="32" spans="1:61" x14ac:dyDescent="0.25">
      <c r="A32" s="14">
        <v>2100</v>
      </c>
      <c r="B32" s="15">
        <f>INDEX(Z30:AC35, MATCH(B28, X30:X35, 0),  MATCH(A32, Z29:AC29, 0))</f>
        <v>1</v>
      </c>
      <c r="C32" s="16">
        <f>ROUND( (F32-B32)/(F28-B28)*(C28-B28) + B32, 3)</f>
        <v>1.018</v>
      </c>
      <c r="D32" s="16">
        <f>ROUND( (F32-B32)/(F28-B28)*(D28-B28) + B32, 3)</f>
        <v>1.0349999999999999</v>
      </c>
      <c r="E32" s="16">
        <f>ROUND( (F32-B32)/(F28-B28)*(E28-B28) + B32, 3)</f>
        <v>1.0529999999999999</v>
      </c>
      <c r="F32" s="15">
        <f>INDEX(Z30:AC35, MATCH(F28, X30:X35, 0),  MATCH(A32, Z29:AC29, 0))</f>
        <v>1.07</v>
      </c>
      <c r="G32" s="16">
        <f>ROUND( (J32-F32)/(J28-F28)*(G28-F28) + F32, 3)</f>
        <v>1.0900000000000001</v>
      </c>
      <c r="H32" s="16">
        <f>ROUND( (J32-F32)/(J28-F28)*(H28-F28) + F32, 3)</f>
        <v>1.1100000000000001</v>
      </c>
      <c r="I32" s="16">
        <f>ROUND( (J32-F32)/(J28-F28)*(I28-F28) + F32, 3)</f>
        <v>1.1299999999999999</v>
      </c>
      <c r="J32" s="15">
        <f>INDEX(Z30:AC35, MATCH(J28, X30:X35, 0),  MATCH(A32, Z29:AC29, 0))</f>
        <v>1.1499999999999999</v>
      </c>
      <c r="K32" s="16">
        <f>ROUND( (N32-J32)/(N28-J28)*(K28-J28) + J32, 3)</f>
        <v>1.17</v>
      </c>
      <c r="L32" s="16">
        <f>ROUND( (N32-J32)/(N28-J28)*(L28-J28) + J32, 3)</f>
        <v>1.19</v>
      </c>
      <c r="M32" s="16">
        <f>ROUND( (N32-J32)/(N28-J28)*(M28-J28) + J32, 3)</f>
        <v>1.21</v>
      </c>
      <c r="N32" s="15">
        <f>INDEX(Z30:AC35, MATCH(N28, X30:X35, 0),  MATCH(A32, Z29:AC29, 0))</f>
        <v>1.23</v>
      </c>
      <c r="O32" s="16">
        <f>ROUND( (R32-N32)/(R28-N28)*(O28-N28) + N32, 3)</f>
        <v>1.2629999999999999</v>
      </c>
      <c r="P32" s="16">
        <f>ROUND( (R32-N32)/(R28-N28)*(P28-N28) + N32, 3)</f>
        <v>1.2949999999999999</v>
      </c>
      <c r="Q32" s="16">
        <f>ROUND( (R32-N32)/(R28-N28)*(Q28-N28) + N32, 3)</f>
        <v>1.3280000000000001</v>
      </c>
      <c r="R32" s="15">
        <f>INDEX(Z30:AC35, MATCH(R28, X30:X35, 0),  MATCH(A32, Z29:AC29, 0))</f>
        <v>1.36</v>
      </c>
      <c r="S32" s="16">
        <f>ROUND( (V32-R32)/(V28-R28)*(S28-R28) + R32, 3)</f>
        <v>1.405</v>
      </c>
      <c r="T32" s="16">
        <f>ROUND( (V32-R32)/(V28-R28)*(T28-R28) + R32, 3)</f>
        <v>1.45</v>
      </c>
      <c r="U32" s="16">
        <f>ROUND( (V32-R32)/(V28-R28)*(U28-R28) + R32, 3)</f>
        <v>1.4950000000000001</v>
      </c>
      <c r="V32" s="15">
        <f>INDEX(Z30:AC35, MATCH(V28, X30:X35, 0),  MATCH(A32, Z29:AC29, 0))</f>
        <v>1.54</v>
      </c>
      <c r="X32" s="17">
        <v>40</v>
      </c>
      <c r="Y32" s="18" t="str">
        <f t="shared" si="3"/>
        <v>MPR  40%</v>
      </c>
      <c r="Z32" s="19">
        <v>1.07</v>
      </c>
      <c r="AA32" s="22">
        <v>1.1499999999999999</v>
      </c>
      <c r="AB32" s="22">
        <v>1.25</v>
      </c>
      <c r="AC32" s="23">
        <v>1.36</v>
      </c>
      <c r="BD32" s="17">
        <v>40</v>
      </c>
      <c r="BE32" s="18" t="str">
        <f t="shared" si="4"/>
        <v>MPR  40%</v>
      </c>
      <c r="BF32" s="19">
        <v>1.07</v>
      </c>
      <c r="BG32" s="19">
        <v>1.1000000000000001</v>
      </c>
      <c r="BH32" s="19">
        <v>1.26</v>
      </c>
      <c r="BI32" s="21">
        <v>1.5</v>
      </c>
    </row>
    <row r="33" spans="1:61" x14ac:dyDescent="0.25">
      <c r="A33" s="14">
        <v>2400</v>
      </c>
      <c r="B33" s="15">
        <f>INDEX(Z30:AC35, MATCH(B28, X30:X35, 0),  MATCH(A33, Z29:AC29, 0))</f>
        <v>1</v>
      </c>
      <c r="C33" s="16">
        <f>ROUND( (F33-B33)/(F28-B28)*(C28-B28) + B33, 3)</f>
        <v>1.0049999999999999</v>
      </c>
      <c r="D33" s="16">
        <f>ROUND( (F33-B33)/(F28-B28)*(D28-B28) + B33, 3)</f>
        <v>1.01</v>
      </c>
      <c r="E33" s="16">
        <f>ROUND( (F33-B33)/(F28-B28)*(E28-B28) + B33, 3)</f>
        <v>1.0149999999999999</v>
      </c>
      <c r="F33" s="15">
        <f>INDEX(Z30:AC35, MATCH(F28, X30:X35, 0),  MATCH(A33, Z29:AC29, 0))</f>
        <v>1.02</v>
      </c>
      <c r="G33" s="16">
        <f>ROUND( (J33-F33)/(J28-F28)*(G28-F28) + F33, 3)</f>
        <v>1.0329999999999999</v>
      </c>
      <c r="H33" s="16">
        <f>ROUND( (J33-F33)/(J28-F28)*(H28-F28) + F33, 3)</f>
        <v>1.0449999999999999</v>
      </c>
      <c r="I33" s="16">
        <f>ROUND( (J33-F33)/(J28-F28)*(I28-F28) + F33, 3)</f>
        <v>1.0580000000000001</v>
      </c>
      <c r="J33" s="15">
        <f>INDEX(Z30:AC35, MATCH(J28, X30:X35, 0),  MATCH(A33, Z29:AC29, 0))</f>
        <v>1.07</v>
      </c>
      <c r="K33" s="16">
        <f>ROUND( (N33-J33)/(N28-J28)*(K28-J28) + J33, 3)</f>
        <v>1.083</v>
      </c>
      <c r="L33" s="16">
        <f>ROUND( (N33-J33)/(N28-J28)*(L28-J28) + J33, 3)</f>
        <v>1.095</v>
      </c>
      <c r="M33" s="16">
        <f>ROUND( (N33-J33)/(N28-J28)*(M28-J28) + J33, 3)</f>
        <v>1.1080000000000001</v>
      </c>
      <c r="N33" s="15">
        <f>INDEX(Z30:AC35, MATCH(N28, X30:X35, 0),  MATCH(A33, Z29:AC29, 0))</f>
        <v>1.1200000000000001</v>
      </c>
      <c r="O33" s="16">
        <f>ROUND( (R33-N33)/(R28-N28)*(O28-N28) + N33, 3)</f>
        <v>1.143</v>
      </c>
      <c r="P33" s="16">
        <f>ROUND( (R33-N33)/(R28-N28)*(P28-N28) + N33, 3)</f>
        <v>1.165</v>
      </c>
      <c r="Q33" s="16">
        <f>ROUND( (R33-N33)/(R28-N28)*(Q28-N28) + N33, 3)</f>
        <v>1.1879999999999999</v>
      </c>
      <c r="R33" s="15">
        <f>INDEX(Z30:AC35, MATCH(R28, X30:X35, 0),  MATCH(A33, Z29:AC29, 0))</f>
        <v>1.21</v>
      </c>
      <c r="S33" s="16">
        <f>ROUND( (V33-R33)/(V28-R28)*(S28-R28) + R33, 3)</f>
        <v>1.248</v>
      </c>
      <c r="T33" s="16">
        <f>ROUND( (V33-R33)/(V28-R28)*(T28-R28) + R33, 3)</f>
        <v>1.2849999999999999</v>
      </c>
      <c r="U33" s="16">
        <f>ROUND( (V33-R33)/(V28-R28)*(U28-R28) + R33, 3)</f>
        <v>1.323</v>
      </c>
      <c r="V33" s="15">
        <f>INDEX(Z30:AC35, MATCH(V28, X30:X35, 0),  MATCH(A33, Z29:AC29, 0))</f>
        <v>1.36</v>
      </c>
      <c r="X33" s="17">
        <v>60</v>
      </c>
      <c r="Y33" s="18" t="str">
        <f t="shared" si="3"/>
        <v>MPR  60%</v>
      </c>
      <c r="Z33" s="19">
        <v>1.1200000000000001</v>
      </c>
      <c r="AA33" s="19">
        <v>1.23</v>
      </c>
      <c r="AB33" s="19">
        <v>1.37</v>
      </c>
      <c r="AC33" s="20">
        <f t="shared" ref="AC33:AC34" si="5">BI33</f>
        <v>1.55</v>
      </c>
      <c r="BD33" s="17">
        <v>60</v>
      </c>
      <c r="BE33" s="18" t="str">
        <f t="shared" si="4"/>
        <v>MPR  60%</v>
      </c>
      <c r="BF33" s="19">
        <v>1.1200000000000001</v>
      </c>
      <c r="BG33" s="19">
        <v>1.23</v>
      </c>
      <c r="BH33" s="19">
        <v>1.37</v>
      </c>
      <c r="BI33" s="21">
        <v>1.55</v>
      </c>
    </row>
    <row r="34" spans="1:6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X34" s="17">
        <v>80</v>
      </c>
      <c r="Y34" s="18" t="str">
        <f t="shared" si="3"/>
        <v>MPR  80%</v>
      </c>
      <c r="Z34" s="19">
        <v>1.21</v>
      </c>
      <c r="AA34" s="19">
        <v>1.36</v>
      </c>
      <c r="AB34" s="19">
        <v>1.56</v>
      </c>
      <c r="AC34" s="20">
        <f t="shared" si="5"/>
        <v>1.8</v>
      </c>
      <c r="BD34" s="17">
        <v>80</v>
      </c>
      <c r="BE34" s="18" t="str">
        <f t="shared" si="4"/>
        <v>MPR  80%</v>
      </c>
      <c r="BF34" s="19">
        <v>1.21</v>
      </c>
      <c r="BG34" s="19">
        <v>1.36</v>
      </c>
      <c r="BH34" s="19">
        <v>1.56</v>
      </c>
      <c r="BI34" s="21">
        <v>1.8</v>
      </c>
    </row>
    <row r="35" spans="1:61" x14ac:dyDescent="0.25">
      <c r="X35" s="17">
        <v>100</v>
      </c>
      <c r="Y35" s="18" t="str">
        <f t="shared" si="3"/>
        <v>MPR  100%</v>
      </c>
      <c r="Z35" s="19">
        <v>1.36</v>
      </c>
      <c r="AA35" s="19">
        <v>1.54</v>
      </c>
      <c r="AB35" s="22">
        <v>1.79</v>
      </c>
      <c r="AC35" s="23">
        <v>2.1</v>
      </c>
      <c r="BD35" s="17">
        <v>100</v>
      </c>
      <c r="BE35" s="18" t="str">
        <f t="shared" si="4"/>
        <v>MPR  100%</v>
      </c>
      <c r="BF35" s="19">
        <v>1.36</v>
      </c>
      <c r="BG35" s="19">
        <v>1.54</v>
      </c>
      <c r="BH35" s="19">
        <v>1.82</v>
      </c>
      <c r="BI35" s="21">
        <v>2.2000000000000002</v>
      </c>
    </row>
    <row r="36" spans="1:61" x14ac:dyDescent="0.25">
      <c r="B36" s="9" t="s">
        <v>53</v>
      </c>
      <c r="C36" s="11"/>
      <c r="D36" s="11"/>
      <c r="E36" s="11"/>
    </row>
    <row r="37" spans="1:61" x14ac:dyDescent="0.25">
      <c r="B37" s="11" t="s">
        <v>54</v>
      </c>
      <c r="C37" s="25">
        <v>1490.17</v>
      </c>
      <c r="D37" s="11"/>
      <c r="E37" s="11"/>
    </row>
    <row r="38" spans="1:61" x14ac:dyDescent="0.25">
      <c r="B38" s="11" t="s">
        <v>55</v>
      </c>
      <c r="C38" s="25">
        <v>2333.3333333333335</v>
      </c>
      <c r="D38" s="11"/>
      <c r="E38" s="11"/>
    </row>
  </sheetData>
  <mergeCells count="4">
    <mergeCell ref="Z28:AC28"/>
    <mergeCell ref="BF28:BI28"/>
    <mergeCell ref="Z5:AC5"/>
    <mergeCell ref="BF5:BI5"/>
  </mergeCells>
  <hyperlinks>
    <hyperlink ref="CJ4" r:id="rId1" xr:uid="{58637E93-15F6-49AE-BA6A-631A11822C4D}"/>
  </hyperlinks>
  <pageMargins left="0.7" right="0.7" top="0.75" bottom="0.75" header="0.3" footer="0.3"/>
  <pageSetup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Export_CAV</vt:lpstr>
      <vt:lpstr>checkModelLookup</vt:lpstr>
      <vt:lpstr>CAVCapMultiplier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Chad Worthen</cp:lastModifiedBy>
  <dcterms:created xsi:type="dcterms:W3CDTF">1996-10-14T23:33:28Z</dcterms:created>
  <dcterms:modified xsi:type="dcterms:W3CDTF">2024-03-18T22:25:47Z</dcterms:modified>
</cp:coreProperties>
</file>