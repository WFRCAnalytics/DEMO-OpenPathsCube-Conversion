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P:\1 - TDM\1 - Input Dev\0 - GlobalData\0 - TripTables\2 - College Control Totals and Factors\"/>
    </mc:Choice>
  </mc:AlternateContent>
  <xr:revisionPtr revIDLastSave="0" documentId="13_ncr:1_{1A2BDC11-725E-4204-984B-49463A55F126}" xr6:coauthVersionLast="47" xr6:coauthVersionMax="47" xr10:uidLastSave="{00000000-0000-0000-0000-000000000000}"/>
  <bookViews>
    <workbookView xWindow="-120" yWindow="270" windowWidth="28800" windowHeight="14655" tabRatio="728" activeTab="1" xr2:uid="{1367F993-4AEC-4AF5-AF24-D7AABADA726A}"/>
  </bookViews>
  <sheets>
    <sheet name="Export_ControlTot" sheetId="11" r:id="rId1"/>
    <sheet name="Export_Factors" sheetId="15" r:id="rId2"/>
    <sheet name="Campus Enrol Disaggregation" sheetId="10" r:id="rId3"/>
    <sheet name="College Enrollment Projections" sheetId="2" r:id="rId4"/>
    <sheet name="FTE Rate Calcs" sheetId="13" r:id="rId5"/>
    <sheet name="HBC Rates" sheetId="17" r:id="rId6"/>
    <sheet name="FTE" sheetId="16" r:id="rId7"/>
    <sheet name="calc%concurrent" sheetId="14" r:id="rId8"/>
    <sheet name="USHE Projections" sheetId="6" r:id="rId9"/>
    <sheet name="USHE Historic" sheetId="1" r:id="rId10"/>
    <sheet name="BYU - Data USA Cart" sheetId="5" r:id="rId11"/>
    <sheet name="Westminster" sheetId="8" r:id="rId12"/>
    <sheet name="Ensign" sheetId="9" r:id="rId13"/>
    <sheet name="Historic from 2019 RTP" sheetId="7" r:id="rId14"/>
    <sheet name="USHE 2020 Campus Totals" sheetId="3" r:id="rId15"/>
    <sheet name="MAG College Enrollment Forecast" sheetId="12"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 l="1"/>
  <c r="X4" i="15"/>
  <c r="T4" i="15"/>
  <c r="U4" i="15" s="1"/>
  <c r="B15" i="17"/>
  <c r="C4" i="15" s="1"/>
  <c r="B14" i="17"/>
  <c r="G4" i="15" s="1"/>
  <c r="H4" i="15" s="1"/>
  <c r="B13" i="17"/>
  <c r="F4" i="15" s="1"/>
  <c r="B12" i="17"/>
  <c r="W4" i="15" s="1"/>
  <c r="B11" i="17"/>
  <c r="B9" i="17"/>
  <c r="B8" i="17"/>
  <c r="D4" i="15" s="1"/>
  <c r="E4" i="15" s="1"/>
  <c r="B7" i="17"/>
  <c r="J4" i="15" s="1"/>
  <c r="B6" i="17"/>
  <c r="M4" i="15" s="1"/>
  <c r="N4" i="15" s="1"/>
  <c r="O4" i="15" s="1"/>
  <c r="P4" i="15" s="1"/>
  <c r="Q4" i="15" s="1"/>
  <c r="R4" i="15" s="1"/>
  <c r="B5" i="17"/>
  <c r="K4" i="15" s="1"/>
  <c r="L4" i="15" s="1"/>
  <c r="B4" i="17"/>
  <c r="I4" i="15" s="1"/>
  <c r="B2" i="17"/>
  <c r="S4" i="15" s="1"/>
  <c r="B3" i="17"/>
  <c r="B4" i="15" s="1"/>
  <c r="AB2" i="17"/>
  <c r="AA2" i="17"/>
  <c r="Z2" i="17"/>
  <c r="B10" i="17" s="1"/>
  <c r="V4" i="15" s="1"/>
  <c r="Y2" i="17"/>
  <c r="R2" i="17"/>
  <c r="S2" i="17" s="1"/>
  <c r="T2" i="17" s="1"/>
  <c r="U2" i="17" s="1"/>
  <c r="V2" i="17" s="1"/>
  <c r="P2" i="17"/>
  <c r="L2" i="17"/>
  <c r="I2" i="17"/>
  <c r="C3" i="15"/>
  <c r="B15" i="13"/>
  <c r="F7" i="16"/>
  <c r="F3" i="16"/>
  <c r="B3" i="13" s="1"/>
  <c r="B3" i="15" s="1"/>
  <c r="B2" i="15"/>
  <c r="F2" i="15"/>
  <c r="I12" i="14"/>
  <c r="B15" i="14" s="1"/>
  <c r="C2" i="15" s="1"/>
  <c r="I11" i="14"/>
  <c r="B14" i="14" s="1"/>
  <c r="G2" i="15" s="1"/>
  <c r="H2" i="15" s="1"/>
  <c r="I10" i="14"/>
  <c r="B13" i="14" s="1"/>
  <c r="I9" i="14"/>
  <c r="B8" i="14" s="1"/>
  <c r="D2" i="15" s="1"/>
  <c r="E2" i="15" s="1"/>
  <c r="I8" i="14"/>
  <c r="B12" i="14" s="1"/>
  <c r="W2" i="15" s="1"/>
  <c r="I6" i="14"/>
  <c r="I5" i="14"/>
  <c r="B3" i="14" s="1"/>
  <c r="B2" i="14" l="1"/>
  <c r="S2" i="15" s="1"/>
  <c r="B5" i="14"/>
  <c r="K2" i="15" s="1"/>
  <c r="L2" i="15" s="1"/>
  <c r="B4" i="14"/>
  <c r="I2" i="15" s="1"/>
  <c r="B6" i="14"/>
  <c r="M2" i="15" s="1"/>
  <c r="N2" i="15" s="1"/>
  <c r="O2" i="15" s="1"/>
  <c r="P2" i="15" s="1"/>
  <c r="Q2" i="15" s="1"/>
  <c r="R2" i="15" s="1"/>
  <c r="B7" i="14"/>
  <c r="J2" i="15" s="1"/>
  <c r="B9" i="14"/>
  <c r="T2" i="15" s="1"/>
  <c r="U2" i="15" s="1"/>
  <c r="B10" i="14"/>
  <c r="V2" i="15" s="1"/>
  <c r="B11" i="14"/>
  <c r="X2" i="15" s="1"/>
  <c r="P8" i="13" l="1"/>
  <c r="P7" i="13"/>
  <c r="P6" i="13"/>
  <c r="D6" i="13" s="1"/>
  <c r="P5" i="13"/>
  <c r="S5" i="13" s="1"/>
  <c r="G5" i="13" s="1"/>
  <c r="P4" i="13"/>
  <c r="T4" i="13" s="1"/>
  <c r="H4" i="13" s="1"/>
  <c r="P3" i="13"/>
  <c r="T3" i="13" s="1"/>
  <c r="H3" i="13" s="1"/>
  <c r="T7" i="13"/>
  <c r="H7" i="13" s="1"/>
  <c r="S7" i="13"/>
  <c r="G7" i="13" s="1"/>
  <c r="R7" i="13"/>
  <c r="F7" i="13" s="1"/>
  <c r="Q7" i="13"/>
  <c r="E7" i="13" s="1"/>
  <c r="N10" i="1"/>
  <c r="M10" i="1"/>
  <c r="L10" i="1"/>
  <c r="K10" i="1"/>
  <c r="N9" i="1"/>
  <c r="M9" i="1"/>
  <c r="L9" i="1"/>
  <c r="K9" i="1"/>
  <c r="N8" i="1"/>
  <c r="M8" i="1"/>
  <c r="L8" i="1"/>
  <c r="K8" i="1"/>
  <c r="N7" i="1"/>
  <c r="M7" i="1"/>
  <c r="L7" i="1"/>
  <c r="K7" i="1"/>
  <c r="N6" i="1"/>
  <c r="M6" i="1"/>
  <c r="L6" i="1"/>
  <c r="K6" i="1"/>
  <c r="N5" i="1"/>
  <c r="M5" i="1"/>
  <c r="L5" i="1"/>
  <c r="Z65" i="10"/>
  <c r="L62" i="11" s="1"/>
  <c r="Z64" i="10"/>
  <c r="L61" i="11" s="1"/>
  <c r="Z63" i="10"/>
  <c r="L60" i="11" s="1"/>
  <c r="Z62" i="10"/>
  <c r="L59" i="11" s="1"/>
  <c r="Z61" i="10"/>
  <c r="L58" i="11" s="1"/>
  <c r="Z60" i="10"/>
  <c r="L57" i="11" s="1"/>
  <c r="Z59" i="10"/>
  <c r="L56" i="11" s="1"/>
  <c r="Z58" i="10"/>
  <c r="L55" i="11" s="1"/>
  <c r="Z57" i="10"/>
  <c r="L54" i="11" s="1"/>
  <c r="Z56" i="10"/>
  <c r="L53" i="11" s="1"/>
  <c r="Z55" i="10"/>
  <c r="L52" i="11" s="1"/>
  <c r="Z54" i="10"/>
  <c r="L51" i="11" s="1"/>
  <c r="Z53" i="10"/>
  <c r="L50" i="11" s="1"/>
  <c r="Z52" i="10"/>
  <c r="L49" i="11" s="1"/>
  <c r="Z51" i="10"/>
  <c r="L48" i="11" s="1"/>
  <c r="Z50" i="10"/>
  <c r="L47" i="11" s="1"/>
  <c r="Z49" i="10"/>
  <c r="L46" i="11" s="1"/>
  <c r="Z48" i="10"/>
  <c r="L45" i="11" s="1"/>
  <c r="Z47" i="10"/>
  <c r="L44" i="11" s="1"/>
  <c r="Z46" i="10"/>
  <c r="L43" i="11" s="1"/>
  <c r="Z45" i="10"/>
  <c r="L42" i="11" s="1"/>
  <c r="Z44" i="10"/>
  <c r="L41" i="11" s="1"/>
  <c r="Z43" i="10"/>
  <c r="L40" i="11" s="1"/>
  <c r="Z42" i="10"/>
  <c r="L39" i="11" s="1"/>
  <c r="Z41" i="10"/>
  <c r="L38" i="11" s="1"/>
  <c r="Z40" i="10"/>
  <c r="L37" i="11" s="1"/>
  <c r="Z39" i="10"/>
  <c r="L36" i="11" s="1"/>
  <c r="Z38" i="10"/>
  <c r="L35" i="11" s="1"/>
  <c r="Z37" i="10"/>
  <c r="L34" i="11" s="1"/>
  <c r="Z36" i="10"/>
  <c r="L33" i="11" s="1"/>
  <c r="Z35" i="10"/>
  <c r="L32" i="11" s="1"/>
  <c r="Z34" i="10"/>
  <c r="L31" i="11" s="1"/>
  <c r="Z33" i="10"/>
  <c r="L30" i="11" s="1"/>
  <c r="Z32" i="10"/>
  <c r="L29" i="11" s="1"/>
  <c r="Z31" i="10"/>
  <c r="L28" i="11" s="1"/>
  <c r="Z30" i="10"/>
  <c r="L27" i="11" s="1"/>
  <c r="Z29" i="10"/>
  <c r="L26" i="11" s="1"/>
  <c r="Z28" i="10"/>
  <c r="L25" i="11" s="1"/>
  <c r="Z27" i="10"/>
  <c r="L24" i="11" s="1"/>
  <c r="Z26" i="10"/>
  <c r="L23" i="11" s="1"/>
  <c r="Z25" i="10"/>
  <c r="L22" i="11" s="1"/>
  <c r="Z24" i="10"/>
  <c r="L21" i="11" s="1"/>
  <c r="Z23" i="10"/>
  <c r="L20" i="11" s="1"/>
  <c r="Z22" i="10"/>
  <c r="L19" i="11" s="1"/>
  <c r="Z21" i="10"/>
  <c r="L18" i="11" s="1"/>
  <c r="Z20" i="10"/>
  <c r="L17" i="11" s="1"/>
  <c r="Z19" i="10"/>
  <c r="L16" i="11" s="1"/>
  <c r="Z18" i="10"/>
  <c r="L15" i="11" s="1"/>
  <c r="Z17" i="10"/>
  <c r="L14" i="11" s="1"/>
  <c r="Z16" i="10"/>
  <c r="L13" i="11" s="1"/>
  <c r="Z15" i="10"/>
  <c r="L12" i="11" s="1"/>
  <c r="Z14" i="10"/>
  <c r="L11" i="11" s="1"/>
  <c r="Z13" i="10"/>
  <c r="L10" i="11" s="1"/>
  <c r="Z12" i="10"/>
  <c r="L9" i="11" s="1"/>
  <c r="Z11" i="10"/>
  <c r="L8" i="11" s="1"/>
  <c r="Z10" i="10"/>
  <c r="L7" i="11" s="1"/>
  <c r="Z9" i="10"/>
  <c r="L6" i="11" s="1"/>
  <c r="Z8" i="10"/>
  <c r="L5" i="11" s="1"/>
  <c r="Z7" i="10"/>
  <c r="L4" i="11" s="1"/>
  <c r="Z6" i="10"/>
  <c r="L3" i="11" s="1"/>
  <c r="Z5" i="10"/>
  <c r="L2" i="11" s="1"/>
  <c r="Y65" i="10"/>
  <c r="K62" i="11" s="1"/>
  <c r="Y64" i="10"/>
  <c r="K61" i="11" s="1"/>
  <c r="Y63" i="10"/>
  <c r="K60" i="11" s="1"/>
  <c r="Y62" i="10"/>
  <c r="K59" i="11" s="1"/>
  <c r="Y61" i="10"/>
  <c r="K58" i="11" s="1"/>
  <c r="Y60" i="10"/>
  <c r="K57" i="11" s="1"/>
  <c r="Y59" i="10"/>
  <c r="K56" i="11" s="1"/>
  <c r="Y58" i="10"/>
  <c r="K55" i="11" s="1"/>
  <c r="Y57" i="10"/>
  <c r="K54" i="11" s="1"/>
  <c r="Y56" i="10"/>
  <c r="K53" i="11" s="1"/>
  <c r="Y55" i="10"/>
  <c r="K52" i="11" s="1"/>
  <c r="Y54" i="10"/>
  <c r="K51" i="11" s="1"/>
  <c r="Y53" i="10"/>
  <c r="K50" i="11" s="1"/>
  <c r="Y52" i="10"/>
  <c r="K49" i="11" s="1"/>
  <c r="Y51" i="10"/>
  <c r="K48" i="11" s="1"/>
  <c r="Y50" i="10"/>
  <c r="K47" i="11" s="1"/>
  <c r="Y49" i="10"/>
  <c r="K46" i="11" s="1"/>
  <c r="Y48" i="10"/>
  <c r="K45" i="11" s="1"/>
  <c r="Y47" i="10"/>
  <c r="K44" i="11" s="1"/>
  <c r="Y46" i="10"/>
  <c r="K43" i="11" s="1"/>
  <c r="Y45" i="10"/>
  <c r="K42" i="11" s="1"/>
  <c r="Y44" i="10"/>
  <c r="K41" i="11" s="1"/>
  <c r="Y43" i="10"/>
  <c r="K40" i="11" s="1"/>
  <c r="Y42" i="10"/>
  <c r="K39" i="11" s="1"/>
  <c r="Y41" i="10"/>
  <c r="K38" i="11" s="1"/>
  <c r="Y40" i="10"/>
  <c r="K37" i="11" s="1"/>
  <c r="Y39" i="10"/>
  <c r="K36" i="11" s="1"/>
  <c r="Y38" i="10"/>
  <c r="K35" i="11" s="1"/>
  <c r="Y37" i="10"/>
  <c r="K34" i="11" s="1"/>
  <c r="Y36" i="10"/>
  <c r="K33" i="11" s="1"/>
  <c r="Y35" i="10"/>
  <c r="K32" i="11" s="1"/>
  <c r="Y34" i="10"/>
  <c r="K31" i="11" s="1"/>
  <c r="Y33" i="10"/>
  <c r="K30" i="11" s="1"/>
  <c r="Y32" i="10"/>
  <c r="K29" i="11" s="1"/>
  <c r="Y31" i="10"/>
  <c r="K28" i="11" s="1"/>
  <c r="Y30" i="10"/>
  <c r="K27" i="11" s="1"/>
  <c r="Y29" i="10"/>
  <c r="K26" i="11" s="1"/>
  <c r="Y28" i="10"/>
  <c r="K25" i="11" s="1"/>
  <c r="Y27" i="10"/>
  <c r="K24" i="11" s="1"/>
  <c r="Y26" i="10"/>
  <c r="K23" i="11" s="1"/>
  <c r="Y25" i="10"/>
  <c r="K22" i="11" s="1"/>
  <c r="Y24" i="10"/>
  <c r="K21" i="11" s="1"/>
  <c r="Y23" i="10"/>
  <c r="K20" i="11" s="1"/>
  <c r="Y22" i="10"/>
  <c r="K19" i="11" s="1"/>
  <c r="Y21" i="10"/>
  <c r="K18" i="11" s="1"/>
  <c r="Y20" i="10"/>
  <c r="K17" i="11" s="1"/>
  <c r="Y19" i="10"/>
  <c r="K16" i="11" s="1"/>
  <c r="Y18" i="10"/>
  <c r="K15" i="11" s="1"/>
  <c r="Y17" i="10"/>
  <c r="K14" i="11" s="1"/>
  <c r="Y16" i="10"/>
  <c r="K13" i="11" s="1"/>
  <c r="Y15" i="10"/>
  <c r="K12" i="11" s="1"/>
  <c r="Y14" i="10"/>
  <c r="K11" i="11" s="1"/>
  <c r="Y13" i="10"/>
  <c r="K10" i="11" s="1"/>
  <c r="Y12" i="10"/>
  <c r="K9" i="11" s="1"/>
  <c r="Y11" i="10"/>
  <c r="K8" i="11" s="1"/>
  <c r="Y10" i="10"/>
  <c r="K7" i="11" s="1"/>
  <c r="Y9" i="10"/>
  <c r="K6" i="11" s="1"/>
  <c r="Y8" i="10"/>
  <c r="K5" i="11" s="1"/>
  <c r="Y7" i="10"/>
  <c r="K4" i="11" s="1"/>
  <c r="Y6" i="10"/>
  <c r="K3" i="11" s="1"/>
  <c r="Y5" i="10"/>
  <c r="K2" i="11" s="1"/>
  <c r="X65" i="10"/>
  <c r="J62" i="11" s="1"/>
  <c r="X64" i="10"/>
  <c r="J61" i="11" s="1"/>
  <c r="X63" i="10"/>
  <c r="J60" i="11" s="1"/>
  <c r="X62" i="10"/>
  <c r="J59" i="11" s="1"/>
  <c r="X61" i="10"/>
  <c r="J58" i="11" s="1"/>
  <c r="X60" i="10"/>
  <c r="J57" i="11" s="1"/>
  <c r="X59" i="10"/>
  <c r="J56" i="11" s="1"/>
  <c r="X58" i="10"/>
  <c r="J55" i="11" s="1"/>
  <c r="X57" i="10"/>
  <c r="J54" i="11" s="1"/>
  <c r="X56" i="10"/>
  <c r="J53" i="11" s="1"/>
  <c r="X55" i="10"/>
  <c r="J52" i="11" s="1"/>
  <c r="X54" i="10"/>
  <c r="J51" i="11" s="1"/>
  <c r="X53" i="10"/>
  <c r="J50" i="11" s="1"/>
  <c r="X52" i="10"/>
  <c r="J49" i="11" s="1"/>
  <c r="X51" i="10"/>
  <c r="J48" i="11" s="1"/>
  <c r="X50" i="10"/>
  <c r="J47" i="11" s="1"/>
  <c r="X49" i="10"/>
  <c r="J46" i="11" s="1"/>
  <c r="X48" i="10"/>
  <c r="J45" i="11" s="1"/>
  <c r="X47" i="10"/>
  <c r="J44" i="11" s="1"/>
  <c r="X46" i="10"/>
  <c r="J43" i="11" s="1"/>
  <c r="X45" i="10"/>
  <c r="J42" i="11" s="1"/>
  <c r="X44" i="10"/>
  <c r="J41" i="11" s="1"/>
  <c r="X43" i="10"/>
  <c r="J40" i="11" s="1"/>
  <c r="X42" i="10"/>
  <c r="J39" i="11" s="1"/>
  <c r="X41" i="10"/>
  <c r="J38" i="11" s="1"/>
  <c r="X40" i="10"/>
  <c r="J37" i="11" s="1"/>
  <c r="X39" i="10"/>
  <c r="J36" i="11" s="1"/>
  <c r="X38" i="10"/>
  <c r="J35" i="11" s="1"/>
  <c r="X37" i="10"/>
  <c r="J34" i="11" s="1"/>
  <c r="X36" i="10"/>
  <c r="J33" i="11" s="1"/>
  <c r="X35" i="10"/>
  <c r="J32" i="11" s="1"/>
  <c r="X34" i="10"/>
  <c r="J31" i="11" s="1"/>
  <c r="X33" i="10"/>
  <c r="J30" i="11" s="1"/>
  <c r="X32" i="10"/>
  <c r="J29" i="11" s="1"/>
  <c r="X31" i="10"/>
  <c r="J28" i="11" s="1"/>
  <c r="X30" i="10"/>
  <c r="J27" i="11" s="1"/>
  <c r="X29" i="10"/>
  <c r="J26" i="11" s="1"/>
  <c r="X28" i="10"/>
  <c r="J25" i="11" s="1"/>
  <c r="X27" i="10"/>
  <c r="J24" i="11" s="1"/>
  <c r="X26" i="10"/>
  <c r="J23" i="11" s="1"/>
  <c r="X25" i="10"/>
  <c r="J22" i="11" s="1"/>
  <c r="X24" i="10"/>
  <c r="J21" i="11" s="1"/>
  <c r="X23" i="10"/>
  <c r="J20" i="11" s="1"/>
  <c r="X22" i="10"/>
  <c r="J19" i="11" s="1"/>
  <c r="X21" i="10"/>
  <c r="J18" i="11" s="1"/>
  <c r="X20" i="10"/>
  <c r="J17" i="11" s="1"/>
  <c r="X19" i="10"/>
  <c r="J16" i="11" s="1"/>
  <c r="X18" i="10"/>
  <c r="J15" i="11" s="1"/>
  <c r="X17" i="10"/>
  <c r="J14" i="11" s="1"/>
  <c r="X16" i="10"/>
  <c r="J13" i="11" s="1"/>
  <c r="X15" i="10"/>
  <c r="J12" i="11" s="1"/>
  <c r="X14" i="10"/>
  <c r="J11" i="11" s="1"/>
  <c r="X13" i="10"/>
  <c r="J10" i="11" s="1"/>
  <c r="X12" i="10"/>
  <c r="J9" i="11" s="1"/>
  <c r="X11" i="10"/>
  <c r="J8" i="11" s="1"/>
  <c r="X10" i="10"/>
  <c r="J7" i="11" s="1"/>
  <c r="X9" i="10"/>
  <c r="J6" i="11" s="1"/>
  <c r="X8" i="10"/>
  <c r="J5" i="11" s="1"/>
  <c r="X7" i="10"/>
  <c r="J4" i="11" s="1"/>
  <c r="X6" i="10"/>
  <c r="J3" i="11" s="1"/>
  <c r="X5" i="10"/>
  <c r="J2" i="11" s="1"/>
  <c r="W6" i="10"/>
  <c r="W7" i="10"/>
  <c r="W8" i="10"/>
  <c r="W9" i="10"/>
  <c r="W10" i="10"/>
  <c r="W11" i="10"/>
  <c r="W12" i="10"/>
  <c r="W13" i="10"/>
  <c r="W14" i="10"/>
  <c r="W15" i="10"/>
  <c r="W16" i="10"/>
  <c r="W17" i="10"/>
  <c r="W18" i="10"/>
  <c r="W19" i="10"/>
  <c r="I16" i="11" s="1"/>
  <c r="W20" i="10"/>
  <c r="W21" i="10"/>
  <c r="W22" i="10"/>
  <c r="W23" i="10"/>
  <c r="W24" i="10"/>
  <c r="W25" i="10"/>
  <c r="W26" i="10"/>
  <c r="W27" i="10"/>
  <c r="W28" i="10"/>
  <c r="I25" i="11" s="1"/>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I57" i="11" s="1"/>
  <c r="W61" i="10"/>
  <c r="W62" i="10"/>
  <c r="W63" i="10"/>
  <c r="W64" i="10"/>
  <c r="W65" i="10"/>
  <c r="W5" i="10"/>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2"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AN4" i="2"/>
  <c r="AN3" i="2"/>
  <c r="AN2" i="2"/>
  <c r="S2" i="10"/>
  <c r="T2" i="10"/>
  <c r="U2" i="10"/>
  <c r="V2" i="10"/>
  <c r="AA2" i="10"/>
  <c r="AB2" i="10"/>
  <c r="R2" i="10"/>
  <c r="AC2" i="10"/>
  <c r="AC65" i="10" s="1"/>
  <c r="O62" i="11" s="1"/>
  <c r="Q2" i="10"/>
  <c r="Q60" i="10" s="1"/>
  <c r="C57" i="11" s="1"/>
  <c r="P2" i="10"/>
  <c r="AP46" i="2"/>
  <c r="AP47" i="2"/>
  <c r="AP48" i="2"/>
  <c r="AP49" i="2"/>
  <c r="AP50" i="2"/>
  <c r="AP51" i="2"/>
  <c r="AP52" i="2"/>
  <c r="AP53" i="2"/>
  <c r="AP54" i="2"/>
  <c r="AP55" i="2"/>
  <c r="AP56" i="2"/>
  <c r="AP57" i="2"/>
  <c r="AP58" i="2"/>
  <c r="AP59" i="2"/>
  <c r="AP60" i="2"/>
  <c r="AP61" i="2"/>
  <c r="AP45" i="2"/>
  <c r="AO61" i="2"/>
  <c r="AO60" i="2" s="1"/>
  <c r="AO59" i="2" s="1"/>
  <c r="AO58" i="2" s="1"/>
  <c r="AO57" i="2" s="1"/>
  <c r="AO56" i="2" s="1"/>
  <c r="AO55" i="2" s="1"/>
  <c r="AO54" i="2" s="1"/>
  <c r="AO53" i="2" s="1"/>
  <c r="AO52" i="2" s="1"/>
  <c r="AO51" i="2" s="1"/>
  <c r="AO50" i="2" s="1"/>
  <c r="AO49" i="2" s="1"/>
  <c r="AO48" i="2" s="1"/>
  <c r="AO47" i="2" s="1"/>
  <c r="AO46" i="2" s="1"/>
  <c r="AO45" i="2" s="1"/>
  <c r="AO44" i="2" s="1"/>
  <c r="AO43" i="2" s="1"/>
  <c r="AO42" i="2" s="1"/>
  <c r="AO41" i="2" s="1"/>
  <c r="AO40" i="2" s="1"/>
  <c r="AO39" i="2" s="1"/>
  <c r="AO38" i="2" s="1"/>
  <c r="AO37" i="2" s="1"/>
  <c r="AO36" i="2" s="1"/>
  <c r="AO35" i="2" s="1"/>
  <c r="AO34" i="2" s="1"/>
  <c r="AO33" i="2" s="1"/>
  <c r="AO32" i="2" s="1"/>
  <c r="AO31" i="2"/>
  <c r="AO30" i="2"/>
  <c r="AO29" i="2"/>
  <c r="AO28" i="2"/>
  <c r="AO25" i="2" s="1"/>
  <c r="Q6" i="13" l="1"/>
  <c r="E6" i="13" s="1"/>
  <c r="AO27" i="2"/>
  <c r="AO26" i="2"/>
  <c r="R6" i="13"/>
  <c r="F6" i="13" s="1"/>
  <c r="S6" i="13"/>
  <c r="G6" i="13" s="1"/>
  <c r="T6" i="13"/>
  <c r="H6" i="13" s="1"/>
  <c r="D3" i="13"/>
  <c r="Q3" i="13"/>
  <c r="E3" i="13" s="1"/>
  <c r="D4" i="13"/>
  <c r="D7" i="13"/>
  <c r="Q8" i="13"/>
  <c r="E8" i="13" s="1"/>
  <c r="R8" i="13"/>
  <c r="F8" i="13" s="1"/>
  <c r="D8" i="13"/>
  <c r="T8" i="13"/>
  <c r="H8" i="13" s="1"/>
  <c r="D5" i="13"/>
  <c r="S8" i="13"/>
  <c r="G8" i="13" s="1"/>
  <c r="R3" i="13"/>
  <c r="F3" i="13" s="1"/>
  <c r="S3" i="13"/>
  <c r="G3" i="13" s="1"/>
  <c r="R5" i="13"/>
  <c r="F5" i="13" s="1"/>
  <c r="Q4" i="13"/>
  <c r="E4" i="13" s="1"/>
  <c r="R4" i="13"/>
  <c r="F4" i="13" s="1"/>
  <c r="S4" i="13"/>
  <c r="G4" i="13" s="1"/>
  <c r="Q5" i="13"/>
  <c r="E5" i="13" s="1"/>
  <c r="T5" i="13"/>
  <c r="H5" i="13" s="1"/>
  <c r="Q46" i="10"/>
  <c r="C43" i="11" s="1"/>
  <c r="Q30" i="10"/>
  <c r="C27" i="11" s="1"/>
  <c r="I49" i="11"/>
  <c r="P63" i="10"/>
  <c r="Q33" i="10"/>
  <c r="C30" i="11" s="1"/>
  <c r="AC58" i="10"/>
  <c r="O55" i="11" s="1"/>
  <c r="AC6" i="10"/>
  <c r="O3" i="11" s="1"/>
  <c r="AC7" i="10"/>
  <c r="O4" i="11" s="1"/>
  <c r="I61" i="11"/>
  <c r="I4" i="11"/>
  <c r="I32" i="11"/>
  <c r="I9" i="11"/>
  <c r="P40" i="10"/>
  <c r="I60" i="11"/>
  <c r="P17" i="10"/>
  <c r="Q17" i="10"/>
  <c r="C14" i="11" s="1"/>
  <c r="I20" i="11"/>
  <c r="I44" i="11"/>
  <c r="AC51" i="10"/>
  <c r="O48" i="11" s="1"/>
  <c r="Q34" i="10"/>
  <c r="C31" i="11" s="1"/>
  <c r="AC46" i="10"/>
  <c r="O43" i="11" s="1"/>
  <c r="AC59" i="10"/>
  <c r="O56" i="11" s="1"/>
  <c r="P8" i="10"/>
  <c r="Q18" i="10"/>
  <c r="C15" i="11" s="1"/>
  <c r="P24" i="10"/>
  <c r="P41" i="10"/>
  <c r="P53" i="10"/>
  <c r="Q41" i="10"/>
  <c r="C38" i="11" s="1"/>
  <c r="Q53" i="10"/>
  <c r="C50" i="11" s="1"/>
  <c r="P9" i="10"/>
  <c r="Q14" i="10"/>
  <c r="C11" i="11" s="1"/>
  <c r="P25" i="10"/>
  <c r="Q54" i="10"/>
  <c r="C51" i="11" s="1"/>
  <c r="Q9" i="10"/>
  <c r="C6" i="11" s="1"/>
  <c r="I33" i="11"/>
  <c r="AC54" i="10"/>
  <c r="O51" i="11" s="1"/>
  <c r="AC14" i="10"/>
  <c r="O11" i="11" s="1"/>
  <c r="AC42" i="10"/>
  <c r="O39" i="11" s="1"/>
  <c r="I45" i="11"/>
  <c r="I52" i="11"/>
  <c r="Q62" i="10"/>
  <c r="C59" i="11" s="1"/>
  <c r="AC19" i="10"/>
  <c r="O16" i="11" s="1"/>
  <c r="P37" i="10"/>
  <c r="AC55" i="10"/>
  <c r="O52" i="11" s="1"/>
  <c r="AC62" i="10"/>
  <c r="O59" i="11" s="1"/>
  <c r="I17" i="11"/>
  <c r="I28" i="11"/>
  <c r="Q37" i="10"/>
  <c r="C34" i="11" s="1"/>
  <c r="AC43" i="10"/>
  <c r="O40" i="11" s="1"/>
  <c r="P49" i="10"/>
  <c r="AC10" i="10"/>
  <c r="O7" i="11" s="1"/>
  <c r="I12" i="11"/>
  <c r="Q49" i="10"/>
  <c r="C46" i="11" s="1"/>
  <c r="P5" i="10"/>
  <c r="Q5" i="10"/>
  <c r="C2" i="11" s="1"/>
  <c r="AC11" i="10"/>
  <c r="O8" i="11" s="1"/>
  <c r="I29" i="11"/>
  <c r="AC38" i="10"/>
  <c r="O35" i="11" s="1"/>
  <c r="I41" i="11"/>
  <c r="Q50" i="10"/>
  <c r="C47" i="11" s="1"/>
  <c r="Q57" i="10"/>
  <c r="C54" i="11" s="1"/>
  <c r="I55" i="11"/>
  <c r="P12" i="10"/>
  <c r="I13" i="11"/>
  <c r="P28" i="10"/>
  <c r="I36" i="11"/>
  <c r="P21" i="10"/>
  <c r="Q38" i="10"/>
  <c r="C35" i="11" s="1"/>
  <c r="Q6" i="10"/>
  <c r="C3" i="11" s="1"/>
  <c r="P33" i="10"/>
  <c r="AC39" i="10"/>
  <c r="O36" i="11" s="1"/>
  <c r="I48" i="11"/>
  <c r="Q65" i="10"/>
  <c r="C62" i="11" s="1"/>
  <c r="P44" i="10"/>
  <c r="I10" i="11"/>
  <c r="Q15" i="10"/>
  <c r="C12" i="11" s="1"/>
  <c r="P18" i="10"/>
  <c r="AC20" i="10"/>
  <c r="O17" i="11" s="1"/>
  <c r="I26" i="11"/>
  <c r="Q31" i="10"/>
  <c r="C28" i="11" s="1"/>
  <c r="P34" i="10"/>
  <c r="I42" i="11"/>
  <c r="Q47" i="10"/>
  <c r="C44" i="11" s="1"/>
  <c r="P50" i="10"/>
  <c r="AC52" i="10"/>
  <c r="O49" i="11" s="1"/>
  <c r="I58" i="11"/>
  <c r="Q63" i="10"/>
  <c r="C60" i="11" s="1"/>
  <c r="P56" i="10"/>
  <c r="I3" i="11"/>
  <c r="Q8" i="10"/>
  <c r="C5" i="11" s="1"/>
  <c r="P11" i="10"/>
  <c r="AC13" i="10"/>
  <c r="O10" i="11" s="1"/>
  <c r="I19" i="11"/>
  <c r="P27" i="10"/>
  <c r="I35" i="11"/>
  <c r="Q40" i="10"/>
  <c r="C37" i="11" s="1"/>
  <c r="P43" i="10"/>
  <c r="AC45" i="10"/>
  <c r="O42" i="11" s="1"/>
  <c r="I51" i="11"/>
  <c r="Q56" i="10"/>
  <c r="C53" i="11" s="1"/>
  <c r="P59" i="10"/>
  <c r="AC61" i="10"/>
  <c r="O58" i="11" s="1"/>
  <c r="I6" i="11"/>
  <c r="Q11" i="10"/>
  <c r="C8" i="11" s="1"/>
  <c r="P14" i="10"/>
  <c r="AC16" i="10"/>
  <c r="O13" i="11" s="1"/>
  <c r="I22" i="11"/>
  <c r="Q27" i="10"/>
  <c r="C24" i="11" s="1"/>
  <c r="P30" i="10"/>
  <c r="I38" i="11"/>
  <c r="Q43" i="10"/>
  <c r="C40" i="11" s="1"/>
  <c r="P46" i="10"/>
  <c r="AC48" i="10"/>
  <c r="O45" i="11" s="1"/>
  <c r="I54" i="11"/>
  <c r="Q59" i="10"/>
  <c r="C56" i="11" s="1"/>
  <c r="P62" i="10"/>
  <c r="AC64" i="10"/>
  <c r="O61" i="11" s="1"/>
  <c r="P65" i="10"/>
  <c r="P36" i="10"/>
  <c r="P52" i="10"/>
  <c r="P7" i="10"/>
  <c r="AC9" i="10"/>
  <c r="O6" i="11" s="1"/>
  <c r="I15" i="11"/>
  <c r="P23" i="10"/>
  <c r="I31" i="11"/>
  <c r="Q36" i="10"/>
  <c r="C33" i="11" s="1"/>
  <c r="P39" i="10"/>
  <c r="AC41" i="10"/>
  <c r="O38" i="11" s="1"/>
  <c r="I47" i="11"/>
  <c r="Q52" i="10"/>
  <c r="C49" i="11" s="1"/>
  <c r="P55" i="10"/>
  <c r="AC57" i="10"/>
  <c r="O54" i="11" s="1"/>
  <c r="I2" i="11"/>
  <c r="Q7" i="10"/>
  <c r="C4" i="11" s="1"/>
  <c r="P10" i="10"/>
  <c r="AC12" i="10"/>
  <c r="O9" i="11" s="1"/>
  <c r="I18" i="11"/>
  <c r="P26" i="10"/>
  <c r="I34" i="11"/>
  <c r="Q39" i="10"/>
  <c r="C36" i="11" s="1"/>
  <c r="P42" i="10"/>
  <c r="AC44" i="10"/>
  <c r="O41" i="11" s="1"/>
  <c r="I50" i="11"/>
  <c r="Q55" i="10"/>
  <c r="C52" i="11" s="1"/>
  <c r="P58" i="10"/>
  <c r="AC60" i="10"/>
  <c r="O57" i="11" s="1"/>
  <c r="I5" i="11"/>
  <c r="Q10" i="10"/>
  <c r="C7" i="11" s="1"/>
  <c r="P13" i="10"/>
  <c r="AC15" i="10"/>
  <c r="O12" i="11" s="1"/>
  <c r="I21" i="11"/>
  <c r="P29" i="10"/>
  <c r="I37" i="11"/>
  <c r="Q42" i="10"/>
  <c r="C39" i="11" s="1"/>
  <c r="P45" i="10"/>
  <c r="AC47" i="10"/>
  <c r="O44" i="11" s="1"/>
  <c r="I53" i="11"/>
  <c r="Q58" i="10"/>
  <c r="C55" i="11" s="1"/>
  <c r="P61" i="10"/>
  <c r="AC63" i="10"/>
  <c r="O60" i="11" s="1"/>
  <c r="P20" i="10"/>
  <c r="I8" i="11"/>
  <c r="Q13" i="10"/>
  <c r="C10" i="11" s="1"/>
  <c r="P16" i="10"/>
  <c r="AC18" i="10"/>
  <c r="O15" i="11" s="1"/>
  <c r="I24" i="11"/>
  <c r="Q29" i="10"/>
  <c r="C26" i="11" s="1"/>
  <c r="P32" i="10"/>
  <c r="I40" i="11"/>
  <c r="Q45" i="10"/>
  <c r="C42" i="11" s="1"/>
  <c r="P48" i="10"/>
  <c r="AC50" i="10"/>
  <c r="O47" i="11" s="1"/>
  <c r="I56" i="11"/>
  <c r="Q61" i="10"/>
  <c r="C58" i="11" s="1"/>
  <c r="P64" i="10"/>
  <c r="AC5" i="10"/>
  <c r="O2" i="11" s="1"/>
  <c r="I11" i="11"/>
  <c r="Q16" i="10"/>
  <c r="C13" i="11" s="1"/>
  <c r="P19" i="10"/>
  <c r="I27" i="11"/>
  <c r="Q32" i="10"/>
  <c r="C29" i="11" s="1"/>
  <c r="P35" i="10"/>
  <c r="AC37" i="10"/>
  <c r="O34" i="11" s="1"/>
  <c r="I43" i="11"/>
  <c r="Q48" i="10"/>
  <c r="C45" i="11" s="1"/>
  <c r="P51" i="10"/>
  <c r="AC53" i="10"/>
  <c r="O50" i="11" s="1"/>
  <c r="I59" i="11"/>
  <c r="Q64" i="10"/>
  <c r="C61" i="11" s="1"/>
  <c r="P6" i="10"/>
  <c r="AC8" i="10"/>
  <c r="O5" i="11" s="1"/>
  <c r="I14" i="11"/>
  <c r="P22" i="10"/>
  <c r="I30" i="11"/>
  <c r="Q35" i="10"/>
  <c r="C32" i="11" s="1"/>
  <c r="P38" i="10"/>
  <c r="AC40" i="10"/>
  <c r="O37" i="11" s="1"/>
  <c r="I46" i="11"/>
  <c r="Q51" i="10"/>
  <c r="C48" i="11" s="1"/>
  <c r="P54" i="10"/>
  <c r="AC56" i="10"/>
  <c r="O53" i="11" s="1"/>
  <c r="I62" i="11"/>
  <c r="P57" i="10"/>
  <c r="P60" i="10"/>
  <c r="I7" i="11"/>
  <c r="Q12" i="10"/>
  <c r="C9" i="11" s="1"/>
  <c r="P15" i="10"/>
  <c r="AC17" i="10"/>
  <c r="O14" i="11" s="1"/>
  <c r="I23" i="11"/>
  <c r="Q28" i="10"/>
  <c r="C25" i="11" s="1"/>
  <c r="P31" i="10"/>
  <c r="I39" i="11"/>
  <c r="Q44" i="10"/>
  <c r="C41" i="11" s="1"/>
  <c r="P47" i="10"/>
  <c r="AC49" i="10"/>
  <c r="O46" i="11" s="1"/>
  <c r="Y1" i="2"/>
  <c r="B2" i="8"/>
  <c r="D2" i="8" s="1"/>
  <c r="AP18" i="2" s="1"/>
  <c r="AC21" i="10" s="1"/>
  <c r="O18" i="11" s="1"/>
  <c r="C2" i="8"/>
  <c r="B3" i="8"/>
  <c r="C3" i="8"/>
  <c r="B4" i="8"/>
  <c r="C4" i="8"/>
  <c r="B5" i="8"/>
  <c r="C5" i="8"/>
  <c r="B6" i="8"/>
  <c r="C6" i="8"/>
  <c r="B7" i="8"/>
  <c r="C7" i="8"/>
  <c r="B8" i="8"/>
  <c r="C8" i="8"/>
  <c r="B9" i="8"/>
  <c r="C9" i="8"/>
  <c r="B10" i="8"/>
  <c r="C10" i="8"/>
  <c r="B11" i="8"/>
  <c r="D11" i="8" s="1"/>
  <c r="AP27" i="2" s="1"/>
  <c r="AC30" i="10" s="1"/>
  <c r="O27" i="11" s="1"/>
  <c r="C11" i="8"/>
  <c r="B12" i="8"/>
  <c r="C12" i="8"/>
  <c r="B13" i="8"/>
  <c r="C13" i="8"/>
  <c r="B14" i="8"/>
  <c r="C14" i="8"/>
  <c r="B15" i="8"/>
  <c r="C15" i="8"/>
  <c r="B16" i="8"/>
  <c r="C16" i="8"/>
  <c r="B17" i="8"/>
  <c r="C17" i="8"/>
  <c r="B13" i="13" l="1"/>
  <c r="F3" i="15" s="1"/>
  <c r="B14" i="13"/>
  <c r="G3" i="15" s="1"/>
  <c r="H3" i="15" s="1"/>
  <c r="B11" i="13"/>
  <c r="X3" i="15" s="1"/>
  <c r="B10" i="13"/>
  <c r="V3" i="15" s="1"/>
  <c r="B9" i="13"/>
  <c r="T3" i="15" s="1"/>
  <c r="U3" i="15" s="1"/>
  <c r="B12" i="13"/>
  <c r="W3" i="15" s="1"/>
  <c r="B6" i="13"/>
  <c r="M3" i="15" s="1"/>
  <c r="N3" i="15" s="1"/>
  <c r="O3" i="15" s="1"/>
  <c r="P3" i="15" s="1"/>
  <c r="Q3" i="15" s="1"/>
  <c r="R3" i="15" s="1"/>
  <c r="B7" i="13"/>
  <c r="J3" i="15" s="1"/>
  <c r="B4" i="13"/>
  <c r="I3" i="15" s="1"/>
  <c r="B5" i="13"/>
  <c r="K3" i="15" s="1"/>
  <c r="L3" i="15" s="1"/>
  <c r="D8" i="8"/>
  <c r="AP24" i="2" s="1"/>
  <c r="AC27" i="10" s="1"/>
  <c r="O24" i="11" s="1"/>
  <c r="B2" i="13"/>
  <c r="S3" i="15" s="1"/>
  <c r="B8" i="13"/>
  <c r="D3" i="15" s="1"/>
  <c r="E3" i="15" s="1"/>
  <c r="D3" i="8"/>
  <c r="AP19" i="2" s="1"/>
  <c r="AC22" i="10" s="1"/>
  <c r="O19" i="11" s="1"/>
  <c r="B51" i="11"/>
  <c r="B44" i="11"/>
  <c r="B42" i="11"/>
  <c r="B39" i="11"/>
  <c r="B36" i="11"/>
  <c r="B47" i="11"/>
  <c r="B37" i="11"/>
  <c r="B45" i="11"/>
  <c r="B43" i="11"/>
  <c r="B40" i="11"/>
  <c r="B50" i="11"/>
  <c r="B30" i="11"/>
  <c r="B35" i="11"/>
  <c r="B32" i="11"/>
  <c r="B29" i="11"/>
  <c r="B18" i="11"/>
  <c r="B21" i="11"/>
  <c r="B26" i="11"/>
  <c r="B23" i="11"/>
  <c r="B20" i="11"/>
  <c r="B31" i="11"/>
  <c r="B38" i="11"/>
  <c r="B27" i="11"/>
  <c r="B24" i="11"/>
  <c r="B25" i="11"/>
  <c r="B5" i="11"/>
  <c r="B2" i="11"/>
  <c r="B28" i="11"/>
  <c r="B19" i="11"/>
  <c r="B16" i="11"/>
  <c r="B13" i="11"/>
  <c r="B9" i="11"/>
  <c r="B46" i="11"/>
  <c r="B48" i="11"/>
  <c r="B12" i="11"/>
  <c r="B10" i="11"/>
  <c r="B7" i="11"/>
  <c r="B4" i="11"/>
  <c r="B15" i="11"/>
  <c r="B49" i="11"/>
  <c r="B11" i="11"/>
  <c r="B8" i="11"/>
  <c r="B17" i="11"/>
  <c r="B60" i="11"/>
  <c r="B57" i="11"/>
  <c r="B3" i="11"/>
  <c r="B61" i="11"/>
  <c r="B62" i="11"/>
  <c r="B41" i="11"/>
  <c r="B58" i="11"/>
  <c r="B55" i="11"/>
  <c r="B52" i="11"/>
  <c r="B53" i="11"/>
  <c r="B22" i="11"/>
  <c r="B59" i="11"/>
  <c r="B56" i="11"/>
  <c r="B33" i="11"/>
  <c r="B54" i="11"/>
  <c r="B34" i="11"/>
  <c r="B6" i="11"/>
  <c r="B14" i="11"/>
  <c r="D15" i="8"/>
  <c r="AP31" i="2" s="1"/>
  <c r="AC34" i="10" s="1"/>
  <c r="O31" i="11" s="1"/>
  <c r="D4" i="8"/>
  <c r="AP20" i="2" s="1"/>
  <c r="AC23" i="10" s="1"/>
  <c r="O20" i="11" s="1"/>
  <c r="D5" i="8"/>
  <c r="AP21" i="2" s="1"/>
  <c r="AC24" i="10" s="1"/>
  <c r="O21" i="11" s="1"/>
  <c r="D16" i="8"/>
  <c r="AP32" i="2" s="1"/>
  <c r="AC35" i="10" s="1"/>
  <c r="O32" i="11" s="1"/>
  <c r="D14" i="8"/>
  <c r="AP30" i="2" s="1"/>
  <c r="AC33" i="10" s="1"/>
  <c r="O30" i="11" s="1"/>
  <c r="D9" i="8"/>
  <c r="AP25" i="2" s="1"/>
  <c r="AC28" i="10" s="1"/>
  <c r="O25" i="11" s="1"/>
  <c r="D7" i="8"/>
  <c r="AP23" i="2" s="1"/>
  <c r="AC26" i="10" s="1"/>
  <c r="O23" i="11" s="1"/>
  <c r="D6" i="8"/>
  <c r="AP22" i="2" s="1"/>
  <c r="AC25" i="10" s="1"/>
  <c r="O22" i="11" s="1"/>
  <c r="D10" i="8"/>
  <c r="AP26" i="2" s="1"/>
  <c r="AC29" i="10" s="1"/>
  <c r="O26" i="11" s="1"/>
  <c r="D12" i="8"/>
  <c r="AP28" i="2" s="1"/>
  <c r="AC31" i="10" s="1"/>
  <c r="O28" i="11" s="1"/>
  <c r="D17" i="8"/>
  <c r="AP33" i="2" s="1"/>
  <c r="AC36" i="10" s="1"/>
  <c r="O33" i="11" s="1"/>
  <c r="D13" i="8"/>
  <c r="AP29" i="2" s="1"/>
  <c r="AC32" i="10" s="1"/>
  <c r="O29" i="11" s="1"/>
  <c r="Q17" i="2"/>
  <c r="Q1" i="2"/>
  <c r="I1" i="2"/>
  <c r="I17" i="2"/>
  <c r="A17" i="2"/>
  <c r="A1" i="2"/>
  <c r="AM40" i="2"/>
  <c r="AK40" i="2"/>
  <c r="AJ40" i="2"/>
  <c r="AM39" i="2"/>
  <c r="AK39" i="2"/>
  <c r="AJ39" i="2"/>
  <c r="AM38" i="2"/>
  <c r="AK38" i="2"/>
  <c r="AJ38" i="2"/>
  <c r="AM37" i="2"/>
  <c r="AK37" i="2"/>
  <c r="AJ37" i="2"/>
  <c r="AM36" i="2"/>
  <c r="AK36" i="2"/>
  <c r="AJ36" i="2"/>
  <c r="AM35" i="2"/>
  <c r="AK35" i="2"/>
  <c r="AJ35" i="2"/>
  <c r="AM29" i="2"/>
  <c r="AK29" i="2"/>
  <c r="AJ29" i="2"/>
  <c r="AM28" i="2"/>
  <c r="AK28" i="2"/>
  <c r="AJ28" i="2"/>
  <c r="AM27" i="2"/>
  <c r="AK27" i="2"/>
  <c r="AJ27" i="2"/>
  <c r="AM26" i="2"/>
  <c r="AK26" i="2"/>
  <c r="AJ26" i="2"/>
  <c r="AM25" i="2"/>
  <c r="AK25" i="2"/>
  <c r="AJ25" i="2"/>
  <c r="AM24" i="2"/>
  <c r="AK24" i="2"/>
  <c r="AJ24" i="2"/>
  <c r="AM23" i="2"/>
  <c r="AK23" i="2"/>
  <c r="AJ23" i="2"/>
  <c r="AM22" i="2"/>
  <c r="AK22" i="2"/>
  <c r="AJ22" i="2"/>
  <c r="AM21" i="2"/>
  <c r="AK21" i="2"/>
  <c r="AJ21" i="2"/>
  <c r="AM20" i="2"/>
  <c r="AK20" i="2"/>
  <c r="AJ20" i="2"/>
  <c r="AM19" i="2"/>
  <c r="AK19" i="2"/>
  <c r="AJ19" i="2"/>
  <c r="AM18" i="2"/>
  <c r="AK18" i="2"/>
  <c r="AJ18" i="2"/>
  <c r="AM17" i="2"/>
  <c r="AK17" i="2"/>
  <c r="AJ17" i="2"/>
  <c r="AM16" i="2"/>
  <c r="AK16" i="2"/>
  <c r="AJ16" i="2"/>
  <c r="AM15" i="2"/>
  <c r="AK15" i="2"/>
  <c r="AJ15" i="2"/>
  <c r="AM14" i="2"/>
  <c r="AK14" i="2"/>
  <c r="AJ14" i="2"/>
  <c r="AM13" i="2"/>
  <c r="AK13" i="2"/>
  <c r="AJ13" i="2"/>
  <c r="AM12" i="2"/>
  <c r="AK12" i="2"/>
  <c r="AJ12" i="2"/>
  <c r="AM11" i="2"/>
  <c r="AK11" i="2"/>
  <c r="AJ11" i="2"/>
  <c r="AM10" i="2"/>
  <c r="AK10" i="2"/>
  <c r="AJ10" i="2"/>
  <c r="AM9" i="2"/>
  <c r="AK9" i="2"/>
  <c r="AJ9" i="2"/>
  <c r="AM8" i="2"/>
  <c r="AK8" i="2"/>
  <c r="AJ8" i="2"/>
  <c r="AM7" i="2"/>
  <c r="AK7" i="2"/>
  <c r="AJ7" i="2"/>
  <c r="AM6" i="2"/>
  <c r="AK6" i="2"/>
  <c r="AJ6" i="2"/>
  <c r="AM5" i="2"/>
  <c r="AK5" i="2"/>
  <c r="AJ5" i="2"/>
  <c r="AM4" i="2"/>
  <c r="AK4" i="2"/>
  <c r="AJ4" i="2"/>
  <c r="AM3" i="2"/>
  <c r="AK3" i="2"/>
  <c r="AJ3" i="2"/>
  <c r="AM2" i="2"/>
  <c r="AK2" i="2"/>
  <c r="AJ2" i="2"/>
  <c r="AK41" i="2" l="1"/>
  <c r="AK49" i="2"/>
  <c r="AK57" i="2"/>
  <c r="AK42" i="2"/>
  <c r="AK50" i="2"/>
  <c r="AK58" i="2"/>
  <c r="AK43" i="2"/>
  <c r="AK51" i="2"/>
  <c r="AK59" i="2"/>
  <c r="AK44" i="2"/>
  <c r="AK52" i="2"/>
  <c r="AK60" i="2"/>
  <c r="AK45" i="2"/>
  <c r="AK53" i="2"/>
  <c r="AK61" i="2"/>
  <c r="AK46" i="2"/>
  <c r="AK54" i="2"/>
  <c r="AK47" i="2"/>
  <c r="AK55" i="2"/>
  <c r="AK48" i="2"/>
  <c r="AK56" i="2"/>
  <c r="AM42" i="2"/>
  <c r="AM50" i="2"/>
  <c r="AM58" i="2"/>
  <c r="AM43" i="2"/>
  <c r="AM59" i="2"/>
  <c r="AM52" i="2"/>
  <c r="AM45" i="2"/>
  <c r="AM53" i="2"/>
  <c r="AM61" i="2"/>
  <c r="AM46" i="2"/>
  <c r="AM54" i="2"/>
  <c r="AM48" i="2"/>
  <c r="AM56" i="2"/>
  <c r="AM41" i="2"/>
  <c r="AM49" i="2"/>
  <c r="AM57" i="2"/>
  <c r="AM51" i="2"/>
  <c r="AM44" i="2"/>
  <c r="AM60" i="2"/>
  <c r="AM47" i="2"/>
  <c r="AM55" i="2"/>
  <c r="AJ55" i="2"/>
  <c r="AJ53" i="2"/>
  <c r="AJ50" i="2"/>
  <c r="AJ46" i="2"/>
  <c r="AJ60" i="2"/>
  <c r="AJ56" i="2"/>
  <c r="AJ54" i="2"/>
  <c r="AJ52" i="2"/>
  <c r="AJ51" i="2"/>
  <c r="AJ49" i="2"/>
  <c r="AJ48" i="2"/>
  <c r="AJ47" i="2"/>
  <c r="AJ61" i="2"/>
  <c r="AJ45" i="2"/>
  <c r="AJ44" i="2"/>
  <c r="AJ59" i="2"/>
  <c r="AJ43" i="2"/>
  <c r="AJ58" i="2"/>
  <c r="AJ42" i="2"/>
  <c r="AJ57" i="2"/>
  <c r="AJ41" i="2"/>
  <c r="K4" i="5"/>
  <c r="J4" i="5"/>
  <c r="I4" i="5"/>
  <c r="H4" i="5"/>
  <c r="G4" i="5"/>
  <c r="F4" i="5"/>
  <c r="E4" i="5"/>
  <c r="D4" i="5"/>
  <c r="C4" i="5"/>
  <c r="D5" i="5"/>
  <c r="E5" i="5"/>
  <c r="F5" i="5"/>
  <c r="G5" i="5"/>
  <c r="H5" i="5"/>
  <c r="I5" i="5"/>
  <c r="J5" i="5"/>
  <c r="K5" i="5"/>
  <c r="C5" i="5"/>
  <c r="AM34" i="2"/>
  <c r="AK34" i="2"/>
  <c r="AJ34" i="2"/>
  <c r="AK30" i="2"/>
  <c r="AM30" i="2"/>
  <c r="AK31" i="2"/>
  <c r="AM31" i="2"/>
  <c r="AK32" i="2"/>
  <c r="AM32" i="2"/>
  <c r="AK33" i="2"/>
  <c r="AM33" i="2"/>
  <c r="AJ31" i="2"/>
  <c r="AJ32" i="2"/>
  <c r="AJ33" i="2"/>
  <c r="AJ30" i="2"/>
  <c r="D28" i="3" l="1"/>
  <c r="D27" i="3"/>
  <c r="D26" i="3"/>
  <c r="AB3" i="10" s="1"/>
  <c r="AB36" i="10" s="1"/>
  <c r="N33" i="11" s="1"/>
  <c r="D25" i="3"/>
  <c r="D24" i="3"/>
  <c r="D23" i="3"/>
  <c r="AA3" i="10" s="1"/>
  <c r="AA35" i="10" s="1"/>
  <c r="M32" i="11" s="1"/>
  <c r="D22" i="3"/>
  <c r="D21" i="3"/>
  <c r="D20" i="3"/>
  <c r="D19" i="3"/>
  <c r="V3" i="10" s="1"/>
  <c r="V35" i="10" s="1"/>
  <c r="H32" i="11" s="1"/>
  <c r="D18" i="3"/>
  <c r="D17" i="3"/>
  <c r="D16" i="3"/>
  <c r="D15" i="3"/>
  <c r="D14" i="3"/>
  <c r="D13" i="3"/>
  <c r="D12" i="3"/>
  <c r="D11" i="3"/>
  <c r="D10" i="3"/>
  <c r="U3" i="10" s="1"/>
  <c r="U63" i="10" s="1"/>
  <c r="G60" i="11" s="1"/>
  <c r="D9" i="3"/>
  <c r="D8" i="3"/>
  <c r="D7" i="3"/>
  <c r="T3" i="10" s="1"/>
  <c r="T59" i="10" s="1"/>
  <c r="F56" i="11" s="1"/>
  <c r="D6" i="3"/>
  <c r="S3" i="10" s="1"/>
  <c r="S61" i="10" s="1"/>
  <c r="E58" i="11" s="1"/>
  <c r="D5" i="3"/>
  <c r="D4" i="3"/>
  <c r="D3" i="3"/>
  <c r="R3" i="10" s="1"/>
  <c r="R45" i="10" s="1"/>
  <c r="D2" i="3"/>
  <c r="AO17" i="2"/>
  <c r="Q20" i="10" s="1"/>
  <c r="C17" i="11" s="1"/>
  <c r="AO18" i="2"/>
  <c r="Q21" i="10" s="1"/>
  <c r="C18" i="11" s="1"/>
  <c r="AO19" i="2"/>
  <c r="Q22" i="10" s="1"/>
  <c r="C19" i="11" s="1"/>
  <c r="AO20" i="2"/>
  <c r="Q23" i="10" s="1"/>
  <c r="C20" i="11" s="1"/>
  <c r="AO21" i="2"/>
  <c r="Q24" i="10" s="1"/>
  <c r="C21" i="11" s="1"/>
  <c r="AO22" i="2"/>
  <c r="Q25" i="10" s="1"/>
  <c r="C22" i="11" s="1"/>
  <c r="AO23" i="2"/>
  <c r="Q26" i="10" s="1"/>
  <c r="C23" i="11" s="1"/>
  <c r="AO16" i="2"/>
  <c r="Q19" i="10" s="1"/>
  <c r="C16" i="11" s="1"/>
  <c r="D42" i="11" l="1"/>
  <c r="U50" i="10"/>
  <c r="G47" i="11" s="1"/>
  <c r="U56" i="10"/>
  <c r="G53" i="11" s="1"/>
  <c r="U51" i="10"/>
  <c r="G48" i="11" s="1"/>
  <c r="R33" i="10"/>
  <c r="R55" i="10"/>
  <c r="T60" i="10"/>
  <c r="F57" i="11" s="1"/>
  <c r="S62" i="10"/>
  <c r="E59" i="11" s="1"/>
  <c r="S48" i="10"/>
  <c r="E45" i="11" s="1"/>
  <c r="T35" i="10"/>
  <c r="F32" i="11" s="1"/>
  <c r="S59" i="10"/>
  <c r="E56" i="11" s="1"/>
  <c r="U37" i="10"/>
  <c r="G34" i="11" s="1"/>
  <c r="U57" i="10"/>
  <c r="G54" i="11" s="1"/>
  <c r="S65" i="10"/>
  <c r="E62" i="11" s="1"/>
  <c r="S9" i="10"/>
  <c r="E6" i="11" s="1"/>
  <c r="S18" i="10"/>
  <c r="E15" i="11" s="1"/>
  <c r="S32" i="10"/>
  <c r="E29" i="11" s="1"/>
  <c r="S6" i="10"/>
  <c r="E3" i="11" s="1"/>
  <c r="S12" i="10"/>
  <c r="E9" i="11" s="1"/>
  <c r="S38" i="10"/>
  <c r="E35" i="11" s="1"/>
  <c r="S40" i="10"/>
  <c r="E37" i="11" s="1"/>
  <c r="S8" i="10"/>
  <c r="E5" i="11" s="1"/>
  <c r="S10" i="10"/>
  <c r="E7" i="11" s="1"/>
  <c r="S42" i="10"/>
  <c r="E39" i="11" s="1"/>
  <c r="S39" i="10"/>
  <c r="E36" i="11" s="1"/>
  <c r="S22" i="10"/>
  <c r="E19" i="11" s="1"/>
  <c r="S28" i="10"/>
  <c r="E25" i="11" s="1"/>
  <c r="S14" i="10"/>
  <c r="E11" i="11" s="1"/>
  <c r="S13" i="10"/>
  <c r="E10" i="11" s="1"/>
  <c r="S21" i="10"/>
  <c r="E18" i="11" s="1"/>
  <c r="S43" i="10"/>
  <c r="E40" i="11" s="1"/>
  <c r="S25" i="10"/>
  <c r="E22" i="11" s="1"/>
  <c r="S15" i="10"/>
  <c r="E12" i="11" s="1"/>
  <c r="S26" i="10"/>
  <c r="E23" i="11" s="1"/>
  <c r="S17" i="10"/>
  <c r="E14" i="11" s="1"/>
  <c r="S24" i="10"/>
  <c r="E21" i="11" s="1"/>
  <c r="S29" i="10"/>
  <c r="E26" i="11" s="1"/>
  <c r="S11" i="10"/>
  <c r="E8" i="11" s="1"/>
  <c r="S27" i="10"/>
  <c r="E24" i="11" s="1"/>
  <c r="S20" i="10"/>
  <c r="E17" i="11" s="1"/>
  <c r="S30" i="10"/>
  <c r="E27" i="11" s="1"/>
  <c r="S31" i="10"/>
  <c r="E28" i="11" s="1"/>
  <c r="S5" i="10"/>
  <c r="E2" i="11" s="1"/>
  <c r="S19" i="10"/>
  <c r="E16" i="11" s="1"/>
  <c r="S23" i="10"/>
  <c r="E20" i="11" s="1"/>
  <c r="S41" i="10"/>
  <c r="E38" i="11" s="1"/>
  <c r="S7" i="10"/>
  <c r="E4" i="11" s="1"/>
  <c r="S16" i="10"/>
  <c r="E13" i="11" s="1"/>
  <c r="T48" i="10"/>
  <c r="F45" i="11" s="1"/>
  <c r="R35" i="10"/>
  <c r="U59" i="10"/>
  <c r="G56" i="11" s="1"/>
  <c r="T37" i="10"/>
  <c r="F34" i="11" s="1"/>
  <c r="T57" i="10"/>
  <c r="F54" i="11" s="1"/>
  <c r="T61" i="10"/>
  <c r="F58" i="11" s="1"/>
  <c r="AB35" i="10"/>
  <c r="N32" i="11" s="1"/>
  <c r="AA41" i="10"/>
  <c r="M38" i="11" s="1"/>
  <c r="AA30" i="10"/>
  <c r="M27" i="11" s="1"/>
  <c r="AA52" i="10"/>
  <c r="M49" i="11" s="1"/>
  <c r="AA9" i="10"/>
  <c r="M6" i="11" s="1"/>
  <c r="AA20" i="10"/>
  <c r="M17" i="11" s="1"/>
  <c r="AA26" i="10"/>
  <c r="M23" i="11" s="1"/>
  <c r="AA38" i="10"/>
  <c r="M35" i="11" s="1"/>
  <c r="AA60" i="10"/>
  <c r="M57" i="11" s="1"/>
  <c r="AA8" i="10"/>
  <c r="M5" i="11" s="1"/>
  <c r="AA59" i="10"/>
  <c r="M56" i="11" s="1"/>
  <c r="AA25" i="10"/>
  <c r="M22" i="11" s="1"/>
  <c r="AA32" i="10"/>
  <c r="M29" i="11" s="1"/>
  <c r="AA63" i="10"/>
  <c r="M60" i="11" s="1"/>
  <c r="AA6" i="10"/>
  <c r="M3" i="11" s="1"/>
  <c r="AA65" i="10"/>
  <c r="M62" i="11" s="1"/>
  <c r="AA29" i="10"/>
  <c r="M26" i="11" s="1"/>
  <c r="AA48" i="10"/>
  <c r="M45" i="11" s="1"/>
  <c r="AA44" i="10"/>
  <c r="M41" i="11" s="1"/>
  <c r="AA5" i="10"/>
  <c r="M2" i="11" s="1"/>
  <c r="AA27" i="10"/>
  <c r="M24" i="11" s="1"/>
  <c r="AA39" i="10"/>
  <c r="M36" i="11" s="1"/>
  <c r="AA56" i="10"/>
  <c r="M53" i="11" s="1"/>
  <c r="AA46" i="10"/>
  <c r="M43" i="11" s="1"/>
  <c r="AA57" i="10"/>
  <c r="M54" i="11" s="1"/>
  <c r="AA31" i="10"/>
  <c r="M28" i="11" s="1"/>
  <c r="AA49" i="10"/>
  <c r="M46" i="11" s="1"/>
  <c r="AA13" i="10"/>
  <c r="M10" i="11" s="1"/>
  <c r="AA42" i="10"/>
  <c r="M39" i="11" s="1"/>
  <c r="AA54" i="10"/>
  <c r="M51" i="11" s="1"/>
  <c r="AA53" i="10"/>
  <c r="M50" i="11" s="1"/>
  <c r="AA7" i="10"/>
  <c r="M4" i="11" s="1"/>
  <c r="AA14" i="10"/>
  <c r="M11" i="11" s="1"/>
  <c r="AA45" i="10"/>
  <c r="M42" i="11" s="1"/>
  <c r="AA55" i="10"/>
  <c r="M52" i="11" s="1"/>
  <c r="AA24" i="10"/>
  <c r="M21" i="11" s="1"/>
  <c r="AA10" i="10"/>
  <c r="M7" i="11" s="1"/>
  <c r="AA51" i="10"/>
  <c r="M48" i="11" s="1"/>
  <c r="AA12" i="10"/>
  <c r="M9" i="11" s="1"/>
  <c r="AA61" i="10"/>
  <c r="M58" i="11" s="1"/>
  <c r="AA16" i="10"/>
  <c r="M13" i="11" s="1"/>
  <c r="AA22" i="10"/>
  <c r="M19" i="11" s="1"/>
  <c r="AA50" i="10"/>
  <c r="M47" i="11" s="1"/>
  <c r="AA43" i="10"/>
  <c r="M40" i="11" s="1"/>
  <c r="AA62" i="10"/>
  <c r="M59" i="11" s="1"/>
  <c r="AA17" i="10"/>
  <c r="M14" i="11" s="1"/>
  <c r="AA47" i="10"/>
  <c r="M44" i="11" s="1"/>
  <c r="AA21" i="10"/>
  <c r="M18" i="11" s="1"/>
  <c r="AA19" i="10"/>
  <c r="M16" i="11" s="1"/>
  <c r="AA64" i="10"/>
  <c r="M61" i="11" s="1"/>
  <c r="AA28" i="10"/>
  <c r="M25" i="11" s="1"/>
  <c r="AA18" i="10"/>
  <c r="M15" i="11" s="1"/>
  <c r="AA11" i="10"/>
  <c r="M8" i="11" s="1"/>
  <c r="AA58" i="10"/>
  <c r="M55" i="11" s="1"/>
  <c r="AA15" i="10"/>
  <c r="M12" i="11" s="1"/>
  <c r="AA40" i="10"/>
  <c r="M37" i="11" s="1"/>
  <c r="AA23" i="10"/>
  <c r="M20" i="11" s="1"/>
  <c r="U48" i="10"/>
  <c r="G45" i="11" s="1"/>
  <c r="U35" i="10"/>
  <c r="G32" i="11" s="1"/>
  <c r="S37" i="10"/>
  <c r="E34" i="11" s="1"/>
  <c r="S57" i="10"/>
  <c r="E54" i="11" s="1"/>
  <c r="R61" i="10"/>
  <c r="AA36" i="10"/>
  <c r="M33" i="11" s="1"/>
  <c r="T65" i="10"/>
  <c r="F62" i="11" s="1"/>
  <c r="T40" i="10"/>
  <c r="F37" i="11" s="1"/>
  <c r="T8" i="10"/>
  <c r="F5" i="11" s="1"/>
  <c r="T42" i="10"/>
  <c r="F39" i="11" s="1"/>
  <c r="T6" i="10"/>
  <c r="F3" i="11" s="1"/>
  <c r="T12" i="10"/>
  <c r="F9" i="11" s="1"/>
  <c r="T10" i="10"/>
  <c r="F7" i="11" s="1"/>
  <c r="T15" i="10"/>
  <c r="F12" i="11" s="1"/>
  <c r="T43" i="10"/>
  <c r="F40" i="11" s="1"/>
  <c r="T16" i="10"/>
  <c r="F13" i="11" s="1"/>
  <c r="T18" i="10"/>
  <c r="F15" i="11" s="1"/>
  <c r="T26" i="10"/>
  <c r="F23" i="11" s="1"/>
  <c r="T9" i="10"/>
  <c r="F6" i="11" s="1"/>
  <c r="T32" i="10"/>
  <c r="F29" i="11" s="1"/>
  <c r="T21" i="10"/>
  <c r="F18" i="11" s="1"/>
  <c r="T28" i="10"/>
  <c r="F25" i="11" s="1"/>
  <c r="T39" i="10"/>
  <c r="F36" i="11" s="1"/>
  <c r="T13" i="10"/>
  <c r="F10" i="11" s="1"/>
  <c r="T25" i="10"/>
  <c r="F22" i="11" s="1"/>
  <c r="T17" i="10"/>
  <c r="F14" i="11" s="1"/>
  <c r="T5" i="10"/>
  <c r="F2" i="11" s="1"/>
  <c r="T22" i="10"/>
  <c r="F19" i="11" s="1"/>
  <c r="T27" i="10"/>
  <c r="F24" i="11" s="1"/>
  <c r="T30" i="10"/>
  <c r="F27" i="11" s="1"/>
  <c r="T20" i="10"/>
  <c r="F17" i="11" s="1"/>
  <c r="T31" i="10"/>
  <c r="F28" i="11" s="1"/>
  <c r="T11" i="10"/>
  <c r="F8" i="11" s="1"/>
  <c r="T24" i="10"/>
  <c r="F21" i="11" s="1"/>
  <c r="T38" i="10"/>
  <c r="F35" i="11" s="1"/>
  <c r="T14" i="10"/>
  <c r="F11" i="11" s="1"/>
  <c r="T29" i="10"/>
  <c r="F26" i="11" s="1"/>
  <c r="T19" i="10"/>
  <c r="F16" i="11" s="1"/>
  <c r="T23" i="10"/>
  <c r="F20" i="11" s="1"/>
  <c r="T7" i="10"/>
  <c r="F4" i="11" s="1"/>
  <c r="T41" i="10"/>
  <c r="F38" i="11" s="1"/>
  <c r="R48" i="10"/>
  <c r="S35" i="10"/>
  <c r="E32" i="11" s="1"/>
  <c r="R59" i="10"/>
  <c r="R37" i="10"/>
  <c r="R57" i="10"/>
  <c r="U61" i="10"/>
  <c r="G58" i="11" s="1"/>
  <c r="T36" i="10"/>
  <c r="F33" i="11" s="1"/>
  <c r="R64" i="10"/>
  <c r="T44" i="10"/>
  <c r="F41" i="11" s="1"/>
  <c r="U47" i="10"/>
  <c r="G44" i="11" s="1"/>
  <c r="AA33" i="10"/>
  <c r="M30" i="11" s="1"/>
  <c r="R65" i="10"/>
  <c r="R6" i="10"/>
  <c r="R22" i="10"/>
  <c r="R8" i="10"/>
  <c r="R32" i="10"/>
  <c r="R40" i="10"/>
  <c r="R9" i="10"/>
  <c r="R10" i="10"/>
  <c r="R42" i="10"/>
  <c r="R12" i="10"/>
  <c r="R27" i="10"/>
  <c r="R18" i="10"/>
  <c r="R28" i="10"/>
  <c r="R13" i="10"/>
  <c r="R25" i="10"/>
  <c r="R15" i="10"/>
  <c r="R17" i="10"/>
  <c r="R5" i="10"/>
  <c r="R21" i="10"/>
  <c r="R16" i="10"/>
  <c r="R39" i="10"/>
  <c r="R26" i="10"/>
  <c r="R38" i="10"/>
  <c r="R30" i="10"/>
  <c r="R31" i="10"/>
  <c r="R14" i="10"/>
  <c r="R29" i="10"/>
  <c r="R20" i="10"/>
  <c r="R24" i="10"/>
  <c r="R11" i="10"/>
  <c r="R43" i="10"/>
  <c r="R41" i="10"/>
  <c r="R19" i="10"/>
  <c r="R23" i="10"/>
  <c r="R7" i="10"/>
  <c r="U65" i="10"/>
  <c r="G62" i="11" s="1"/>
  <c r="U18" i="10"/>
  <c r="G15" i="11" s="1"/>
  <c r="U10" i="10"/>
  <c r="G7" i="11" s="1"/>
  <c r="U32" i="10"/>
  <c r="G29" i="11" s="1"/>
  <c r="U5" i="10"/>
  <c r="G2" i="11" s="1"/>
  <c r="U40" i="10"/>
  <c r="G37" i="11" s="1"/>
  <c r="U9" i="10"/>
  <c r="G6" i="11" s="1"/>
  <c r="U42" i="10"/>
  <c r="G39" i="11" s="1"/>
  <c r="U6" i="10"/>
  <c r="G3" i="11" s="1"/>
  <c r="U12" i="10"/>
  <c r="G9" i="11" s="1"/>
  <c r="U8" i="10"/>
  <c r="G5" i="11" s="1"/>
  <c r="U28" i="10"/>
  <c r="G25" i="11" s="1"/>
  <c r="U26" i="10"/>
  <c r="G23" i="11" s="1"/>
  <c r="U17" i="10"/>
  <c r="G14" i="11" s="1"/>
  <c r="U38" i="10"/>
  <c r="G35" i="11" s="1"/>
  <c r="U25" i="10"/>
  <c r="G22" i="11" s="1"/>
  <c r="U15" i="10"/>
  <c r="G12" i="11" s="1"/>
  <c r="U22" i="10"/>
  <c r="G19" i="11" s="1"/>
  <c r="U39" i="10"/>
  <c r="G36" i="11" s="1"/>
  <c r="U13" i="10"/>
  <c r="G10" i="11" s="1"/>
  <c r="U21" i="10"/>
  <c r="G18" i="11" s="1"/>
  <c r="U29" i="10"/>
  <c r="G26" i="11" s="1"/>
  <c r="U14" i="10"/>
  <c r="G11" i="11" s="1"/>
  <c r="U30" i="10"/>
  <c r="G27" i="11" s="1"/>
  <c r="U20" i="10"/>
  <c r="G17" i="11" s="1"/>
  <c r="U31" i="10"/>
  <c r="G28" i="11" s="1"/>
  <c r="U24" i="10"/>
  <c r="G21" i="11" s="1"/>
  <c r="U11" i="10"/>
  <c r="G8" i="11" s="1"/>
  <c r="U43" i="10"/>
  <c r="G40" i="11" s="1"/>
  <c r="U23" i="10"/>
  <c r="G20" i="11" s="1"/>
  <c r="U7" i="10"/>
  <c r="G4" i="11" s="1"/>
  <c r="U19" i="10"/>
  <c r="G16" i="11" s="1"/>
  <c r="U41" i="10"/>
  <c r="G38" i="11" s="1"/>
  <c r="U16" i="10"/>
  <c r="G13" i="11" s="1"/>
  <c r="U27" i="10"/>
  <c r="G24" i="11" s="1"/>
  <c r="AB52" i="10"/>
  <c r="N49" i="11" s="1"/>
  <c r="AB58" i="10"/>
  <c r="N55" i="11" s="1"/>
  <c r="AB23" i="10"/>
  <c r="N20" i="11" s="1"/>
  <c r="AB64" i="10"/>
  <c r="N61" i="11" s="1"/>
  <c r="AB38" i="10"/>
  <c r="N35" i="11" s="1"/>
  <c r="AB46" i="10"/>
  <c r="N43" i="11" s="1"/>
  <c r="AB45" i="10"/>
  <c r="N42" i="11" s="1"/>
  <c r="AB63" i="10"/>
  <c r="N60" i="11" s="1"/>
  <c r="AB5" i="10"/>
  <c r="N2" i="11" s="1"/>
  <c r="AB56" i="10"/>
  <c r="N53" i="11" s="1"/>
  <c r="AB54" i="10"/>
  <c r="N51" i="11" s="1"/>
  <c r="AB60" i="10"/>
  <c r="N57" i="11" s="1"/>
  <c r="AB13" i="10"/>
  <c r="N10" i="11" s="1"/>
  <c r="AB32" i="10"/>
  <c r="N29" i="11" s="1"/>
  <c r="AB61" i="10"/>
  <c r="N58" i="11" s="1"/>
  <c r="AB62" i="10"/>
  <c r="N59" i="11" s="1"/>
  <c r="AB17" i="10"/>
  <c r="N14" i="11" s="1"/>
  <c r="AB29" i="10"/>
  <c r="N26" i="11" s="1"/>
  <c r="AB31" i="10"/>
  <c r="N28" i="11" s="1"/>
  <c r="AB25" i="10"/>
  <c r="N22" i="11" s="1"/>
  <c r="AB24" i="10"/>
  <c r="N21" i="11" s="1"/>
  <c r="AB14" i="10"/>
  <c r="N11" i="11" s="1"/>
  <c r="AB28" i="10"/>
  <c r="N25" i="11" s="1"/>
  <c r="AB53" i="10"/>
  <c r="N50" i="11" s="1"/>
  <c r="AB43" i="10"/>
  <c r="N40" i="11" s="1"/>
  <c r="AB65" i="10"/>
  <c r="N62" i="11" s="1"/>
  <c r="AB9" i="10"/>
  <c r="N6" i="11" s="1"/>
  <c r="AB49" i="10"/>
  <c r="N46" i="11" s="1"/>
  <c r="AB39" i="10"/>
  <c r="N36" i="11" s="1"/>
  <c r="AB51" i="10"/>
  <c r="N48" i="11" s="1"/>
  <c r="AB41" i="10"/>
  <c r="N38" i="11" s="1"/>
  <c r="AB50" i="10"/>
  <c r="N47" i="11" s="1"/>
  <c r="AB10" i="10"/>
  <c r="N7" i="11" s="1"/>
  <c r="AB22" i="10"/>
  <c r="N19" i="11" s="1"/>
  <c r="AB21" i="10"/>
  <c r="N18" i="11" s="1"/>
  <c r="AB11" i="10"/>
  <c r="N8" i="11" s="1"/>
  <c r="AB42" i="10"/>
  <c r="N39" i="11" s="1"/>
  <c r="AB7" i="10"/>
  <c r="N4" i="11" s="1"/>
  <c r="AB48" i="10"/>
  <c r="N45" i="11" s="1"/>
  <c r="AB26" i="10"/>
  <c r="N23" i="11" s="1"/>
  <c r="AB19" i="10"/>
  <c r="N16" i="11" s="1"/>
  <c r="AB57" i="10"/>
  <c r="N54" i="11" s="1"/>
  <c r="AB47" i="10"/>
  <c r="N44" i="11" s="1"/>
  <c r="AB40" i="10"/>
  <c r="N37" i="11" s="1"/>
  <c r="AB44" i="10"/>
  <c r="N41" i="11" s="1"/>
  <c r="AB18" i="10"/>
  <c r="N15" i="11" s="1"/>
  <c r="AB59" i="10"/>
  <c r="N56" i="11" s="1"/>
  <c r="AB8" i="10"/>
  <c r="N5" i="11" s="1"/>
  <c r="AB16" i="10"/>
  <c r="N13" i="11" s="1"/>
  <c r="AB15" i="10"/>
  <c r="N12" i="11" s="1"/>
  <c r="AB30" i="10"/>
  <c r="N27" i="11" s="1"/>
  <c r="AB55" i="10"/>
  <c r="N52" i="11" s="1"/>
  <c r="AB12" i="10"/>
  <c r="N9" i="11" s="1"/>
  <c r="AB20" i="10"/>
  <c r="N17" i="11" s="1"/>
  <c r="AB27" i="10"/>
  <c r="N24" i="11" s="1"/>
  <c r="AB6" i="10"/>
  <c r="N3" i="11" s="1"/>
  <c r="R36" i="10"/>
  <c r="S64" i="10"/>
  <c r="E61" i="11" s="1"/>
  <c r="S44" i="10"/>
  <c r="E41" i="11" s="1"/>
  <c r="T45" i="10"/>
  <c r="F42" i="11" s="1"/>
  <c r="T47" i="10"/>
  <c r="F44" i="11" s="1"/>
  <c r="T63" i="10"/>
  <c r="F60" i="11" s="1"/>
  <c r="AB33" i="10"/>
  <c r="N30" i="11" s="1"/>
  <c r="S36" i="10"/>
  <c r="E33" i="11" s="1"/>
  <c r="T64" i="10"/>
  <c r="F61" i="11" s="1"/>
  <c r="R44" i="10"/>
  <c r="S45" i="10"/>
  <c r="E42" i="11" s="1"/>
  <c r="R47" i="10"/>
  <c r="R63" i="10"/>
  <c r="AA34" i="10"/>
  <c r="M31" i="11" s="1"/>
  <c r="U36" i="10"/>
  <c r="G33" i="11" s="1"/>
  <c r="U64" i="10"/>
  <c r="G61" i="11" s="1"/>
  <c r="U44" i="10"/>
  <c r="G41" i="11" s="1"/>
  <c r="U45" i="10"/>
  <c r="G42" i="11" s="1"/>
  <c r="S47" i="10"/>
  <c r="E44" i="11" s="1"/>
  <c r="S63" i="10"/>
  <c r="E60" i="11" s="1"/>
  <c r="AB34" i="10"/>
  <c r="N31" i="11" s="1"/>
  <c r="T46" i="10"/>
  <c r="F43" i="11" s="1"/>
  <c r="U53" i="10"/>
  <c r="G50" i="11" s="1"/>
  <c r="S49" i="10"/>
  <c r="E46" i="11" s="1"/>
  <c r="S54" i="10"/>
  <c r="E51" i="11" s="1"/>
  <c r="R58" i="10"/>
  <c r="S52" i="10"/>
  <c r="E49" i="11" s="1"/>
  <c r="R34" i="10"/>
  <c r="AA37" i="10"/>
  <c r="M34" i="11" s="1"/>
  <c r="U46" i="10"/>
  <c r="G43" i="11" s="1"/>
  <c r="T53" i="10"/>
  <c r="F50" i="11" s="1"/>
  <c r="R49" i="10"/>
  <c r="U54" i="10"/>
  <c r="G51" i="11" s="1"/>
  <c r="S58" i="10"/>
  <c r="E55" i="11" s="1"/>
  <c r="U52" i="10"/>
  <c r="G49" i="11" s="1"/>
  <c r="U34" i="10"/>
  <c r="G31" i="11" s="1"/>
  <c r="AB37" i="10"/>
  <c r="N34" i="11" s="1"/>
  <c r="R46" i="10"/>
  <c r="S53" i="10"/>
  <c r="E50" i="11" s="1"/>
  <c r="T49" i="10"/>
  <c r="F46" i="11" s="1"/>
  <c r="T54" i="10"/>
  <c r="F51" i="11" s="1"/>
  <c r="T58" i="10"/>
  <c r="F55" i="11" s="1"/>
  <c r="T52" i="10"/>
  <c r="F49" i="11" s="1"/>
  <c r="T34" i="10"/>
  <c r="F31" i="11" s="1"/>
  <c r="V34" i="10"/>
  <c r="H31" i="11" s="1"/>
  <c r="S46" i="10"/>
  <c r="E43" i="11" s="1"/>
  <c r="R53" i="10"/>
  <c r="U49" i="10"/>
  <c r="G46" i="11" s="1"/>
  <c r="R54" i="10"/>
  <c r="U58" i="10"/>
  <c r="G55" i="11" s="1"/>
  <c r="R52" i="10"/>
  <c r="S34" i="10"/>
  <c r="E31" i="11" s="1"/>
  <c r="V36" i="10"/>
  <c r="H33" i="11" s="1"/>
  <c r="T50" i="10"/>
  <c r="F47" i="11" s="1"/>
  <c r="T56" i="10"/>
  <c r="F53" i="11" s="1"/>
  <c r="S51" i="10"/>
  <c r="E48" i="11" s="1"/>
  <c r="U33" i="10"/>
  <c r="G30" i="11" s="1"/>
  <c r="T55" i="10"/>
  <c r="F52" i="11" s="1"/>
  <c r="S60" i="10"/>
  <c r="E57" i="11" s="1"/>
  <c r="R62" i="10"/>
  <c r="V37" i="10"/>
  <c r="H34" i="11" s="1"/>
  <c r="S50" i="10"/>
  <c r="E47" i="11" s="1"/>
  <c r="S56" i="10"/>
  <c r="E53" i="11" s="1"/>
  <c r="R51" i="10"/>
  <c r="S33" i="10"/>
  <c r="E30" i="11" s="1"/>
  <c r="S55" i="10"/>
  <c r="E52" i="11" s="1"/>
  <c r="R60" i="10"/>
  <c r="T62" i="10"/>
  <c r="F59" i="11" s="1"/>
  <c r="V25" i="10"/>
  <c r="H22" i="11" s="1"/>
  <c r="V17" i="10"/>
  <c r="H14" i="11" s="1"/>
  <c r="V47" i="10"/>
  <c r="H44" i="11" s="1"/>
  <c r="V24" i="10"/>
  <c r="H21" i="11" s="1"/>
  <c r="V55" i="10"/>
  <c r="H52" i="11" s="1"/>
  <c r="V7" i="10"/>
  <c r="H4" i="11" s="1"/>
  <c r="V64" i="10"/>
  <c r="H61" i="11" s="1"/>
  <c r="V54" i="10"/>
  <c r="H51" i="11" s="1"/>
  <c r="V21" i="10"/>
  <c r="H18" i="11" s="1"/>
  <c r="V46" i="10"/>
  <c r="H43" i="11" s="1"/>
  <c r="V29" i="10"/>
  <c r="H26" i="11" s="1"/>
  <c r="V10" i="10"/>
  <c r="H7" i="11" s="1"/>
  <c r="V51" i="10"/>
  <c r="H48" i="11" s="1"/>
  <c r="V63" i="10"/>
  <c r="H60" i="11" s="1"/>
  <c r="V18" i="10"/>
  <c r="H15" i="11" s="1"/>
  <c r="V32" i="10"/>
  <c r="H29" i="11" s="1"/>
  <c r="V44" i="10"/>
  <c r="H41" i="11" s="1"/>
  <c r="V43" i="10"/>
  <c r="H40" i="11" s="1"/>
  <c r="V23" i="10"/>
  <c r="H20" i="11" s="1"/>
  <c r="V61" i="10"/>
  <c r="H58" i="11" s="1"/>
  <c r="V26" i="10"/>
  <c r="H23" i="11" s="1"/>
  <c r="V38" i="10"/>
  <c r="H35" i="11" s="1"/>
  <c r="V22" i="10"/>
  <c r="H19" i="11" s="1"/>
  <c r="V14" i="10"/>
  <c r="H11" i="11" s="1"/>
  <c r="V65" i="10"/>
  <c r="H62" i="11" s="1"/>
  <c r="V39" i="10"/>
  <c r="H36" i="11" s="1"/>
  <c r="V41" i="10"/>
  <c r="H38" i="11" s="1"/>
  <c r="V50" i="10"/>
  <c r="H47" i="11" s="1"/>
  <c r="V42" i="10"/>
  <c r="H39" i="11" s="1"/>
  <c r="V12" i="10"/>
  <c r="H9" i="11" s="1"/>
  <c r="V6" i="10"/>
  <c r="H3" i="11" s="1"/>
  <c r="V40" i="10"/>
  <c r="H37" i="11" s="1"/>
  <c r="V58" i="10"/>
  <c r="H55" i="11" s="1"/>
  <c r="V11" i="10"/>
  <c r="H8" i="11" s="1"/>
  <c r="V45" i="10"/>
  <c r="H42" i="11" s="1"/>
  <c r="V52" i="10"/>
  <c r="H49" i="11" s="1"/>
  <c r="V19" i="10"/>
  <c r="H16" i="11" s="1"/>
  <c r="V9" i="10"/>
  <c r="H6" i="11" s="1"/>
  <c r="V62" i="10"/>
  <c r="H59" i="11" s="1"/>
  <c r="V8" i="10"/>
  <c r="H5" i="11" s="1"/>
  <c r="V48" i="10"/>
  <c r="H45" i="11" s="1"/>
  <c r="V60" i="10"/>
  <c r="H57" i="11" s="1"/>
  <c r="V5" i="10"/>
  <c r="H2" i="11" s="1"/>
  <c r="V59" i="10"/>
  <c r="H56" i="11" s="1"/>
  <c r="V13" i="10"/>
  <c r="H10" i="11" s="1"/>
  <c r="V30" i="10"/>
  <c r="H27" i="11" s="1"/>
  <c r="V20" i="10"/>
  <c r="H17" i="11" s="1"/>
  <c r="V16" i="10"/>
  <c r="H13" i="11" s="1"/>
  <c r="V57" i="10"/>
  <c r="H54" i="11" s="1"/>
  <c r="V28" i="10"/>
  <c r="H25" i="11" s="1"/>
  <c r="V15" i="10"/>
  <c r="H12" i="11" s="1"/>
  <c r="V56" i="10"/>
  <c r="H53" i="11" s="1"/>
  <c r="V49" i="10"/>
  <c r="H46" i="11" s="1"/>
  <c r="V27" i="10"/>
  <c r="H24" i="11" s="1"/>
  <c r="V31" i="10"/>
  <c r="H28" i="11" s="1"/>
  <c r="V53" i="10"/>
  <c r="H50" i="11" s="1"/>
  <c r="R50" i="10"/>
  <c r="R56" i="10"/>
  <c r="T51" i="10"/>
  <c r="F48" i="11" s="1"/>
  <c r="T33" i="10"/>
  <c r="F30" i="11" s="1"/>
  <c r="U55" i="10"/>
  <c r="G52" i="11" s="1"/>
  <c r="U60" i="10"/>
  <c r="G57" i="11" s="1"/>
  <c r="U62" i="10"/>
  <c r="G59" i="11" s="1"/>
  <c r="V33" i="10"/>
  <c r="H30" i="11" s="1"/>
  <c r="D47" i="11" l="1"/>
  <c r="AD50" i="10"/>
  <c r="D60" i="11"/>
  <c r="AD63" i="10"/>
  <c r="D59" i="11"/>
  <c r="AD62" i="10"/>
  <c r="D31" i="11"/>
  <c r="AD34" i="10"/>
  <c r="D44" i="11"/>
  <c r="AD47" i="10"/>
  <c r="D11" i="11"/>
  <c r="AD14" i="10"/>
  <c r="D9" i="11"/>
  <c r="AD12" i="10"/>
  <c r="D54" i="11"/>
  <c r="AD57" i="10"/>
  <c r="D28" i="11"/>
  <c r="AD31" i="10"/>
  <c r="D39" i="11"/>
  <c r="AD42" i="10"/>
  <c r="D34" i="11"/>
  <c r="AD37" i="10"/>
  <c r="D7" i="11"/>
  <c r="AD10" i="10"/>
  <c r="D24" i="11"/>
  <c r="AD27" i="10"/>
  <c r="D41" i="11"/>
  <c r="AD44" i="10"/>
  <c r="D27" i="11"/>
  <c r="AD30" i="10"/>
  <c r="D35" i="11"/>
  <c r="AD38" i="10"/>
  <c r="D6" i="11"/>
  <c r="AD9" i="10"/>
  <c r="D23" i="11"/>
  <c r="AD26" i="10"/>
  <c r="D37" i="11"/>
  <c r="AD40" i="10"/>
  <c r="D45" i="11"/>
  <c r="AD48" i="10"/>
  <c r="D55" i="11"/>
  <c r="AD58" i="10"/>
  <c r="D36" i="11"/>
  <c r="AD39" i="10"/>
  <c r="D29" i="11"/>
  <c r="AD32" i="10"/>
  <c r="D26" i="11"/>
  <c r="AD29" i="10"/>
  <c r="D56" i="11"/>
  <c r="AD59" i="10"/>
  <c r="D43" i="11"/>
  <c r="AD46" i="10"/>
  <c r="D13" i="11"/>
  <c r="AD16" i="10"/>
  <c r="D5" i="11"/>
  <c r="AD8" i="10"/>
  <c r="D4" i="11"/>
  <c r="AD7" i="10"/>
  <c r="D18" i="11"/>
  <c r="AD21" i="10"/>
  <c r="D19" i="11"/>
  <c r="AD22" i="10"/>
  <c r="D52" i="11"/>
  <c r="AD55" i="10"/>
  <c r="D20" i="11"/>
  <c r="AD23" i="10"/>
  <c r="D2" i="11"/>
  <c r="AD5" i="10"/>
  <c r="D3" i="11"/>
  <c r="AD6" i="10"/>
  <c r="D30" i="11"/>
  <c r="AD33" i="10"/>
  <c r="D57" i="11"/>
  <c r="AD60" i="10"/>
  <c r="D58" i="11"/>
  <c r="AD61" i="10"/>
  <c r="D17" i="11"/>
  <c r="AD20" i="10"/>
  <c r="D49" i="11"/>
  <c r="AD52" i="10"/>
  <c r="D38" i="11"/>
  <c r="AD41" i="10"/>
  <c r="D12" i="11"/>
  <c r="AD15" i="10"/>
  <c r="D14" i="11"/>
  <c r="AD17" i="10"/>
  <c r="D51" i="11"/>
  <c r="AD54" i="10"/>
  <c r="D33" i="11"/>
  <c r="AD36" i="10"/>
  <c r="D40" i="11"/>
  <c r="AD43" i="10"/>
  <c r="D22" i="11"/>
  <c r="AD25" i="10"/>
  <c r="D32" i="11"/>
  <c r="AD35" i="10"/>
  <c r="D53" i="11"/>
  <c r="AD56" i="10"/>
  <c r="D62" i="11"/>
  <c r="AD65" i="10"/>
  <c r="D48" i="11"/>
  <c r="AD51" i="10"/>
  <c r="D46" i="11"/>
  <c r="AD49" i="10"/>
  <c r="D8" i="11"/>
  <c r="AD11" i="10"/>
  <c r="D10" i="11"/>
  <c r="AD13" i="10"/>
  <c r="AD45" i="10"/>
  <c r="D15" i="11"/>
  <c r="AD18" i="10"/>
  <c r="D16" i="11"/>
  <c r="AD19" i="10"/>
  <c r="D50" i="11"/>
  <c r="AD53" i="10"/>
  <c r="D21" i="11"/>
  <c r="AD24" i="10"/>
  <c r="D25" i="11"/>
  <c r="AD28" i="10"/>
  <c r="D61" i="11"/>
  <c r="AD64" i="10"/>
</calcChain>
</file>

<file path=xl/sharedStrings.xml><?xml version="1.0" encoding="utf-8"?>
<sst xmlns="http://schemas.openxmlformats.org/spreadsheetml/2006/main" count="422" uniqueCount="181">
  <si>
    <t>https://ushe.edu/institutional-data-resources-headcount/</t>
  </si>
  <si>
    <t>UOFU</t>
  </si>
  <si>
    <t>WSU</t>
  </si>
  <si>
    <t>UVU</t>
  </si>
  <si>
    <t>SLCC</t>
  </si>
  <si>
    <t>Year</t>
  </si>
  <si>
    <t>Source:</t>
  </si>
  <si>
    <t>Headcount: Fall Third Week</t>
  </si>
  <si>
    <t>DAVIS TECH</t>
  </si>
  <si>
    <t>MTLND TECH</t>
  </si>
  <si>
    <t>OGDEN-WEBER TECH</t>
  </si>
  <si>
    <t>Lower Division</t>
  </si>
  <si>
    <t>Upper Division</t>
  </si>
  <si>
    <t>Beginning Graduate</t>
  </si>
  <si>
    <t>Advanced Graduate</t>
  </si>
  <si>
    <t>BYU</t>
  </si>
  <si>
    <t>ENSIGN</t>
  </si>
  <si>
    <t>WESTMIN</t>
  </si>
  <si>
    <t>https://westminstercollege.edu/about/</t>
  </si>
  <si>
    <t>Draper</t>
  </si>
  <si>
    <t>Main Campus</t>
  </si>
  <si>
    <t>SLCC Airport Center</t>
  </si>
  <si>
    <t>SLCC Herriman Center</t>
  </si>
  <si>
    <t>SLCC Jordan Campus</t>
  </si>
  <si>
    <t>SLCC Larry H. Miller Campus</t>
  </si>
  <si>
    <t>SLCC Library Square Center (Previously Main Street Campus)</t>
  </si>
  <si>
    <t>SLCC Meadowbrook Campus</t>
  </si>
  <si>
    <t>SLCC South City Center</t>
  </si>
  <si>
    <t>SLCC West Point Center</t>
  </si>
  <si>
    <t>SLCC West Valley City</t>
  </si>
  <si>
    <t>USU</t>
  </si>
  <si>
    <t>Mountainland Technical College</t>
  </si>
  <si>
    <t>USU Brigham Center</t>
  </si>
  <si>
    <t>USU Ogden Center</t>
  </si>
  <si>
    <t>USU Orem Center</t>
  </si>
  <si>
    <t>USU Salt Lake Center</t>
  </si>
  <si>
    <t>USU Tooele Center</t>
  </si>
  <si>
    <t>UU</t>
  </si>
  <si>
    <t>UofU Sandy Center</t>
  </si>
  <si>
    <t>Davis Technical College</t>
  </si>
  <si>
    <t>Ogden-Weber Technical College</t>
  </si>
  <si>
    <t>WSU Davis Center</t>
  </si>
  <si>
    <t>WSU Farmington Station</t>
  </si>
  <si>
    <t>WSU West Center</t>
  </si>
  <si>
    <t>Attached is the data we discussed for the Wasatch Front region. I know we originally talked about sending it for the wholestate and you could share with the other councils; however, in talking with Carrie Mayne, my boss, I realized it</t>
  </si>
  <si>
    <t>would bemore appropriate for us to distribute to them upon request so we track where our data has landed. We have the data andcan share it with any of the councils we discussed. Please have them contact me if they are interested.</t>
  </si>
  <si>
    <r>
      <t xml:space="preserve">For each 5 digit zip code in Utah, the number of FT and PT students attending on-campus classes for each institutionwhere:
</t>
    </r>
    <r>
      <rPr>
        <strike/>
        <sz val="11"/>
        <color theme="1"/>
        <rFont val="Calibri"/>
        <family val="2"/>
        <scheme val="minor"/>
      </rPr>
      <t>data is for statewide for Fall semester 2019 (we can share with UDOT, and other MPOs)</t>
    </r>
    <r>
      <rPr>
        <sz val="11"/>
        <color theme="1"/>
        <rFont val="Calibri"/>
        <family val="2"/>
        <scheme val="minor"/>
      </rPr>
      <t xml:space="preserve">
home zip codes not matching 84* to be removed
'online only' attendees to be removed
concurrent enrollment high school students taking college classes onsite at their high schools are thrown out, but15% of concurrent enrollment students that attend PT on campus classes will be kept as PT students
students that attend on-campus class at two campuses of the same institution will be reported as PT studentassociated with each campus they attend
we may need to do some 'fitting/exclusion' to discount the presence of some cases where a student's homelocation has not been updated from a previous residence...but apparently students are presented with a 'updateyour current address' popup at registration each semester
USHE will keep the query so it can be rerun for consistency when we want updated data.
</t>
    </r>
  </si>
  <si>
    <t>School</t>
  </si>
  <si>
    <t>Campus</t>
  </si>
  <si>
    <t>Percent</t>
  </si>
  <si>
    <t>Headcount</t>
  </si>
  <si>
    <t>CODE</t>
  </si>
  <si>
    <t>SLCC_MAIN</t>
  </si>
  <si>
    <t>SLCC_JD</t>
  </si>
  <si>
    <t>SLCC_ML</t>
  </si>
  <si>
    <t>SLCC_SC</t>
  </si>
  <si>
    <t>https://ushe.edu/institutional-data-resources/</t>
  </si>
  <si>
    <t>https://ushe.edu/institutional-data-resources-fte/</t>
  </si>
  <si>
    <t>https://ushe.edu/data/</t>
  </si>
  <si>
    <t>https://ushe.edu/wp-content/uploads/pdf/databook/2021/2021_databook.pdf</t>
  </si>
  <si>
    <t>Brigham Young University-Provo</t>
  </si>
  <si>
    <t>Part time</t>
  </si>
  <si>
    <t>Full time</t>
  </si>
  <si>
    <t>University (2020)</t>
  </si>
  <si>
    <t>University (2019)</t>
  </si>
  <si>
    <t>University (2018)</t>
  </si>
  <si>
    <t>University (2017)</t>
  </si>
  <si>
    <t>University (2016)</t>
  </si>
  <si>
    <t>University (2015)</t>
  </si>
  <si>
    <t>University (2014)</t>
  </si>
  <si>
    <t>University (2013)</t>
  </si>
  <si>
    <t>University (2012)</t>
  </si>
  <si>
    <t>ID University (2020)</t>
  </si>
  <si>
    <t>ID University (2019)</t>
  </si>
  <si>
    <t>ID University (2018)</t>
  </si>
  <si>
    <t>ID University (2017)</t>
  </si>
  <si>
    <t>ID University (2016)</t>
  </si>
  <si>
    <t>ID University (2015)</t>
  </si>
  <si>
    <t>ID University (2014)</t>
  </si>
  <si>
    <t>ID University (2013)</t>
  </si>
  <si>
    <t>ID University (2012)</t>
  </si>
  <si>
    <t>Enrollment (2020)</t>
  </si>
  <si>
    <t>Enrollment (2019)</t>
  </si>
  <si>
    <t>Enrollment (2018)</t>
  </si>
  <si>
    <t>Enrollment (2017)</t>
  </si>
  <si>
    <t>Enrollment (2016)</t>
  </si>
  <si>
    <t>Enrollment (2015)</t>
  </si>
  <si>
    <t>Enrollment (2014)</t>
  </si>
  <si>
    <t>Enrollment (2013)</t>
  </si>
  <si>
    <t>Enrollment (2012)</t>
  </si>
  <si>
    <t>Enrollment Status</t>
  </si>
  <si>
    <t>ID Enrollment Status</t>
  </si>
  <si>
    <t>Total</t>
  </si>
  <si>
    <t>USHE 2020 Data Book</t>
  </si>
  <si>
    <t>https://ushe.edu/wp-content/uploads/pdf/databook/2020/2020_full_databook.pdf</t>
  </si>
  <si>
    <t>TARGET</t>
  </si>
  <si>
    <t>2019 RTP</t>
  </si>
  <si>
    <t>https://westminstercollege.edu/about/institutional-research/common-data-set.html</t>
  </si>
  <si>
    <t>PT</t>
  </si>
  <si>
    <t>FT</t>
  </si>
  <si>
    <t>UOFU_Main</t>
  </si>
  <si>
    <t>UVU_Main</t>
  </si>
  <si>
    <t>2024 RTP</t>
  </si>
  <si>
    <t xml:space="preserve"> </t>
  </si>
  <si>
    <t>https://www.ensign.edu/institutional-research</t>
  </si>
  <si>
    <t>Enrollment</t>
  </si>
  <si>
    <t>WSU_Davis</t>
  </si>
  <si>
    <t>WSU_Main</t>
  </si>
  <si>
    <t>WSU_Ogden</t>
  </si>
  <si>
    <t>School:</t>
  </si>
  <si>
    <t>% of School:</t>
  </si>
  <si>
    <t>Enrollment Projections by Campus</t>
  </si>
  <si>
    <t>;YEAR</t>
  </si>
  <si>
    <t>UVU-Heber</t>
  </si>
  <si>
    <t>UVU-Vineyard2</t>
  </si>
  <si>
    <t>UVU-Vineyard1</t>
  </si>
  <si>
    <t>UVU-Payson</t>
  </si>
  <si>
    <t>UVU-Lehi</t>
  </si>
  <si>
    <t>UVU-Orem</t>
  </si>
  <si>
    <t>External</t>
  </si>
  <si>
    <t>TAZID</t>
  </si>
  <si>
    <t>UVU_Lehi</t>
  </si>
  <si>
    <t>UVU_Payson</t>
  </si>
  <si>
    <t>UVU_Vineyard</t>
  </si>
  <si>
    <t>FTE</t>
  </si>
  <si>
    <t>Fall FTE by Division</t>
  </si>
  <si>
    <t>Fall FTE</t>
  </si>
  <si>
    <t>FTE Factor</t>
  </si>
  <si>
    <t>Control Data</t>
  </si>
  <si>
    <t>Code</t>
  </si>
  <si>
    <t>College</t>
  </si>
  <si>
    <t>Estimates</t>
  </si>
  <si>
    <t>total headcount</t>
  </si>
  <si>
    <t>Dixie State College</t>
  </si>
  <si>
    <t>St. George</t>
  </si>
  <si>
    <t>LDS Bussiness College</t>
  </si>
  <si>
    <t>SL Community College</t>
  </si>
  <si>
    <t>Four Main</t>
  </si>
  <si>
    <t>Utah State University</t>
  </si>
  <si>
    <t>Logan</t>
  </si>
  <si>
    <t>Utah Valley University</t>
  </si>
  <si>
    <t>Orem</t>
  </si>
  <si>
    <t>University of Utah</t>
  </si>
  <si>
    <t>Weber State University</t>
  </si>
  <si>
    <t>Ogden</t>
  </si>
  <si>
    <t>Davis</t>
  </si>
  <si>
    <t>Westminster College</t>
  </si>
  <si>
    <t>the data from RSG, total is used for expansion without concurrent, etc.</t>
  </si>
  <si>
    <t>Source: from 2019 RTP</t>
  </si>
  <si>
    <t>;index</t>
  </si>
  <si>
    <t>LDSBC</t>
  </si>
  <si>
    <t>Westmin</t>
  </si>
  <si>
    <t>UofU_Main</t>
  </si>
  <si>
    <t>UofU_Med</t>
  </si>
  <si>
    <t>WSU_West</t>
  </si>
  <si>
    <t>SLCC_TL</t>
  </si>
  <si>
    <t>SLCC_Mead</t>
  </si>
  <si>
    <t>SLCC_LB</t>
  </si>
  <si>
    <t>SLCC_HL</t>
  </si>
  <si>
    <t>SLCC_Airp</t>
  </si>
  <si>
    <t>SLCC_West</t>
  </si>
  <si>
    <t>SLCC_HM</t>
  </si>
  <si>
    <t>UVU_main</t>
  </si>
  <si>
    <t>UVU_Geneva</t>
  </si>
  <si>
    <t>UVU_ThankP</t>
  </si>
  <si>
    <t>UVU_VINE</t>
  </si>
  <si>
    <t>UVU_PAYSON</t>
  </si>
  <si>
    <t>Var_Name</t>
  </si>
  <si>
    <t>Pct_Remove</t>
  </si>
  <si>
    <t>FTERate</t>
  </si>
  <si>
    <t>HBCRates</t>
  </si>
  <si>
    <t>Concurrent</t>
  </si>
  <si>
    <t>Prev Control</t>
  </si>
  <si>
    <t>New Control</t>
  </si>
  <si>
    <t>HBC Rates</t>
  </si>
  <si>
    <t>;INDEX</t>
  </si>
  <si>
    <t>Source: 2019 RTP</t>
  </si>
  <si>
    <t>Source: USHE Enrollment data by Zip (Base Distribution Jupyter Notebook)</t>
  </si>
  <si>
    <t>Note:</t>
  </si>
  <si>
    <t>Removal means concurrent, online degree etc.</t>
  </si>
  <si>
    <t>FTERate = FTE / Total Headcount,  Total Headcount includes online and concurrent enrollment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</si>
</sst>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0_);_(* \(#,##0\);_(* &quot;-&quot;??_);_(@_)"/>
    <numFmt numFmtId="167" formatCode="0.000"/>
    <numFmt numFmtId="168" formatCode="#,##0;\-#,##0;\-"/>
  </numFmts>
  <fonts count="1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rgb="FFFF0000"/>
      <name val="Segoe UI"/>
      <family val="2"/>
    </font>
    <font>
      <strike/>
      <sz val="11"/>
      <color theme="1"/>
      <name val="Calibri"/>
      <family val="2"/>
      <scheme val="minor"/>
    </font>
    <font>
      <sz val="11"/>
      <color rgb="FF0000FF"/>
      <name val="Calibri"/>
      <family val="2"/>
      <scheme val="minor"/>
    </font>
    <font>
      <sz val="11"/>
      <name val="Calibri"/>
      <family val="2"/>
      <scheme val="minor"/>
    </font>
    <font>
      <sz val="11"/>
      <color rgb="FF008000"/>
      <name val="Calibri"/>
      <family val="2"/>
      <scheme val="minor"/>
    </font>
    <font>
      <i/>
      <sz val="11"/>
      <color theme="1"/>
      <name val="Calibri"/>
      <family val="2"/>
      <scheme val="minor"/>
    </font>
    <font>
      <sz val="10"/>
      <color theme="1"/>
      <name val="Arial Narrow"/>
      <family val="2"/>
    </font>
    <font>
      <sz val="11"/>
      <color theme="1"/>
      <name val="Arial Narrow"/>
      <family val="2"/>
    </font>
    <font>
      <b/>
      <sz val="11"/>
      <name val="Calibri"/>
      <family val="2"/>
    </font>
    <font>
      <b/>
      <sz val="11"/>
      <color theme="1"/>
      <name val="Arial Narrow"/>
      <family val="2"/>
    </font>
    <font>
      <sz val="11"/>
      <name val="Calibri"/>
      <family val="2"/>
    </font>
    <font>
      <i/>
      <sz val="11"/>
      <color rgb="FFFF0000"/>
      <name val="Calibri"/>
      <family val="2"/>
      <scheme val="minor"/>
    </font>
    <font>
      <i/>
      <sz val="11"/>
      <color theme="0" tint="-0.499984740745262"/>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FFCC"/>
        <bgColor indexed="64"/>
      </patternFill>
    </fill>
  </fills>
  <borders count="11">
    <border>
      <left/>
      <right/>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43" fontId="1" fillId="0" borderId="0" applyFont="0" applyFill="0" applyBorder="0" applyAlignment="0" applyProtection="0"/>
  </cellStyleXfs>
  <cellXfs count="105">
    <xf numFmtId="0" fontId="0" fillId="0" borderId="0" xfId="0"/>
    <xf numFmtId="0" fontId="4" fillId="2" borderId="0" xfId="2" applyFill="1"/>
    <xf numFmtId="0" fontId="0" fillId="2" borderId="0" xfId="0" applyFill="1"/>
    <xf numFmtId="0" fontId="0" fillId="4" borderId="0" xfId="0" applyFill="1" applyAlignment="1">
      <alignment horizontal="center"/>
    </xf>
    <xf numFmtId="3" fontId="0" fillId="3" borderId="0" xfId="0" applyNumberFormat="1" applyFill="1" applyAlignment="1">
      <alignment horizontal="center"/>
    </xf>
    <xf numFmtId="0" fontId="3" fillId="2" borderId="0" xfId="0" applyFont="1" applyFill="1"/>
    <xf numFmtId="0" fontId="0" fillId="4" borderId="0" xfId="0" applyFill="1" applyAlignment="1">
      <alignment horizontal="center" wrapText="1"/>
    </xf>
    <xf numFmtId="0" fontId="0" fillId="2" borderId="0" xfId="0" applyFill="1" applyAlignment="1">
      <alignment horizontal="center"/>
    </xf>
    <xf numFmtId="0" fontId="0" fillId="4" borderId="1" xfId="0" applyFill="1" applyBorder="1" applyAlignment="1">
      <alignment horizontal="center" wrapText="1"/>
    </xf>
    <xf numFmtId="164" fontId="0" fillId="2" borderId="0" xfId="0" applyNumberFormat="1" applyFill="1" applyAlignment="1">
      <alignment horizontal="center"/>
    </xf>
    <xf numFmtId="164" fontId="0" fillId="2" borderId="1" xfId="0" applyNumberFormat="1" applyFill="1" applyBorder="1" applyAlignment="1">
      <alignment horizontal="center"/>
    </xf>
    <xf numFmtId="0" fontId="0" fillId="2" borderId="0" xfId="0" applyFill="1" applyAlignment="1">
      <alignment horizontal="left"/>
    </xf>
    <xf numFmtId="3" fontId="5" fillId="3" borderId="0" xfId="0" applyNumberFormat="1" applyFont="1" applyFill="1" applyAlignment="1">
      <alignment horizontal="right" vertical="center" wrapText="1"/>
    </xf>
    <xf numFmtId="3" fontId="5" fillId="3" borderId="2" xfId="0" applyNumberFormat="1" applyFont="1" applyFill="1" applyBorder="1" applyAlignment="1">
      <alignment horizontal="right" vertical="center" wrapText="1"/>
    </xf>
    <xf numFmtId="3" fontId="5" fillId="3" borderId="4" xfId="0" applyNumberFormat="1" applyFont="1" applyFill="1" applyBorder="1" applyAlignment="1">
      <alignment horizontal="right" vertical="center" wrapText="1"/>
    </xf>
    <xf numFmtId="3" fontId="5" fillId="3" borderId="3" xfId="0" applyNumberFormat="1" applyFont="1" applyFill="1" applyBorder="1" applyAlignment="1">
      <alignment horizontal="right" vertical="center" wrapText="1"/>
    </xf>
    <xf numFmtId="0" fontId="0" fillId="4" borderId="0" xfId="0" applyFill="1"/>
    <xf numFmtId="0" fontId="0" fillId="4" borderId="0" xfId="0" applyFill="1" applyAlignment="1">
      <alignment horizontal="left"/>
    </xf>
    <xf numFmtId="3" fontId="2" fillId="3" borderId="0" xfId="0" applyNumberFormat="1" applyFont="1" applyFill="1" applyAlignment="1">
      <alignment horizontal="center"/>
    </xf>
    <xf numFmtId="3" fontId="2" fillId="5" borderId="0" xfId="0" applyNumberFormat="1" applyFont="1" applyFill="1" applyAlignment="1">
      <alignment horizontal="center"/>
    </xf>
    <xf numFmtId="3" fontId="7" fillId="3" borderId="0" xfId="0" applyNumberFormat="1" applyFont="1" applyFill="1" applyAlignment="1">
      <alignment horizontal="center"/>
    </xf>
    <xf numFmtId="0" fontId="2" fillId="3" borderId="0" xfId="0" applyFont="1" applyFill="1"/>
    <xf numFmtId="3" fontId="2" fillId="3" borderId="0" xfId="0" applyNumberFormat="1" applyFont="1" applyFill="1"/>
    <xf numFmtId="3" fontId="0" fillId="3" borderId="0" xfId="0" applyNumberFormat="1" applyFill="1"/>
    <xf numFmtId="0" fontId="0" fillId="3" borderId="0" xfId="0" applyFill="1" applyAlignment="1">
      <alignment horizontal="right"/>
    </xf>
    <xf numFmtId="0" fontId="0" fillId="5" borderId="0" xfId="0" applyFill="1"/>
    <xf numFmtId="3" fontId="8" fillId="3" borderId="0" xfId="0" applyNumberFormat="1" applyFont="1" applyFill="1" applyAlignment="1">
      <alignment horizontal="center"/>
    </xf>
    <xf numFmtId="3" fontId="7" fillId="6" borderId="0" xfId="0" applyNumberFormat="1" applyFont="1" applyFill="1" applyAlignment="1">
      <alignment horizontal="center"/>
    </xf>
    <xf numFmtId="3" fontId="2" fillId="7" borderId="0" xfId="0" applyNumberFormat="1" applyFont="1" applyFill="1" applyAlignment="1">
      <alignment horizontal="center"/>
    </xf>
    <xf numFmtId="0" fontId="0" fillId="7" borderId="0" xfId="0" applyFill="1"/>
    <xf numFmtId="0" fontId="0" fillId="5" borderId="0" xfId="0" applyFill="1" applyAlignment="1">
      <alignment horizontal="center"/>
    </xf>
    <xf numFmtId="0" fontId="0" fillId="7" borderId="0" xfId="0" applyFill="1" applyAlignment="1">
      <alignment horizontal="center"/>
    </xf>
    <xf numFmtId="3" fontId="0" fillId="5" borderId="0" xfId="0" applyNumberFormat="1" applyFill="1" applyAlignment="1">
      <alignment horizontal="center"/>
    </xf>
    <xf numFmtId="0" fontId="0" fillId="3" borderId="0" xfId="0" applyFill="1" applyAlignment="1">
      <alignment horizontal="center"/>
    </xf>
    <xf numFmtId="0" fontId="7" fillId="3" borderId="0" xfId="0" applyFont="1" applyFill="1" applyAlignment="1">
      <alignment horizontal="center"/>
    </xf>
    <xf numFmtId="165" fontId="2" fillId="7" borderId="0" xfId="1" applyNumberFormat="1" applyFont="1" applyFill="1" applyAlignment="1">
      <alignment horizontal="center"/>
    </xf>
    <xf numFmtId="0" fontId="3" fillId="2" borderId="0" xfId="0" applyFont="1" applyFill="1" applyAlignment="1">
      <alignment horizontal="left" vertical="center"/>
    </xf>
    <xf numFmtId="3" fontId="7" fillId="8" borderId="0" xfId="0" applyNumberFormat="1" applyFont="1" applyFill="1" applyAlignment="1">
      <alignment horizontal="center"/>
    </xf>
    <xf numFmtId="0" fontId="7" fillId="8" borderId="0" xfId="0" applyFont="1" applyFill="1" applyAlignment="1">
      <alignment horizontal="center"/>
    </xf>
    <xf numFmtId="0" fontId="2" fillId="3" borderId="0" xfId="0" applyFont="1" applyFill="1" applyAlignment="1">
      <alignment horizontal="center"/>
    </xf>
    <xf numFmtId="0" fontId="8" fillId="4" borderId="0" xfId="0" applyFont="1" applyFill="1"/>
    <xf numFmtId="0" fontId="8" fillId="4" borderId="0" xfId="0" applyFont="1" applyFill="1" applyAlignment="1">
      <alignment horizontal="center"/>
    </xf>
    <xf numFmtId="0" fontId="2" fillId="2" borderId="0" xfId="0" applyFont="1" applyFill="1"/>
    <xf numFmtId="164" fontId="2" fillId="3" borderId="1" xfId="0" applyNumberFormat="1" applyFont="1" applyFill="1" applyBorder="1" applyAlignment="1">
      <alignment horizontal="center"/>
    </xf>
    <xf numFmtId="164" fontId="2" fillId="3" borderId="0" xfId="0" applyNumberFormat="1" applyFont="1" applyFill="1" applyAlignment="1">
      <alignment horizontal="center"/>
    </xf>
    <xf numFmtId="164" fontId="2" fillId="2" borderId="1" xfId="0" applyNumberFormat="1" applyFont="1" applyFill="1" applyBorder="1" applyAlignment="1">
      <alignment horizontal="center"/>
    </xf>
    <xf numFmtId="164" fontId="2" fillId="2" borderId="0" xfId="0" applyNumberFormat="1" applyFont="1" applyFill="1" applyAlignment="1">
      <alignment horizontal="center"/>
    </xf>
    <xf numFmtId="4" fontId="7" fillId="3" borderId="0" xfId="0" applyNumberFormat="1" applyFont="1" applyFill="1" applyAlignment="1">
      <alignment horizontal="center"/>
    </xf>
    <xf numFmtId="166" fontId="2" fillId="3" borderId="0" xfId="3" applyNumberFormat="1" applyFont="1" applyFill="1"/>
    <xf numFmtId="9" fontId="2" fillId="3" borderId="0" xfId="1" applyFont="1" applyFill="1"/>
    <xf numFmtId="165" fontId="2" fillId="3" borderId="0" xfId="1" applyNumberFormat="1" applyFont="1" applyFill="1"/>
    <xf numFmtId="167" fontId="9" fillId="3" borderId="0" xfId="0" applyNumberFormat="1" applyFont="1" applyFill="1" applyAlignment="1">
      <alignment horizontal="center"/>
    </xf>
    <xf numFmtId="167" fontId="9" fillId="9" borderId="0" xfId="0" applyNumberFormat="1" applyFont="1" applyFill="1" applyAlignment="1">
      <alignment horizontal="center"/>
    </xf>
    <xf numFmtId="167" fontId="2" fillId="3" borderId="1" xfId="0" applyNumberFormat="1" applyFont="1" applyFill="1" applyBorder="1"/>
    <xf numFmtId="167" fontId="2" fillId="3" borderId="0" xfId="3" applyNumberFormat="1" applyFont="1" applyFill="1"/>
    <xf numFmtId="0" fontId="0" fillId="3" borderId="0" xfId="0" applyFill="1"/>
    <xf numFmtId="167" fontId="7" fillId="3" borderId="0" xfId="0" applyNumberFormat="1" applyFont="1" applyFill="1" applyAlignment="1">
      <alignment horizontal="center"/>
    </xf>
    <xf numFmtId="0" fontId="10" fillId="2" borderId="0" xfId="0" applyFont="1" applyFill="1" applyAlignment="1">
      <alignment horizontal="center"/>
    </xf>
    <xf numFmtId="0" fontId="3" fillId="4" borderId="0" xfId="0" applyFont="1" applyFill="1" applyAlignment="1">
      <alignment horizontal="left"/>
    </xf>
    <xf numFmtId="0" fontId="3" fillId="4" borderId="0" xfId="0" applyFont="1" applyFill="1" applyAlignment="1">
      <alignment horizontal="center"/>
    </xf>
    <xf numFmtId="4" fontId="7" fillId="5" borderId="0" xfId="0" applyNumberFormat="1" applyFont="1" applyFill="1" applyAlignment="1">
      <alignment horizontal="center"/>
    </xf>
    <xf numFmtId="0" fontId="11" fillId="3" borderId="0" xfId="0" applyFont="1" applyFill="1"/>
    <xf numFmtId="0" fontId="11" fillId="3" borderId="0" xfId="0" applyFont="1" applyFill="1" applyAlignment="1">
      <alignment horizontal="center"/>
    </xf>
    <xf numFmtId="0" fontId="0" fillId="3" borderId="0" xfId="0" applyFill="1" applyAlignment="1">
      <alignment horizontal="left"/>
    </xf>
    <xf numFmtId="0" fontId="12" fillId="3" borderId="0" xfId="0" applyFont="1" applyFill="1"/>
    <xf numFmtId="0" fontId="12" fillId="3" borderId="0" xfId="0" applyFont="1" applyFill="1" applyAlignment="1">
      <alignment horizontal="center"/>
    </xf>
    <xf numFmtId="0" fontId="13" fillId="3" borderId="0" xfId="0" applyFont="1" applyFill="1" applyAlignment="1">
      <alignment horizontal="center"/>
    </xf>
    <xf numFmtId="0" fontId="13" fillId="3" borderId="0" xfId="0" applyFont="1" applyFill="1" applyAlignment="1">
      <alignment horizontal="center" wrapText="1"/>
    </xf>
    <xf numFmtId="1" fontId="13" fillId="3" borderId="0" xfId="0" applyNumberFormat="1" applyFont="1" applyFill="1" applyAlignment="1">
      <alignment horizontal="center" wrapText="1"/>
    </xf>
    <xf numFmtId="0" fontId="14" fillId="3" borderId="0" xfId="0" applyFont="1" applyFill="1" applyAlignment="1">
      <alignment horizontal="center"/>
    </xf>
    <xf numFmtId="0" fontId="15" fillId="3" borderId="5" xfId="0" applyFont="1" applyFill="1" applyBorder="1" applyAlignment="1">
      <alignment horizontal="center"/>
    </xf>
    <xf numFmtId="168" fontId="15" fillId="3" borderId="6" xfId="0" applyNumberFormat="1" applyFont="1" applyFill="1" applyBorder="1" applyAlignment="1">
      <alignment horizontal="center"/>
    </xf>
    <xf numFmtId="168" fontId="15" fillId="3" borderId="7" xfId="0" applyNumberFormat="1" applyFont="1" applyFill="1" applyBorder="1" applyAlignment="1">
      <alignment horizontal="center"/>
    </xf>
    <xf numFmtId="168" fontId="15" fillId="3" borderId="8" xfId="0" applyNumberFormat="1" applyFont="1" applyFill="1" applyBorder="1" applyAlignment="1">
      <alignment horizontal="center"/>
    </xf>
    <xf numFmtId="167" fontId="0" fillId="3" borderId="0" xfId="0" applyNumberFormat="1" applyFill="1" applyAlignment="1">
      <alignment horizontal="center"/>
    </xf>
    <xf numFmtId="0" fontId="15" fillId="3" borderId="9" xfId="0" applyFont="1" applyFill="1" applyBorder="1" applyAlignment="1">
      <alignment horizontal="center"/>
    </xf>
    <xf numFmtId="168" fontId="15" fillId="3" borderId="0" xfId="0" applyNumberFormat="1" applyFont="1" applyFill="1" applyAlignment="1">
      <alignment horizontal="center"/>
    </xf>
    <xf numFmtId="168" fontId="15" fillId="3" borderId="10" xfId="0" applyNumberFormat="1" applyFont="1" applyFill="1" applyBorder="1" applyAlignment="1">
      <alignment horizontal="center"/>
    </xf>
    <xf numFmtId="167" fontId="7" fillId="10" borderId="0" xfId="0" applyNumberFormat="1" applyFont="1" applyFill="1" applyAlignment="1">
      <alignment horizontal="center"/>
    </xf>
    <xf numFmtId="167" fontId="7" fillId="8" borderId="0" xfId="0" applyNumberFormat="1" applyFont="1" applyFill="1" applyAlignment="1">
      <alignment horizontal="center"/>
    </xf>
    <xf numFmtId="0" fontId="2" fillId="3" borderId="1" xfId="0" applyFont="1" applyFill="1" applyBorder="1" applyAlignment="1">
      <alignment horizontal="center"/>
    </xf>
    <xf numFmtId="0" fontId="16" fillId="3" borderId="0" xfId="0" applyFont="1" applyFill="1"/>
    <xf numFmtId="0" fontId="7" fillId="4" borderId="0" xfId="0" applyFont="1" applyFill="1" applyAlignment="1">
      <alignment horizontal="center"/>
    </xf>
    <xf numFmtId="165" fontId="7" fillId="4" borderId="0" xfId="1" applyNumberFormat="1" applyFont="1" applyFill="1" applyAlignment="1">
      <alignment horizontal="center"/>
    </xf>
    <xf numFmtId="165" fontId="7" fillId="8" borderId="0" xfId="1" applyNumberFormat="1" applyFont="1" applyFill="1" applyAlignment="1">
      <alignment horizontal="center"/>
    </xf>
    <xf numFmtId="0" fontId="5" fillId="3" borderId="0" xfId="0" applyFont="1" applyFill="1" applyAlignment="1">
      <alignment vertical="top" wrapText="1"/>
    </xf>
    <xf numFmtId="0" fontId="5" fillId="3" borderId="0" xfId="0" applyFont="1" applyFill="1" applyAlignment="1">
      <alignment horizontal="left" vertical="top" wrapText="1"/>
    </xf>
    <xf numFmtId="165" fontId="5" fillId="3" borderId="0" xfId="1" applyNumberFormat="1" applyFont="1" applyFill="1" applyBorder="1" applyAlignment="1">
      <alignment horizontal="right" vertical="top" wrapText="1"/>
    </xf>
    <xf numFmtId="0" fontId="5" fillId="3" borderId="0" xfId="0" applyFont="1" applyFill="1" applyAlignment="1">
      <alignment horizontal="left" vertical="center" wrapText="1"/>
    </xf>
    <xf numFmtId="165" fontId="5" fillId="3" borderId="0" xfId="1" applyNumberFormat="1" applyFont="1" applyFill="1" applyBorder="1" applyAlignment="1">
      <alignment horizontal="right" vertical="center" wrapText="1"/>
    </xf>
    <xf numFmtId="0" fontId="5" fillId="3" borderId="2" xfId="0" applyFont="1" applyFill="1" applyBorder="1" applyAlignment="1">
      <alignment vertical="top" wrapText="1"/>
    </xf>
    <xf numFmtId="0" fontId="5" fillId="3" borderId="2" xfId="0" applyFont="1" applyFill="1" applyBorder="1" applyAlignment="1">
      <alignment horizontal="left" vertical="center" wrapText="1"/>
    </xf>
    <xf numFmtId="165" fontId="5" fillId="3" borderId="2" xfId="1" applyNumberFormat="1" applyFont="1" applyFill="1" applyBorder="1" applyAlignment="1">
      <alignment horizontal="right" vertical="center" wrapText="1"/>
    </xf>
    <xf numFmtId="0" fontId="5" fillId="3" borderId="4" xfId="0" applyFont="1" applyFill="1" applyBorder="1" applyAlignment="1">
      <alignment horizontal="left" vertical="top" wrapText="1"/>
    </xf>
    <xf numFmtId="165" fontId="5" fillId="3" borderId="4" xfId="1" applyNumberFormat="1" applyFont="1" applyFill="1" applyBorder="1" applyAlignment="1">
      <alignment horizontal="right" vertical="top" wrapText="1"/>
    </xf>
    <xf numFmtId="0" fontId="5" fillId="3" borderId="3" xfId="0" applyFont="1" applyFill="1" applyBorder="1" applyAlignment="1">
      <alignment horizontal="left" vertical="top" wrapText="1"/>
    </xf>
    <xf numFmtId="165" fontId="5" fillId="3" borderId="3" xfId="1" applyNumberFormat="1" applyFont="1" applyFill="1" applyBorder="1" applyAlignment="1">
      <alignment horizontal="right" vertical="top" wrapText="1"/>
    </xf>
    <xf numFmtId="0" fontId="3" fillId="2" borderId="0" xfId="0" applyFont="1" applyFill="1" applyAlignment="1">
      <alignment horizontal="left"/>
    </xf>
    <xf numFmtId="0" fontId="0" fillId="4" borderId="1" xfId="0" applyFill="1" applyBorder="1" applyAlignment="1">
      <alignment horizontal="center"/>
    </xf>
    <xf numFmtId="0" fontId="0" fillId="4" borderId="0" xfId="0" applyFill="1" applyAlignment="1">
      <alignment horizontal="center"/>
    </xf>
    <xf numFmtId="0" fontId="0" fillId="3" borderId="0" xfId="0" applyFill="1" applyAlignment="1">
      <alignment horizontal="left" vertical="top" wrapText="1"/>
    </xf>
    <xf numFmtId="0" fontId="0" fillId="11" borderId="0" xfId="0" applyFill="1" applyAlignment="1">
      <alignment horizontal="center"/>
    </xf>
    <xf numFmtId="0" fontId="17" fillId="2" borderId="0" xfId="0" applyFont="1" applyFill="1"/>
    <xf numFmtId="0" fontId="17" fillId="2" borderId="0" xfId="0" applyFont="1" applyFill="1" applyAlignment="1">
      <alignment horizontal="left" indent="1"/>
    </xf>
    <xf numFmtId="167" fontId="8" fillId="3" borderId="0" xfId="0" applyNumberFormat="1" applyFont="1" applyFill="1" applyAlignment="1">
      <alignment horizontal="center"/>
    </xf>
  </cellXfs>
  <cellStyles count="4">
    <cellStyle name="Comma" xfId="3" builtinId="3"/>
    <cellStyle name="Hyperlink" xfId="2" builtinId="8"/>
    <cellStyle name="Normal" xfId="0" builtinId="0"/>
    <cellStyle name="Percent" xfId="1" builtinId="5"/>
  </cellStyles>
  <dxfs count="0"/>
  <tableStyles count="0" defaultTableStyle="TableStyleMedium2" defaultPivotStyle="PivotStyleLight16"/>
  <colors>
    <mruColors>
      <color rgb="FFFFFFCC"/>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College Control Total Enrollment by Campus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'Campus Enrol Disaggregation'!$P$4</c:f>
              <c:strCache>
                <c:ptCount val="1"/>
                <c:pt idx="0">
                  <c:v>BYU</c:v>
                </c:pt>
              </c:strCache>
            </c:strRef>
          </c:tx>
          <c:spPr>
            <a:ln w="28575" cap="rnd">
              <a:solidFill>
                <a:schemeClr val="accent1"/>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Disaggregation'!$P$5:$P$65</c:f>
              <c:numCache>
                <c:formatCode>General</c:formatCode>
                <c:ptCount val="61"/>
                <c:pt idx="0">
                  <c:v>30450</c:v>
                </c:pt>
                <c:pt idx="1">
                  <c:v>31100</c:v>
                </c:pt>
                <c:pt idx="2">
                  <c:v>31100</c:v>
                </c:pt>
                <c:pt idx="3">
                  <c:v>30550</c:v>
                </c:pt>
                <c:pt idx="4">
                  <c:v>30400</c:v>
                </c:pt>
                <c:pt idx="5">
                  <c:v>30450</c:v>
                </c:pt>
                <c:pt idx="6">
                  <c:v>30550</c:v>
                </c:pt>
                <c:pt idx="7">
                  <c:v>31250</c:v>
                </c:pt>
                <c:pt idx="8">
                  <c:v>32200</c:v>
                </c:pt>
                <c:pt idx="9">
                  <c:v>32750</c:v>
                </c:pt>
                <c:pt idx="10">
                  <c:v>32550</c:v>
                </c:pt>
                <c:pt idx="11">
                  <c:v>32750</c:v>
                </c:pt>
                <c:pt idx="12">
                  <c:v>32400</c:v>
                </c:pt>
                <c:pt idx="13">
                  <c:v>33000</c:v>
                </c:pt>
                <c:pt idx="14">
                  <c:v>33450</c:v>
                </c:pt>
                <c:pt idx="15">
                  <c:v>32900</c:v>
                </c:pt>
                <c:pt idx="16">
                  <c:v>32700</c:v>
                </c:pt>
                <c:pt idx="17">
                  <c:v>32950</c:v>
                </c:pt>
                <c:pt idx="18">
                  <c:v>33000</c:v>
                </c:pt>
                <c:pt idx="19">
                  <c:v>32950</c:v>
                </c:pt>
                <c:pt idx="20">
                  <c:v>32950</c:v>
                </c:pt>
                <c:pt idx="21">
                  <c:v>33000</c:v>
                </c:pt>
                <c:pt idx="22">
                  <c:v>34400</c:v>
                </c:pt>
                <c:pt idx="23">
                  <c:v>31100</c:v>
                </c:pt>
                <c:pt idx="24">
                  <c:v>30500</c:v>
                </c:pt>
                <c:pt idx="25">
                  <c:v>33450</c:v>
                </c:pt>
                <c:pt idx="26">
                  <c:v>34250</c:v>
                </c:pt>
                <c:pt idx="27">
                  <c:v>34350</c:v>
                </c:pt>
                <c:pt idx="28">
                  <c:v>34500</c:v>
                </c:pt>
                <c:pt idx="29">
                  <c:v>34300</c:v>
                </c:pt>
                <c:pt idx="30">
                  <c:v>36450</c:v>
                </c:pt>
                <c:pt idx="31">
                  <c:v>35600</c:v>
                </c:pt>
                <c:pt idx="32">
                  <c:v>34750</c:v>
                </c:pt>
                <c:pt idx="33">
                  <c:v>36400</c:v>
                </c:pt>
                <c:pt idx="34">
                  <c:v>36900</c:v>
                </c:pt>
                <c:pt idx="35">
                  <c:v>37500</c:v>
                </c:pt>
                <c:pt idx="36">
                  <c:v>37500</c:v>
                </c:pt>
                <c:pt idx="37">
                  <c:v>37550</c:v>
                </c:pt>
                <c:pt idx="38">
                  <c:v>37600</c:v>
                </c:pt>
                <c:pt idx="39">
                  <c:v>37650</c:v>
                </c:pt>
                <c:pt idx="40">
                  <c:v>37650</c:v>
                </c:pt>
                <c:pt idx="41">
                  <c:v>37700</c:v>
                </c:pt>
                <c:pt idx="42">
                  <c:v>37750</c:v>
                </c:pt>
                <c:pt idx="43">
                  <c:v>37750</c:v>
                </c:pt>
                <c:pt idx="44">
                  <c:v>37800</c:v>
                </c:pt>
                <c:pt idx="45">
                  <c:v>37850</c:v>
                </c:pt>
                <c:pt idx="46">
                  <c:v>37900</c:v>
                </c:pt>
                <c:pt idx="47">
                  <c:v>37900</c:v>
                </c:pt>
                <c:pt idx="48">
                  <c:v>37950</c:v>
                </c:pt>
                <c:pt idx="49">
                  <c:v>38000</c:v>
                </c:pt>
                <c:pt idx="50">
                  <c:v>38050</c:v>
                </c:pt>
                <c:pt idx="51">
                  <c:v>38050</c:v>
                </c:pt>
                <c:pt idx="52">
                  <c:v>38100</c:v>
                </c:pt>
                <c:pt idx="53">
                  <c:v>38150</c:v>
                </c:pt>
                <c:pt idx="54">
                  <c:v>38500</c:v>
                </c:pt>
                <c:pt idx="55">
                  <c:v>38900</c:v>
                </c:pt>
                <c:pt idx="56">
                  <c:v>39300</c:v>
                </c:pt>
                <c:pt idx="57">
                  <c:v>39300</c:v>
                </c:pt>
                <c:pt idx="58">
                  <c:v>39300</c:v>
                </c:pt>
                <c:pt idx="59">
                  <c:v>39300</c:v>
                </c:pt>
                <c:pt idx="60">
                  <c:v>39300</c:v>
                </c:pt>
              </c:numCache>
            </c:numRef>
          </c:val>
          <c:smooth val="0"/>
          <c:extLst>
            <c:ext xmlns:c16="http://schemas.microsoft.com/office/drawing/2014/chart" uri="{C3380CC4-5D6E-409C-BE32-E72D297353CC}">
              <c16:uniqueId val="{00000000-6C95-4AF9-9677-75D0BF8DBF4A}"/>
            </c:ext>
          </c:extLst>
        </c:ser>
        <c:ser>
          <c:idx val="1"/>
          <c:order val="1"/>
          <c:tx>
            <c:strRef>
              <c:f>'Campus Enrol Disaggregation'!$Q$4</c:f>
              <c:strCache>
                <c:ptCount val="1"/>
                <c:pt idx="0">
                  <c:v>ENSIGN</c:v>
                </c:pt>
              </c:strCache>
            </c:strRef>
          </c:tx>
          <c:spPr>
            <a:ln w="28575" cap="rnd">
              <a:solidFill>
                <a:schemeClr val="accent2"/>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Disaggregation'!$Q$5:$Q$65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1300</c:v>
                </c:pt>
                <c:pt idx="14">
                  <c:v>1400</c:v>
                </c:pt>
                <c:pt idx="15">
                  <c:v>1500</c:v>
                </c:pt>
                <c:pt idx="16">
                  <c:v>1600</c:v>
                </c:pt>
                <c:pt idx="17">
                  <c:v>1700</c:v>
                </c:pt>
                <c:pt idx="18">
                  <c:v>1800</c:v>
                </c:pt>
                <c:pt idx="19">
                  <c:v>1900</c:v>
                </c:pt>
                <c:pt idx="20">
                  <c:v>2000</c:v>
                </c:pt>
                <c:pt idx="21">
                  <c:v>2100</c:v>
                </c:pt>
                <c:pt idx="22">
                  <c:v>2200</c:v>
                </c:pt>
                <c:pt idx="23">
                  <c:v>2200</c:v>
                </c:pt>
                <c:pt idx="24">
                  <c:v>2150</c:v>
                </c:pt>
                <c:pt idx="25">
                  <c:v>2150</c:v>
                </c:pt>
                <c:pt idx="26">
                  <c:v>2100</c:v>
                </c:pt>
                <c:pt idx="27">
                  <c:v>2050</c:v>
                </c:pt>
                <c:pt idx="28">
                  <c:v>2000</c:v>
                </c:pt>
                <c:pt idx="29">
                  <c:v>1950</c:v>
                </c:pt>
                <c:pt idx="30">
                  <c:v>2000</c:v>
                </c:pt>
                <c:pt idx="31">
                  <c:v>2000</c:v>
                </c:pt>
                <c:pt idx="32">
                  <c:v>2000</c:v>
                </c:pt>
                <c:pt idx="33">
                  <c:v>2000</c:v>
                </c:pt>
                <c:pt idx="34">
                  <c:v>2000</c:v>
                </c:pt>
                <c:pt idx="35">
                  <c:v>2000</c:v>
                </c:pt>
                <c:pt idx="36">
                  <c:v>2000</c:v>
                </c:pt>
                <c:pt idx="37">
                  <c:v>2000</c:v>
                </c:pt>
                <c:pt idx="38">
                  <c:v>2000</c:v>
                </c:pt>
                <c:pt idx="39">
                  <c:v>2000</c:v>
                </c:pt>
                <c:pt idx="40">
                  <c:v>2000</c:v>
                </c:pt>
                <c:pt idx="41">
                  <c:v>2000</c:v>
                </c:pt>
                <c:pt idx="42">
                  <c:v>2000</c:v>
                </c:pt>
                <c:pt idx="43">
                  <c:v>2000</c:v>
                </c:pt>
                <c:pt idx="44">
                  <c:v>2000</c:v>
                </c:pt>
                <c:pt idx="45">
                  <c:v>2000</c:v>
                </c:pt>
                <c:pt idx="46">
                  <c:v>2000</c:v>
                </c:pt>
                <c:pt idx="47">
                  <c:v>2000</c:v>
                </c:pt>
                <c:pt idx="48">
                  <c:v>2000</c:v>
                </c:pt>
                <c:pt idx="49">
                  <c:v>2000</c:v>
                </c:pt>
                <c:pt idx="50">
                  <c:v>2000</c:v>
                </c:pt>
                <c:pt idx="51">
                  <c:v>2000</c:v>
                </c:pt>
                <c:pt idx="52">
                  <c:v>2000</c:v>
                </c:pt>
                <c:pt idx="53">
                  <c:v>2000</c:v>
                </c:pt>
                <c:pt idx="54">
                  <c:v>2000</c:v>
                </c:pt>
                <c:pt idx="55">
                  <c:v>2000</c:v>
                </c:pt>
                <c:pt idx="56">
                  <c:v>2000</c:v>
                </c:pt>
                <c:pt idx="57">
                  <c:v>2000</c:v>
                </c:pt>
                <c:pt idx="58">
                  <c:v>2000</c:v>
                </c:pt>
                <c:pt idx="59">
                  <c:v>2000</c:v>
                </c:pt>
                <c:pt idx="60">
                  <c:v>2000</c:v>
                </c:pt>
              </c:numCache>
            </c:numRef>
          </c:val>
          <c:smooth val="0"/>
          <c:extLst>
            <c:ext xmlns:c16="http://schemas.microsoft.com/office/drawing/2014/chart" uri="{C3380CC4-5D6E-409C-BE32-E72D297353CC}">
              <c16:uniqueId val="{00000001-6C95-4AF9-9677-75D0BF8DBF4A}"/>
            </c:ext>
          </c:extLst>
        </c:ser>
        <c:ser>
          <c:idx val="2"/>
          <c:order val="2"/>
          <c:tx>
            <c:strRef>
              <c:f>'Campus Enrol Disaggregation'!$R$4</c:f>
              <c:strCache>
                <c:ptCount val="1"/>
                <c:pt idx="0">
                  <c:v>SLCC_MAIN</c:v>
                </c:pt>
              </c:strCache>
            </c:strRef>
          </c:tx>
          <c:spPr>
            <a:ln w="28575" cap="rnd">
              <a:solidFill>
                <a:schemeClr val="accent3"/>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Disaggregation'!$R$5:$R$65</c:f>
              <c:numCache>
                <c:formatCode>General</c:formatCode>
                <c:ptCount val="61"/>
                <c:pt idx="0">
                  <c:v>7050</c:v>
                </c:pt>
                <c:pt idx="1">
                  <c:v>8450</c:v>
                </c:pt>
                <c:pt idx="2">
                  <c:v>9400</c:v>
                </c:pt>
                <c:pt idx="3">
                  <c:v>9650</c:v>
                </c:pt>
                <c:pt idx="4">
                  <c:v>10250</c:v>
                </c:pt>
                <c:pt idx="5">
                  <c:v>11000</c:v>
                </c:pt>
                <c:pt idx="6">
                  <c:v>11800</c:v>
                </c:pt>
                <c:pt idx="7">
                  <c:v>12850</c:v>
                </c:pt>
                <c:pt idx="8">
                  <c:v>10450</c:v>
                </c:pt>
                <c:pt idx="9">
                  <c:v>11250</c:v>
                </c:pt>
                <c:pt idx="10">
                  <c:v>11650</c:v>
                </c:pt>
                <c:pt idx="11">
                  <c:v>12800</c:v>
                </c:pt>
                <c:pt idx="12">
                  <c:v>12600</c:v>
                </c:pt>
                <c:pt idx="13">
                  <c:v>12750</c:v>
                </c:pt>
                <c:pt idx="14">
                  <c:v>13550</c:v>
                </c:pt>
                <c:pt idx="15">
                  <c:v>13500</c:v>
                </c:pt>
                <c:pt idx="16">
                  <c:v>13250</c:v>
                </c:pt>
                <c:pt idx="17">
                  <c:v>13250</c:v>
                </c:pt>
                <c:pt idx="18">
                  <c:v>15750</c:v>
                </c:pt>
                <c:pt idx="19">
                  <c:v>21050</c:v>
                </c:pt>
                <c:pt idx="20">
                  <c:v>20200</c:v>
                </c:pt>
                <c:pt idx="21">
                  <c:v>19400</c:v>
                </c:pt>
                <c:pt idx="22">
                  <c:v>18900</c:v>
                </c:pt>
                <c:pt idx="23">
                  <c:v>18500</c:v>
                </c:pt>
                <c:pt idx="24">
                  <c:v>17650</c:v>
                </c:pt>
                <c:pt idx="25">
                  <c:v>16450</c:v>
                </c:pt>
                <c:pt idx="26">
                  <c:v>16950</c:v>
                </c:pt>
                <c:pt idx="27">
                  <c:v>17050</c:v>
                </c:pt>
                <c:pt idx="28">
                  <c:v>15400</c:v>
                </c:pt>
                <c:pt idx="29">
                  <c:v>15600</c:v>
                </c:pt>
                <c:pt idx="30">
                  <c:v>14400</c:v>
                </c:pt>
                <c:pt idx="31">
                  <c:v>14350</c:v>
                </c:pt>
                <c:pt idx="32">
                  <c:v>13900</c:v>
                </c:pt>
                <c:pt idx="33">
                  <c:v>17150</c:v>
                </c:pt>
                <c:pt idx="34">
                  <c:v>17200</c:v>
                </c:pt>
                <c:pt idx="35">
                  <c:v>17200</c:v>
                </c:pt>
                <c:pt idx="36">
                  <c:v>17150</c:v>
                </c:pt>
                <c:pt idx="37">
                  <c:v>17100</c:v>
                </c:pt>
                <c:pt idx="38">
                  <c:v>17000</c:v>
                </c:pt>
                <c:pt idx="39">
                  <c:v>17200</c:v>
                </c:pt>
                <c:pt idx="40">
                  <c:v>17400</c:v>
                </c:pt>
                <c:pt idx="41">
                  <c:v>17550</c:v>
                </c:pt>
                <c:pt idx="42">
                  <c:v>17750</c:v>
                </c:pt>
                <c:pt idx="43">
                  <c:v>17950</c:v>
                </c:pt>
                <c:pt idx="44">
                  <c:v>18150</c:v>
                </c:pt>
                <c:pt idx="45">
                  <c:v>18300</c:v>
                </c:pt>
                <c:pt idx="46">
                  <c:v>18500</c:v>
                </c:pt>
                <c:pt idx="47">
                  <c:v>18700</c:v>
                </c:pt>
                <c:pt idx="48">
                  <c:v>18900</c:v>
                </c:pt>
                <c:pt idx="49">
                  <c:v>19050</c:v>
                </c:pt>
                <c:pt idx="50">
                  <c:v>19250</c:v>
                </c:pt>
                <c:pt idx="51">
                  <c:v>19450</c:v>
                </c:pt>
                <c:pt idx="52">
                  <c:v>19600</c:v>
                </c:pt>
                <c:pt idx="53">
                  <c:v>19800</c:v>
                </c:pt>
                <c:pt idx="54">
                  <c:v>20000</c:v>
                </c:pt>
                <c:pt idx="55">
                  <c:v>20200</c:v>
                </c:pt>
                <c:pt idx="56">
                  <c:v>20350</c:v>
                </c:pt>
                <c:pt idx="57">
                  <c:v>20550</c:v>
                </c:pt>
                <c:pt idx="58">
                  <c:v>20750</c:v>
                </c:pt>
                <c:pt idx="59">
                  <c:v>20950</c:v>
                </c:pt>
                <c:pt idx="60">
                  <c:v>21100</c:v>
                </c:pt>
              </c:numCache>
            </c:numRef>
          </c:val>
          <c:smooth val="0"/>
          <c:extLst>
            <c:ext xmlns:c16="http://schemas.microsoft.com/office/drawing/2014/chart" uri="{C3380CC4-5D6E-409C-BE32-E72D297353CC}">
              <c16:uniqueId val="{00000002-6C95-4AF9-9677-75D0BF8DBF4A}"/>
            </c:ext>
          </c:extLst>
        </c:ser>
        <c:ser>
          <c:idx val="3"/>
          <c:order val="3"/>
          <c:tx>
            <c:strRef>
              <c:f>'Campus Enrol Disaggregation'!$S$4</c:f>
              <c:strCache>
                <c:ptCount val="1"/>
                <c:pt idx="0">
                  <c:v>SLCC_JD</c:v>
                </c:pt>
              </c:strCache>
            </c:strRef>
          </c:tx>
          <c:spPr>
            <a:ln w="28575" cap="rnd">
              <a:solidFill>
                <a:schemeClr val="accent4"/>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Disaggregation'!$S$5:$S$65</c:f>
              <c:numCache>
                <c:formatCode>General</c:formatCode>
                <c:ptCount val="61"/>
                <c:pt idx="0">
                  <c:v>2450</c:v>
                </c:pt>
                <c:pt idx="1">
                  <c:v>2950</c:v>
                </c:pt>
                <c:pt idx="2">
                  <c:v>3300</c:v>
                </c:pt>
                <c:pt idx="3">
                  <c:v>3400</c:v>
                </c:pt>
                <c:pt idx="4">
                  <c:v>3600</c:v>
                </c:pt>
                <c:pt idx="5">
                  <c:v>3850</c:v>
                </c:pt>
                <c:pt idx="6">
                  <c:v>4150</c:v>
                </c:pt>
                <c:pt idx="7">
                  <c:v>4500</c:v>
                </c:pt>
                <c:pt idx="8">
                  <c:v>3650</c:v>
                </c:pt>
                <c:pt idx="9">
                  <c:v>3950</c:v>
                </c:pt>
                <c:pt idx="10">
                  <c:v>4100</c:v>
                </c:pt>
                <c:pt idx="11">
                  <c:v>4450</c:v>
                </c:pt>
                <c:pt idx="12">
                  <c:v>4400</c:v>
                </c:pt>
                <c:pt idx="13">
                  <c:v>4450</c:v>
                </c:pt>
                <c:pt idx="14">
                  <c:v>4750</c:v>
                </c:pt>
                <c:pt idx="15">
                  <c:v>4700</c:v>
                </c:pt>
                <c:pt idx="16">
                  <c:v>4650</c:v>
                </c:pt>
                <c:pt idx="17">
                  <c:v>4650</c:v>
                </c:pt>
                <c:pt idx="18">
                  <c:v>5500</c:v>
                </c:pt>
                <c:pt idx="19">
                  <c:v>7350</c:v>
                </c:pt>
                <c:pt idx="20">
                  <c:v>7050</c:v>
                </c:pt>
                <c:pt idx="21">
                  <c:v>6800</c:v>
                </c:pt>
                <c:pt idx="22">
                  <c:v>6600</c:v>
                </c:pt>
                <c:pt idx="23">
                  <c:v>6450</c:v>
                </c:pt>
                <c:pt idx="24">
                  <c:v>6200</c:v>
                </c:pt>
                <c:pt idx="25">
                  <c:v>5750</c:v>
                </c:pt>
                <c:pt idx="26">
                  <c:v>5950</c:v>
                </c:pt>
                <c:pt idx="27">
                  <c:v>5950</c:v>
                </c:pt>
                <c:pt idx="28">
                  <c:v>5400</c:v>
                </c:pt>
                <c:pt idx="29">
                  <c:v>5450</c:v>
                </c:pt>
                <c:pt idx="30">
                  <c:v>5050</c:v>
                </c:pt>
                <c:pt idx="31">
                  <c:v>5050</c:v>
                </c:pt>
                <c:pt idx="32">
                  <c:v>4850</c:v>
                </c:pt>
                <c:pt idx="33">
                  <c:v>6000</c:v>
                </c:pt>
                <c:pt idx="34">
                  <c:v>6000</c:v>
                </c:pt>
                <c:pt idx="35">
                  <c:v>6000</c:v>
                </c:pt>
                <c:pt idx="36">
                  <c:v>6000</c:v>
                </c:pt>
                <c:pt idx="37">
                  <c:v>6000</c:v>
                </c:pt>
                <c:pt idx="38">
                  <c:v>5950</c:v>
                </c:pt>
                <c:pt idx="39">
                  <c:v>6000</c:v>
                </c:pt>
                <c:pt idx="40">
                  <c:v>6100</c:v>
                </c:pt>
                <c:pt idx="41">
                  <c:v>6150</c:v>
                </c:pt>
                <c:pt idx="42">
                  <c:v>6200</c:v>
                </c:pt>
                <c:pt idx="43">
                  <c:v>6300</c:v>
                </c:pt>
                <c:pt idx="44">
                  <c:v>6350</c:v>
                </c:pt>
                <c:pt idx="45">
                  <c:v>6400</c:v>
                </c:pt>
                <c:pt idx="46">
                  <c:v>6450</c:v>
                </c:pt>
                <c:pt idx="47">
                  <c:v>6550</c:v>
                </c:pt>
                <c:pt idx="48">
                  <c:v>6600</c:v>
                </c:pt>
                <c:pt idx="49">
                  <c:v>6650</c:v>
                </c:pt>
                <c:pt idx="50">
                  <c:v>6750</c:v>
                </c:pt>
                <c:pt idx="51">
                  <c:v>6800</c:v>
                </c:pt>
                <c:pt idx="52">
                  <c:v>6850</c:v>
                </c:pt>
                <c:pt idx="53">
                  <c:v>6950</c:v>
                </c:pt>
                <c:pt idx="54">
                  <c:v>7000</c:v>
                </c:pt>
                <c:pt idx="55">
                  <c:v>7050</c:v>
                </c:pt>
                <c:pt idx="56">
                  <c:v>7150</c:v>
                </c:pt>
                <c:pt idx="57">
                  <c:v>7200</c:v>
                </c:pt>
                <c:pt idx="58">
                  <c:v>7250</c:v>
                </c:pt>
                <c:pt idx="59">
                  <c:v>7300</c:v>
                </c:pt>
                <c:pt idx="60">
                  <c:v>7400</c:v>
                </c:pt>
              </c:numCache>
            </c:numRef>
          </c:val>
          <c:smooth val="0"/>
          <c:extLst>
            <c:ext xmlns:c16="http://schemas.microsoft.com/office/drawing/2014/chart" uri="{C3380CC4-5D6E-409C-BE32-E72D297353CC}">
              <c16:uniqueId val="{00000003-6C95-4AF9-9677-75D0BF8DBF4A}"/>
            </c:ext>
          </c:extLst>
        </c:ser>
        <c:ser>
          <c:idx val="4"/>
          <c:order val="4"/>
          <c:tx>
            <c:strRef>
              <c:f>'Campus Enrol Disaggregation'!$T$4</c:f>
              <c:strCache>
                <c:ptCount val="1"/>
                <c:pt idx="0">
                  <c:v>SLCC_ML</c:v>
                </c:pt>
              </c:strCache>
            </c:strRef>
          </c:tx>
          <c:spPr>
            <a:ln w="28575" cap="rnd">
              <a:solidFill>
                <a:schemeClr val="accent5"/>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Disaggregation'!$T$5:$T$65</c:f>
              <c:numCache>
                <c:formatCode>General</c:formatCode>
                <c:ptCount val="61"/>
                <c:pt idx="0">
                  <c:v>600</c:v>
                </c:pt>
                <c:pt idx="1">
                  <c:v>750</c:v>
                </c:pt>
                <c:pt idx="2">
                  <c:v>800</c:v>
                </c:pt>
                <c:pt idx="3">
                  <c:v>850</c:v>
                </c:pt>
                <c:pt idx="4">
                  <c:v>900</c:v>
                </c:pt>
                <c:pt idx="5">
                  <c:v>950</c:v>
                </c:pt>
                <c:pt idx="6">
                  <c:v>1050</c:v>
                </c:pt>
                <c:pt idx="7">
                  <c:v>1100</c:v>
                </c:pt>
                <c:pt idx="8">
                  <c:v>900</c:v>
                </c:pt>
                <c:pt idx="9">
                  <c:v>1000</c:v>
                </c:pt>
                <c:pt idx="10">
                  <c:v>1000</c:v>
                </c:pt>
                <c:pt idx="11">
                  <c:v>1100</c:v>
                </c:pt>
                <c:pt idx="12">
                  <c:v>1100</c:v>
                </c:pt>
                <c:pt idx="13">
                  <c:v>1100</c:v>
                </c:pt>
                <c:pt idx="14">
                  <c:v>1200</c:v>
                </c:pt>
                <c:pt idx="15">
                  <c:v>1200</c:v>
                </c:pt>
                <c:pt idx="16">
                  <c:v>1150</c:v>
                </c:pt>
                <c:pt idx="17">
                  <c:v>1150</c:v>
                </c:pt>
                <c:pt idx="18">
                  <c:v>1350</c:v>
                </c:pt>
                <c:pt idx="19">
                  <c:v>1850</c:v>
                </c:pt>
                <c:pt idx="20">
                  <c:v>1750</c:v>
                </c:pt>
                <c:pt idx="21">
                  <c:v>1700</c:v>
                </c:pt>
                <c:pt idx="22">
                  <c:v>1650</c:v>
                </c:pt>
                <c:pt idx="23">
                  <c:v>1600</c:v>
                </c:pt>
                <c:pt idx="24">
                  <c:v>1550</c:v>
                </c:pt>
                <c:pt idx="25">
                  <c:v>1450</c:v>
                </c:pt>
                <c:pt idx="26">
                  <c:v>1500</c:v>
                </c:pt>
                <c:pt idx="27">
                  <c:v>1500</c:v>
                </c:pt>
                <c:pt idx="28">
                  <c:v>1350</c:v>
                </c:pt>
                <c:pt idx="29">
                  <c:v>1350</c:v>
                </c:pt>
                <c:pt idx="30">
                  <c:v>1250</c:v>
                </c:pt>
                <c:pt idx="31">
                  <c:v>1250</c:v>
                </c:pt>
                <c:pt idx="32">
                  <c:v>1200</c:v>
                </c:pt>
                <c:pt idx="33">
                  <c:v>1500</c:v>
                </c:pt>
                <c:pt idx="34">
                  <c:v>1500</c:v>
                </c:pt>
                <c:pt idx="35">
                  <c:v>1500</c:v>
                </c:pt>
                <c:pt idx="36">
                  <c:v>1500</c:v>
                </c:pt>
                <c:pt idx="37">
                  <c:v>1500</c:v>
                </c:pt>
                <c:pt idx="38">
                  <c:v>1500</c:v>
                </c:pt>
                <c:pt idx="39">
                  <c:v>1500</c:v>
                </c:pt>
                <c:pt idx="40">
                  <c:v>1500</c:v>
                </c:pt>
                <c:pt idx="41">
                  <c:v>1550</c:v>
                </c:pt>
                <c:pt idx="42">
                  <c:v>1550</c:v>
                </c:pt>
                <c:pt idx="43">
                  <c:v>1550</c:v>
                </c:pt>
                <c:pt idx="44">
                  <c:v>1600</c:v>
                </c:pt>
                <c:pt idx="45">
                  <c:v>1600</c:v>
                </c:pt>
                <c:pt idx="46">
                  <c:v>1600</c:v>
                </c:pt>
                <c:pt idx="47">
                  <c:v>1650</c:v>
                </c:pt>
                <c:pt idx="48">
                  <c:v>1650</c:v>
                </c:pt>
                <c:pt idx="49">
                  <c:v>1650</c:v>
                </c:pt>
                <c:pt idx="50">
                  <c:v>1700</c:v>
                </c:pt>
                <c:pt idx="51">
                  <c:v>1700</c:v>
                </c:pt>
                <c:pt idx="52">
                  <c:v>1700</c:v>
                </c:pt>
                <c:pt idx="53">
                  <c:v>1750</c:v>
                </c:pt>
                <c:pt idx="54">
                  <c:v>1750</c:v>
                </c:pt>
                <c:pt idx="55">
                  <c:v>1750</c:v>
                </c:pt>
                <c:pt idx="56">
                  <c:v>1800</c:v>
                </c:pt>
                <c:pt idx="57">
                  <c:v>1800</c:v>
                </c:pt>
                <c:pt idx="58">
                  <c:v>1800</c:v>
                </c:pt>
                <c:pt idx="59">
                  <c:v>1800</c:v>
                </c:pt>
                <c:pt idx="60">
                  <c:v>1850</c:v>
                </c:pt>
              </c:numCache>
            </c:numRef>
          </c:val>
          <c:smooth val="0"/>
          <c:extLst>
            <c:ext xmlns:c16="http://schemas.microsoft.com/office/drawing/2014/chart" uri="{C3380CC4-5D6E-409C-BE32-E72D297353CC}">
              <c16:uniqueId val="{00000004-6C95-4AF9-9677-75D0BF8DBF4A}"/>
            </c:ext>
          </c:extLst>
        </c:ser>
        <c:ser>
          <c:idx val="5"/>
          <c:order val="5"/>
          <c:tx>
            <c:strRef>
              <c:f>'Campus Enrol Disaggregation'!$U$4</c:f>
              <c:strCache>
                <c:ptCount val="1"/>
                <c:pt idx="0">
                  <c:v>SLCC_SC</c:v>
                </c:pt>
              </c:strCache>
            </c:strRef>
          </c:tx>
          <c:spPr>
            <a:ln w="28575" cap="rnd">
              <a:solidFill>
                <a:schemeClr val="accent6"/>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Disaggregation'!$U$5:$U$65</c:f>
              <c:numCache>
                <c:formatCode>General</c:formatCode>
                <c:ptCount val="61"/>
                <c:pt idx="0">
                  <c:v>2200</c:v>
                </c:pt>
                <c:pt idx="1">
                  <c:v>2600</c:v>
                </c:pt>
                <c:pt idx="2">
                  <c:v>2900</c:v>
                </c:pt>
                <c:pt idx="3">
                  <c:v>3000</c:v>
                </c:pt>
                <c:pt idx="4">
                  <c:v>3200</c:v>
                </c:pt>
                <c:pt idx="5">
                  <c:v>3400</c:v>
                </c:pt>
                <c:pt idx="6">
                  <c:v>3650</c:v>
                </c:pt>
                <c:pt idx="7">
                  <c:v>4000</c:v>
                </c:pt>
                <c:pt idx="8">
                  <c:v>3250</c:v>
                </c:pt>
                <c:pt idx="9">
                  <c:v>3500</c:v>
                </c:pt>
                <c:pt idx="10">
                  <c:v>3600</c:v>
                </c:pt>
                <c:pt idx="11">
                  <c:v>3950</c:v>
                </c:pt>
                <c:pt idx="12">
                  <c:v>3900</c:v>
                </c:pt>
                <c:pt idx="13">
                  <c:v>3950</c:v>
                </c:pt>
                <c:pt idx="14">
                  <c:v>4200</c:v>
                </c:pt>
                <c:pt idx="15">
                  <c:v>4200</c:v>
                </c:pt>
                <c:pt idx="16">
                  <c:v>4100</c:v>
                </c:pt>
                <c:pt idx="17">
                  <c:v>4100</c:v>
                </c:pt>
                <c:pt idx="18">
                  <c:v>4900</c:v>
                </c:pt>
                <c:pt idx="19">
                  <c:v>6550</c:v>
                </c:pt>
                <c:pt idx="20">
                  <c:v>6250</c:v>
                </c:pt>
                <c:pt idx="21">
                  <c:v>6000</c:v>
                </c:pt>
                <c:pt idx="22">
                  <c:v>5850</c:v>
                </c:pt>
                <c:pt idx="23">
                  <c:v>5750</c:v>
                </c:pt>
                <c:pt idx="24">
                  <c:v>5500</c:v>
                </c:pt>
                <c:pt idx="25">
                  <c:v>5100</c:v>
                </c:pt>
                <c:pt idx="26">
                  <c:v>5250</c:v>
                </c:pt>
                <c:pt idx="27">
                  <c:v>5300</c:v>
                </c:pt>
                <c:pt idx="28">
                  <c:v>4750</c:v>
                </c:pt>
                <c:pt idx="29">
                  <c:v>4850</c:v>
                </c:pt>
                <c:pt idx="30">
                  <c:v>4450</c:v>
                </c:pt>
                <c:pt idx="31">
                  <c:v>4450</c:v>
                </c:pt>
                <c:pt idx="32">
                  <c:v>4300</c:v>
                </c:pt>
                <c:pt idx="33">
                  <c:v>5300</c:v>
                </c:pt>
                <c:pt idx="34">
                  <c:v>5350</c:v>
                </c:pt>
                <c:pt idx="35">
                  <c:v>5350</c:v>
                </c:pt>
                <c:pt idx="36">
                  <c:v>5300</c:v>
                </c:pt>
                <c:pt idx="37">
                  <c:v>5300</c:v>
                </c:pt>
                <c:pt idx="38">
                  <c:v>5300</c:v>
                </c:pt>
                <c:pt idx="39">
                  <c:v>5350</c:v>
                </c:pt>
                <c:pt idx="40">
                  <c:v>5400</c:v>
                </c:pt>
                <c:pt idx="41">
                  <c:v>5450</c:v>
                </c:pt>
                <c:pt idx="42">
                  <c:v>5500</c:v>
                </c:pt>
                <c:pt idx="43">
                  <c:v>5550</c:v>
                </c:pt>
                <c:pt idx="44">
                  <c:v>5600</c:v>
                </c:pt>
                <c:pt idx="45">
                  <c:v>5700</c:v>
                </c:pt>
                <c:pt idx="46">
                  <c:v>5750</c:v>
                </c:pt>
                <c:pt idx="47">
                  <c:v>5800</c:v>
                </c:pt>
                <c:pt idx="48">
                  <c:v>5850</c:v>
                </c:pt>
                <c:pt idx="49">
                  <c:v>5900</c:v>
                </c:pt>
                <c:pt idx="50">
                  <c:v>5950</c:v>
                </c:pt>
                <c:pt idx="51">
                  <c:v>6050</c:v>
                </c:pt>
                <c:pt idx="52">
                  <c:v>6100</c:v>
                </c:pt>
                <c:pt idx="53">
                  <c:v>6150</c:v>
                </c:pt>
                <c:pt idx="54">
                  <c:v>6200</c:v>
                </c:pt>
                <c:pt idx="55">
                  <c:v>6250</c:v>
                </c:pt>
                <c:pt idx="56">
                  <c:v>6300</c:v>
                </c:pt>
                <c:pt idx="57">
                  <c:v>6400</c:v>
                </c:pt>
                <c:pt idx="58">
                  <c:v>6450</c:v>
                </c:pt>
                <c:pt idx="59">
                  <c:v>6500</c:v>
                </c:pt>
                <c:pt idx="60">
                  <c:v>6550</c:v>
                </c:pt>
              </c:numCache>
            </c:numRef>
          </c:val>
          <c:smooth val="0"/>
          <c:extLst>
            <c:ext xmlns:c16="http://schemas.microsoft.com/office/drawing/2014/chart" uri="{C3380CC4-5D6E-409C-BE32-E72D297353CC}">
              <c16:uniqueId val="{00000005-6C95-4AF9-9677-75D0BF8DBF4A}"/>
            </c:ext>
          </c:extLst>
        </c:ser>
        <c:ser>
          <c:idx val="6"/>
          <c:order val="6"/>
          <c:tx>
            <c:strRef>
              <c:f>'Campus Enrol Disaggregation'!$V$4</c:f>
              <c:strCache>
                <c:ptCount val="1"/>
                <c:pt idx="0">
                  <c:v>UOFU_Main</c:v>
                </c:pt>
              </c:strCache>
            </c:strRef>
          </c:tx>
          <c:spPr>
            <a:ln w="28575" cap="rnd">
              <a:solidFill>
                <a:schemeClr val="accent1">
                  <a:lumMod val="60000"/>
                </a:schemeClr>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Disaggregation'!$V$5:$V$65</c:f>
              <c:numCache>
                <c:formatCode>General</c:formatCode>
                <c:ptCount val="61"/>
                <c:pt idx="0">
                  <c:v>23650</c:v>
                </c:pt>
                <c:pt idx="1">
                  <c:v>24900</c:v>
                </c:pt>
                <c:pt idx="2">
                  <c:v>25200</c:v>
                </c:pt>
                <c:pt idx="3">
                  <c:v>25300</c:v>
                </c:pt>
                <c:pt idx="4">
                  <c:v>24950</c:v>
                </c:pt>
                <c:pt idx="5">
                  <c:v>26100</c:v>
                </c:pt>
                <c:pt idx="6">
                  <c:v>25400</c:v>
                </c:pt>
                <c:pt idx="7">
                  <c:v>25200</c:v>
                </c:pt>
                <c:pt idx="8">
                  <c:v>24350</c:v>
                </c:pt>
                <c:pt idx="9">
                  <c:v>25100</c:v>
                </c:pt>
                <c:pt idx="10">
                  <c:v>25450</c:v>
                </c:pt>
                <c:pt idx="11">
                  <c:v>26950</c:v>
                </c:pt>
                <c:pt idx="12">
                  <c:v>27600</c:v>
                </c:pt>
                <c:pt idx="13">
                  <c:v>27700</c:v>
                </c:pt>
                <c:pt idx="14">
                  <c:v>28150</c:v>
                </c:pt>
                <c:pt idx="15">
                  <c:v>28250</c:v>
                </c:pt>
                <c:pt idx="16">
                  <c:v>27850</c:v>
                </c:pt>
                <c:pt idx="17">
                  <c:v>27300</c:v>
                </c:pt>
                <c:pt idx="18">
                  <c:v>27450</c:v>
                </c:pt>
                <c:pt idx="19">
                  <c:v>29300</c:v>
                </c:pt>
                <c:pt idx="20">
                  <c:v>30800</c:v>
                </c:pt>
                <c:pt idx="21">
                  <c:v>31850</c:v>
                </c:pt>
                <c:pt idx="22">
                  <c:v>32400</c:v>
                </c:pt>
                <c:pt idx="23">
                  <c:v>35250</c:v>
                </c:pt>
                <c:pt idx="24">
                  <c:v>31150</c:v>
                </c:pt>
                <c:pt idx="25">
                  <c:v>31300</c:v>
                </c:pt>
                <c:pt idx="26">
                  <c:v>31600</c:v>
                </c:pt>
                <c:pt idx="27">
                  <c:v>32300</c:v>
                </c:pt>
                <c:pt idx="28">
                  <c:v>32150</c:v>
                </c:pt>
                <c:pt idx="29">
                  <c:v>32000</c:v>
                </c:pt>
                <c:pt idx="30">
                  <c:v>32200</c:v>
                </c:pt>
                <c:pt idx="31">
                  <c:v>33550</c:v>
                </c:pt>
                <c:pt idx="32">
                  <c:v>33800</c:v>
                </c:pt>
                <c:pt idx="33">
                  <c:v>35100</c:v>
                </c:pt>
                <c:pt idx="34">
                  <c:v>35600</c:v>
                </c:pt>
                <c:pt idx="35">
                  <c:v>35900</c:v>
                </c:pt>
                <c:pt idx="36">
                  <c:v>36100</c:v>
                </c:pt>
                <c:pt idx="37">
                  <c:v>36300</c:v>
                </c:pt>
                <c:pt idx="38">
                  <c:v>36350</c:v>
                </c:pt>
                <c:pt idx="39">
                  <c:v>36600</c:v>
                </c:pt>
                <c:pt idx="40">
                  <c:v>36850</c:v>
                </c:pt>
                <c:pt idx="41">
                  <c:v>37100</c:v>
                </c:pt>
                <c:pt idx="42">
                  <c:v>37350</c:v>
                </c:pt>
                <c:pt idx="43">
                  <c:v>37600</c:v>
                </c:pt>
                <c:pt idx="44">
                  <c:v>37850</c:v>
                </c:pt>
                <c:pt idx="45">
                  <c:v>38100</c:v>
                </c:pt>
                <c:pt idx="46">
                  <c:v>38350</c:v>
                </c:pt>
                <c:pt idx="47">
                  <c:v>38600</c:v>
                </c:pt>
                <c:pt idx="48">
                  <c:v>38850</c:v>
                </c:pt>
                <c:pt idx="49">
                  <c:v>39100</c:v>
                </c:pt>
                <c:pt idx="50">
                  <c:v>39350</c:v>
                </c:pt>
                <c:pt idx="51">
                  <c:v>39600</c:v>
                </c:pt>
                <c:pt idx="52">
                  <c:v>39850</c:v>
                </c:pt>
                <c:pt idx="53">
                  <c:v>40100</c:v>
                </c:pt>
                <c:pt idx="54">
                  <c:v>40350</c:v>
                </c:pt>
                <c:pt idx="55">
                  <c:v>40600</c:v>
                </c:pt>
                <c:pt idx="56">
                  <c:v>40850</c:v>
                </c:pt>
                <c:pt idx="57">
                  <c:v>41100</c:v>
                </c:pt>
                <c:pt idx="58">
                  <c:v>41350</c:v>
                </c:pt>
                <c:pt idx="59">
                  <c:v>41600</c:v>
                </c:pt>
                <c:pt idx="60">
                  <c:v>41850</c:v>
                </c:pt>
              </c:numCache>
            </c:numRef>
          </c:val>
          <c:smooth val="0"/>
          <c:extLst>
            <c:ext xmlns:c16="http://schemas.microsoft.com/office/drawing/2014/chart" uri="{C3380CC4-5D6E-409C-BE32-E72D297353CC}">
              <c16:uniqueId val="{00000006-6C95-4AF9-9677-75D0BF8DBF4A}"/>
            </c:ext>
          </c:extLst>
        </c:ser>
        <c:ser>
          <c:idx val="7"/>
          <c:order val="7"/>
          <c:tx>
            <c:strRef>
              <c:f>'Campus Enrol Disaggregation'!$W$4</c:f>
              <c:strCache>
                <c:ptCount val="1"/>
                <c:pt idx="0">
                  <c:v>UVU_Main</c:v>
                </c:pt>
              </c:strCache>
            </c:strRef>
          </c:tx>
          <c:spPr>
            <a:ln w="28575" cap="rnd">
              <a:solidFill>
                <a:schemeClr val="accent2">
                  <a:lumMod val="60000"/>
                </a:schemeClr>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Disaggregation'!$W$5:$W$65</c:f>
              <c:numCache>
                <c:formatCode>General</c:formatCode>
                <c:ptCount val="61"/>
                <c:pt idx="0">
                  <c:v>7900</c:v>
                </c:pt>
                <c:pt idx="1">
                  <c:v>8800</c:v>
                </c:pt>
                <c:pt idx="2">
                  <c:v>9600</c:v>
                </c:pt>
                <c:pt idx="3">
                  <c:v>10500</c:v>
                </c:pt>
                <c:pt idx="4">
                  <c:v>13300</c:v>
                </c:pt>
                <c:pt idx="5">
                  <c:v>14050</c:v>
                </c:pt>
                <c:pt idx="6">
                  <c:v>14750</c:v>
                </c:pt>
                <c:pt idx="7">
                  <c:v>16000</c:v>
                </c:pt>
                <c:pt idx="8">
                  <c:v>18150</c:v>
                </c:pt>
                <c:pt idx="9">
                  <c:v>20050</c:v>
                </c:pt>
                <c:pt idx="10">
                  <c:v>20950</c:v>
                </c:pt>
                <c:pt idx="11">
                  <c:v>22600</c:v>
                </c:pt>
                <c:pt idx="12">
                  <c:v>23600</c:v>
                </c:pt>
                <c:pt idx="13">
                  <c:v>23800</c:v>
                </c:pt>
                <c:pt idx="14">
                  <c:v>24150</c:v>
                </c:pt>
                <c:pt idx="15">
                  <c:v>24500</c:v>
                </c:pt>
                <c:pt idx="16">
                  <c:v>23300</c:v>
                </c:pt>
                <c:pt idx="17">
                  <c:v>23850</c:v>
                </c:pt>
                <c:pt idx="18">
                  <c:v>27050</c:v>
                </c:pt>
                <c:pt idx="19">
                  <c:v>29050</c:v>
                </c:pt>
                <c:pt idx="20">
                  <c:v>31750</c:v>
                </c:pt>
                <c:pt idx="21">
                  <c:v>32750</c:v>
                </c:pt>
                <c:pt idx="22">
                  <c:v>31800</c:v>
                </c:pt>
                <c:pt idx="23">
                  <c:v>30900</c:v>
                </c:pt>
                <c:pt idx="24">
                  <c:v>31600</c:v>
                </c:pt>
                <c:pt idx="25">
                  <c:v>33550</c:v>
                </c:pt>
                <c:pt idx="26">
                  <c:v>35150</c:v>
                </c:pt>
                <c:pt idx="27">
                  <c:v>37800</c:v>
                </c:pt>
                <c:pt idx="28">
                  <c:v>39950</c:v>
                </c:pt>
                <c:pt idx="29">
                  <c:v>40300</c:v>
                </c:pt>
                <c:pt idx="30">
                  <c:v>39450</c:v>
                </c:pt>
                <c:pt idx="31">
                  <c:v>39700</c:v>
                </c:pt>
                <c:pt idx="32">
                  <c:v>41500</c:v>
                </c:pt>
                <c:pt idx="33">
                  <c:v>43100</c:v>
                </c:pt>
                <c:pt idx="34">
                  <c:v>44700</c:v>
                </c:pt>
                <c:pt idx="35">
                  <c:v>46400</c:v>
                </c:pt>
                <c:pt idx="36">
                  <c:v>47150</c:v>
                </c:pt>
                <c:pt idx="37">
                  <c:v>48100</c:v>
                </c:pt>
                <c:pt idx="38">
                  <c:v>48850</c:v>
                </c:pt>
                <c:pt idx="39">
                  <c:v>48850</c:v>
                </c:pt>
                <c:pt idx="40">
                  <c:v>49750</c:v>
                </c:pt>
                <c:pt idx="41">
                  <c:v>50650</c:v>
                </c:pt>
                <c:pt idx="42">
                  <c:v>51600</c:v>
                </c:pt>
                <c:pt idx="43">
                  <c:v>52500</c:v>
                </c:pt>
                <c:pt idx="44">
                  <c:v>53400</c:v>
                </c:pt>
                <c:pt idx="45">
                  <c:v>54300</c:v>
                </c:pt>
                <c:pt idx="46">
                  <c:v>55250</c:v>
                </c:pt>
                <c:pt idx="47">
                  <c:v>56150</c:v>
                </c:pt>
                <c:pt idx="48">
                  <c:v>57050</c:v>
                </c:pt>
                <c:pt idx="49">
                  <c:v>57950</c:v>
                </c:pt>
                <c:pt idx="50">
                  <c:v>58850</c:v>
                </c:pt>
                <c:pt idx="51">
                  <c:v>59800</c:v>
                </c:pt>
                <c:pt idx="52">
                  <c:v>60700</c:v>
                </c:pt>
                <c:pt idx="53">
                  <c:v>61600</c:v>
                </c:pt>
                <c:pt idx="54">
                  <c:v>62500</c:v>
                </c:pt>
                <c:pt idx="55">
                  <c:v>63450</c:v>
                </c:pt>
                <c:pt idx="56">
                  <c:v>64350</c:v>
                </c:pt>
                <c:pt idx="57">
                  <c:v>65250</c:v>
                </c:pt>
                <c:pt idx="58">
                  <c:v>66150</c:v>
                </c:pt>
                <c:pt idx="59">
                  <c:v>67050</c:v>
                </c:pt>
                <c:pt idx="60">
                  <c:v>68000</c:v>
                </c:pt>
              </c:numCache>
            </c:numRef>
          </c:val>
          <c:smooth val="0"/>
          <c:extLst>
            <c:ext xmlns:c16="http://schemas.microsoft.com/office/drawing/2014/chart" uri="{C3380CC4-5D6E-409C-BE32-E72D297353CC}">
              <c16:uniqueId val="{00000007-6C95-4AF9-9677-75D0BF8DBF4A}"/>
            </c:ext>
          </c:extLst>
        </c:ser>
        <c:ser>
          <c:idx val="8"/>
          <c:order val="8"/>
          <c:tx>
            <c:strRef>
              <c:f>'Campus Enrol Disaggregation'!$X$4</c:f>
              <c:strCache>
                <c:ptCount val="1"/>
                <c:pt idx="0">
                  <c:v>UVU_Lehi</c:v>
                </c:pt>
              </c:strCache>
            </c:strRef>
          </c:tx>
          <c:spPr>
            <a:ln w="28575" cap="rnd">
              <a:solidFill>
                <a:schemeClr val="accent3">
                  <a:lumMod val="60000"/>
                </a:schemeClr>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Disaggregation'!$X$5:$X$65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1300</c:v>
                </c:pt>
                <c:pt idx="30">
                  <c:v>1350</c:v>
                </c:pt>
                <c:pt idx="31">
                  <c:v>1400</c:v>
                </c:pt>
                <c:pt idx="32">
                  <c:v>1450</c:v>
                </c:pt>
                <c:pt idx="33">
                  <c:v>1450</c:v>
                </c:pt>
                <c:pt idx="34">
                  <c:v>1500</c:v>
                </c:pt>
                <c:pt idx="35">
                  <c:v>1550</c:v>
                </c:pt>
                <c:pt idx="36">
                  <c:v>1600</c:v>
                </c:pt>
                <c:pt idx="37">
                  <c:v>1650</c:v>
                </c:pt>
                <c:pt idx="38">
                  <c:v>1700</c:v>
                </c:pt>
                <c:pt idx="39">
                  <c:v>1700</c:v>
                </c:pt>
                <c:pt idx="40">
                  <c:v>1750</c:v>
                </c:pt>
                <c:pt idx="41">
                  <c:v>1800</c:v>
                </c:pt>
                <c:pt idx="42">
                  <c:v>1850</c:v>
                </c:pt>
                <c:pt idx="43">
                  <c:v>1900</c:v>
                </c:pt>
                <c:pt idx="44">
                  <c:v>1950</c:v>
                </c:pt>
                <c:pt idx="45">
                  <c:v>1950</c:v>
                </c:pt>
                <c:pt idx="46">
                  <c:v>2000</c:v>
                </c:pt>
                <c:pt idx="47">
                  <c:v>2050</c:v>
                </c:pt>
                <c:pt idx="48">
                  <c:v>2100</c:v>
                </c:pt>
                <c:pt idx="49">
                  <c:v>2150</c:v>
                </c:pt>
                <c:pt idx="50">
                  <c:v>2200</c:v>
                </c:pt>
                <c:pt idx="51">
                  <c:v>2200</c:v>
                </c:pt>
                <c:pt idx="52">
                  <c:v>2250</c:v>
                </c:pt>
                <c:pt idx="53">
                  <c:v>2300</c:v>
                </c:pt>
                <c:pt idx="54">
                  <c:v>2350</c:v>
                </c:pt>
                <c:pt idx="55">
                  <c:v>2400</c:v>
                </c:pt>
                <c:pt idx="56">
                  <c:v>2450</c:v>
                </c:pt>
                <c:pt idx="57">
                  <c:v>2450</c:v>
                </c:pt>
                <c:pt idx="58">
                  <c:v>2500</c:v>
                </c:pt>
                <c:pt idx="59">
                  <c:v>2550</c:v>
                </c:pt>
                <c:pt idx="60">
                  <c:v>2600</c:v>
                </c:pt>
              </c:numCache>
            </c:numRef>
          </c:val>
          <c:smooth val="0"/>
          <c:extLst>
            <c:ext xmlns:c16="http://schemas.microsoft.com/office/drawing/2014/chart" uri="{C3380CC4-5D6E-409C-BE32-E72D297353CC}">
              <c16:uniqueId val="{00000008-6C95-4AF9-9677-75D0BF8DBF4A}"/>
            </c:ext>
          </c:extLst>
        </c:ser>
        <c:ser>
          <c:idx val="9"/>
          <c:order val="9"/>
          <c:tx>
            <c:strRef>
              <c:f>'Campus Enrol Disaggregation'!$Y$4</c:f>
              <c:strCache>
                <c:ptCount val="1"/>
                <c:pt idx="0">
                  <c:v>UVU_Payson</c:v>
                </c:pt>
              </c:strCache>
            </c:strRef>
          </c:tx>
          <c:spPr>
            <a:ln w="28575" cap="rnd">
              <a:solidFill>
                <a:schemeClr val="accent4">
                  <a:lumMod val="60000"/>
                </a:schemeClr>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Disaggregation'!$Y$5:$Y$65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650</c:v>
                </c:pt>
                <c:pt idx="40">
                  <c:v>750</c:v>
                </c:pt>
                <c:pt idx="41">
                  <c:v>850</c:v>
                </c:pt>
                <c:pt idx="42">
                  <c:v>1000</c:v>
                </c:pt>
                <c:pt idx="43">
                  <c:v>1100</c:v>
                </c:pt>
                <c:pt idx="44">
                  <c:v>1200</c:v>
                </c:pt>
                <c:pt idx="45">
                  <c:v>1300</c:v>
                </c:pt>
                <c:pt idx="46">
                  <c:v>1450</c:v>
                </c:pt>
                <c:pt idx="47">
                  <c:v>1550</c:v>
                </c:pt>
                <c:pt idx="48">
                  <c:v>1650</c:v>
                </c:pt>
                <c:pt idx="49">
                  <c:v>1750</c:v>
                </c:pt>
                <c:pt idx="50">
                  <c:v>1900</c:v>
                </c:pt>
                <c:pt idx="51">
                  <c:v>2000</c:v>
                </c:pt>
                <c:pt idx="52">
                  <c:v>2100</c:v>
                </c:pt>
                <c:pt idx="53">
                  <c:v>2200</c:v>
                </c:pt>
                <c:pt idx="54">
                  <c:v>2350</c:v>
                </c:pt>
                <c:pt idx="55">
                  <c:v>2450</c:v>
                </c:pt>
                <c:pt idx="56">
                  <c:v>2550</c:v>
                </c:pt>
                <c:pt idx="57">
                  <c:v>2650</c:v>
                </c:pt>
                <c:pt idx="58">
                  <c:v>2800</c:v>
                </c:pt>
                <c:pt idx="59">
                  <c:v>2900</c:v>
                </c:pt>
                <c:pt idx="60">
                  <c:v>3000</c:v>
                </c:pt>
              </c:numCache>
            </c:numRef>
          </c:val>
          <c:smooth val="0"/>
          <c:extLst>
            <c:ext xmlns:c16="http://schemas.microsoft.com/office/drawing/2014/chart" uri="{C3380CC4-5D6E-409C-BE32-E72D297353CC}">
              <c16:uniqueId val="{00000009-6C95-4AF9-9677-75D0BF8DBF4A}"/>
            </c:ext>
          </c:extLst>
        </c:ser>
        <c:ser>
          <c:idx val="10"/>
          <c:order val="10"/>
          <c:tx>
            <c:strRef>
              <c:f>'Campus Enrol Disaggregation'!$Z$4</c:f>
              <c:strCache>
                <c:ptCount val="1"/>
                <c:pt idx="0">
                  <c:v>UVU_Vineyard</c:v>
                </c:pt>
              </c:strCache>
            </c:strRef>
          </c:tx>
          <c:spPr>
            <a:ln w="28575" cap="rnd">
              <a:solidFill>
                <a:schemeClr val="accent5">
                  <a:lumMod val="60000"/>
                </a:schemeClr>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Disaggregation'!$Z$5:$Z$65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550</c:v>
                </c:pt>
                <c:pt idx="37">
                  <c:v>750</c:v>
                </c:pt>
                <c:pt idx="38">
                  <c:v>900</c:v>
                </c:pt>
                <c:pt idx="39">
                  <c:v>1050</c:v>
                </c:pt>
                <c:pt idx="40">
                  <c:v>1200</c:v>
                </c:pt>
                <c:pt idx="41">
                  <c:v>1350</c:v>
                </c:pt>
                <c:pt idx="42">
                  <c:v>1500</c:v>
                </c:pt>
                <c:pt idx="43">
                  <c:v>1650</c:v>
                </c:pt>
                <c:pt idx="44">
                  <c:v>1800</c:v>
                </c:pt>
                <c:pt idx="45">
                  <c:v>1950</c:v>
                </c:pt>
                <c:pt idx="46">
                  <c:v>2100</c:v>
                </c:pt>
                <c:pt idx="47">
                  <c:v>2250</c:v>
                </c:pt>
                <c:pt idx="48">
                  <c:v>2400</c:v>
                </c:pt>
                <c:pt idx="49">
                  <c:v>2600</c:v>
                </c:pt>
                <c:pt idx="50">
                  <c:v>2750</c:v>
                </c:pt>
                <c:pt idx="51">
                  <c:v>2900</c:v>
                </c:pt>
                <c:pt idx="52">
                  <c:v>3050</c:v>
                </c:pt>
                <c:pt idx="53">
                  <c:v>3200</c:v>
                </c:pt>
                <c:pt idx="54">
                  <c:v>3350</c:v>
                </c:pt>
                <c:pt idx="55">
                  <c:v>3500</c:v>
                </c:pt>
                <c:pt idx="56">
                  <c:v>3650</c:v>
                </c:pt>
                <c:pt idx="57">
                  <c:v>3800</c:v>
                </c:pt>
                <c:pt idx="58">
                  <c:v>3950</c:v>
                </c:pt>
                <c:pt idx="59">
                  <c:v>4100</c:v>
                </c:pt>
                <c:pt idx="60">
                  <c:v>4300</c:v>
                </c:pt>
              </c:numCache>
            </c:numRef>
          </c:val>
          <c:smooth val="0"/>
          <c:extLst>
            <c:ext xmlns:c16="http://schemas.microsoft.com/office/drawing/2014/chart" uri="{C3380CC4-5D6E-409C-BE32-E72D297353CC}">
              <c16:uniqueId val="{0000000A-6C95-4AF9-9677-75D0BF8DBF4A}"/>
            </c:ext>
          </c:extLst>
        </c:ser>
        <c:ser>
          <c:idx val="11"/>
          <c:order val="11"/>
          <c:tx>
            <c:strRef>
              <c:f>'Campus Enrol Disaggregation'!$AA$4</c:f>
              <c:strCache>
                <c:ptCount val="1"/>
                <c:pt idx="0">
                  <c:v>WSU_Main</c:v>
                </c:pt>
              </c:strCache>
            </c:strRef>
          </c:tx>
          <c:spPr>
            <a:ln w="28575" cap="rnd">
              <a:solidFill>
                <a:schemeClr val="accent6">
                  <a:lumMod val="60000"/>
                </a:schemeClr>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Disaggregation'!$AA$5:$AA$65</c:f>
              <c:numCache>
                <c:formatCode>General</c:formatCode>
                <c:ptCount val="61"/>
                <c:pt idx="0">
                  <c:v>10100</c:v>
                </c:pt>
                <c:pt idx="1">
                  <c:v>10900</c:v>
                </c:pt>
                <c:pt idx="2">
                  <c:v>11250</c:v>
                </c:pt>
                <c:pt idx="3">
                  <c:v>10850</c:v>
                </c:pt>
                <c:pt idx="4">
                  <c:v>10700</c:v>
                </c:pt>
                <c:pt idx="5">
                  <c:v>10500</c:v>
                </c:pt>
                <c:pt idx="6">
                  <c:v>10450</c:v>
                </c:pt>
                <c:pt idx="7">
                  <c:v>11000</c:v>
                </c:pt>
                <c:pt idx="8">
                  <c:v>10450</c:v>
                </c:pt>
                <c:pt idx="9">
                  <c:v>11250</c:v>
                </c:pt>
                <c:pt idx="10">
                  <c:v>12050</c:v>
                </c:pt>
                <c:pt idx="11">
                  <c:v>12700</c:v>
                </c:pt>
                <c:pt idx="12">
                  <c:v>13600</c:v>
                </c:pt>
                <c:pt idx="13">
                  <c:v>14150</c:v>
                </c:pt>
                <c:pt idx="14">
                  <c:v>13900</c:v>
                </c:pt>
                <c:pt idx="15">
                  <c:v>13650</c:v>
                </c:pt>
                <c:pt idx="16">
                  <c:v>13750</c:v>
                </c:pt>
                <c:pt idx="17">
                  <c:v>13600</c:v>
                </c:pt>
                <c:pt idx="18">
                  <c:v>16100</c:v>
                </c:pt>
                <c:pt idx="19">
                  <c:v>17900</c:v>
                </c:pt>
                <c:pt idx="20">
                  <c:v>18400</c:v>
                </c:pt>
                <c:pt idx="21">
                  <c:v>19750</c:v>
                </c:pt>
                <c:pt idx="22">
                  <c:v>20600</c:v>
                </c:pt>
                <c:pt idx="23">
                  <c:v>19450</c:v>
                </c:pt>
                <c:pt idx="24">
                  <c:v>20250</c:v>
                </c:pt>
                <c:pt idx="25">
                  <c:v>19750</c:v>
                </c:pt>
                <c:pt idx="26">
                  <c:v>20500</c:v>
                </c:pt>
                <c:pt idx="27">
                  <c:v>21350</c:v>
                </c:pt>
                <c:pt idx="28">
                  <c:v>21250</c:v>
                </c:pt>
                <c:pt idx="29">
                  <c:v>22300</c:v>
                </c:pt>
                <c:pt idx="30">
                  <c:v>22250</c:v>
                </c:pt>
                <c:pt idx="31">
                  <c:v>22400</c:v>
                </c:pt>
                <c:pt idx="32">
                  <c:v>22500</c:v>
                </c:pt>
                <c:pt idx="33">
                  <c:v>23650</c:v>
                </c:pt>
                <c:pt idx="34">
                  <c:v>23900</c:v>
                </c:pt>
                <c:pt idx="35">
                  <c:v>24100</c:v>
                </c:pt>
                <c:pt idx="36">
                  <c:v>24350</c:v>
                </c:pt>
                <c:pt idx="37">
                  <c:v>24600</c:v>
                </c:pt>
                <c:pt idx="38">
                  <c:v>24850</c:v>
                </c:pt>
                <c:pt idx="39">
                  <c:v>25200</c:v>
                </c:pt>
                <c:pt idx="40">
                  <c:v>25550</c:v>
                </c:pt>
                <c:pt idx="41">
                  <c:v>25900</c:v>
                </c:pt>
                <c:pt idx="42">
                  <c:v>26250</c:v>
                </c:pt>
                <c:pt idx="43">
                  <c:v>26550</c:v>
                </c:pt>
                <c:pt idx="44">
                  <c:v>26900</c:v>
                </c:pt>
                <c:pt idx="45">
                  <c:v>27250</c:v>
                </c:pt>
                <c:pt idx="46">
                  <c:v>27600</c:v>
                </c:pt>
                <c:pt idx="47">
                  <c:v>27900</c:v>
                </c:pt>
                <c:pt idx="48">
                  <c:v>28250</c:v>
                </c:pt>
                <c:pt idx="49">
                  <c:v>28600</c:v>
                </c:pt>
                <c:pt idx="50">
                  <c:v>28950</c:v>
                </c:pt>
                <c:pt idx="51">
                  <c:v>29300</c:v>
                </c:pt>
                <c:pt idx="52">
                  <c:v>29600</c:v>
                </c:pt>
                <c:pt idx="53">
                  <c:v>29950</c:v>
                </c:pt>
                <c:pt idx="54">
                  <c:v>30300</c:v>
                </c:pt>
                <c:pt idx="55">
                  <c:v>30650</c:v>
                </c:pt>
                <c:pt idx="56">
                  <c:v>31000</c:v>
                </c:pt>
                <c:pt idx="57">
                  <c:v>31300</c:v>
                </c:pt>
                <c:pt idx="58">
                  <c:v>31650</c:v>
                </c:pt>
                <c:pt idx="59">
                  <c:v>32000</c:v>
                </c:pt>
                <c:pt idx="60">
                  <c:v>32350</c:v>
                </c:pt>
              </c:numCache>
            </c:numRef>
          </c:val>
          <c:smooth val="0"/>
          <c:extLst>
            <c:ext xmlns:c16="http://schemas.microsoft.com/office/drawing/2014/chart" uri="{C3380CC4-5D6E-409C-BE32-E72D297353CC}">
              <c16:uniqueId val="{0000000B-6C95-4AF9-9677-75D0BF8DBF4A}"/>
            </c:ext>
          </c:extLst>
        </c:ser>
        <c:ser>
          <c:idx val="12"/>
          <c:order val="12"/>
          <c:tx>
            <c:strRef>
              <c:f>'Campus Enrol Disaggregation'!$AB$4</c:f>
              <c:strCache>
                <c:ptCount val="1"/>
                <c:pt idx="0">
                  <c:v>WSU_Davis</c:v>
                </c:pt>
              </c:strCache>
            </c:strRef>
          </c:tx>
          <c:spPr>
            <a:ln w="28575" cap="rnd">
              <a:solidFill>
                <a:schemeClr val="accent1">
                  <a:lumMod val="80000"/>
                  <a:lumOff val="20000"/>
                </a:schemeClr>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Disaggregation'!$AB$5:$AB$65</c:f>
              <c:numCache>
                <c:formatCode>General</c:formatCode>
                <c:ptCount val="61"/>
                <c:pt idx="0">
                  <c:v>2650</c:v>
                </c:pt>
                <c:pt idx="1">
                  <c:v>2850</c:v>
                </c:pt>
                <c:pt idx="2">
                  <c:v>2950</c:v>
                </c:pt>
                <c:pt idx="3">
                  <c:v>2850</c:v>
                </c:pt>
                <c:pt idx="4">
                  <c:v>2800</c:v>
                </c:pt>
                <c:pt idx="5">
                  <c:v>2750</c:v>
                </c:pt>
                <c:pt idx="6">
                  <c:v>2750</c:v>
                </c:pt>
                <c:pt idx="7">
                  <c:v>2900</c:v>
                </c:pt>
                <c:pt idx="8">
                  <c:v>2750</c:v>
                </c:pt>
                <c:pt idx="9">
                  <c:v>2950</c:v>
                </c:pt>
                <c:pt idx="10">
                  <c:v>3150</c:v>
                </c:pt>
                <c:pt idx="11">
                  <c:v>3350</c:v>
                </c:pt>
                <c:pt idx="12">
                  <c:v>3550</c:v>
                </c:pt>
                <c:pt idx="13">
                  <c:v>3700</c:v>
                </c:pt>
                <c:pt idx="14">
                  <c:v>3650</c:v>
                </c:pt>
                <c:pt idx="15">
                  <c:v>3600</c:v>
                </c:pt>
                <c:pt idx="16">
                  <c:v>3600</c:v>
                </c:pt>
                <c:pt idx="17">
                  <c:v>3550</c:v>
                </c:pt>
                <c:pt idx="18">
                  <c:v>4250</c:v>
                </c:pt>
                <c:pt idx="19">
                  <c:v>4700</c:v>
                </c:pt>
                <c:pt idx="20">
                  <c:v>4850</c:v>
                </c:pt>
                <c:pt idx="21">
                  <c:v>5200</c:v>
                </c:pt>
                <c:pt idx="22">
                  <c:v>5400</c:v>
                </c:pt>
                <c:pt idx="23">
                  <c:v>5100</c:v>
                </c:pt>
                <c:pt idx="24">
                  <c:v>5300</c:v>
                </c:pt>
                <c:pt idx="25">
                  <c:v>5200</c:v>
                </c:pt>
                <c:pt idx="26">
                  <c:v>5400</c:v>
                </c:pt>
                <c:pt idx="27">
                  <c:v>5600</c:v>
                </c:pt>
                <c:pt idx="28">
                  <c:v>5600</c:v>
                </c:pt>
                <c:pt idx="29">
                  <c:v>5850</c:v>
                </c:pt>
                <c:pt idx="30">
                  <c:v>5850</c:v>
                </c:pt>
                <c:pt idx="31">
                  <c:v>5900</c:v>
                </c:pt>
                <c:pt idx="32">
                  <c:v>5900</c:v>
                </c:pt>
                <c:pt idx="33">
                  <c:v>6200</c:v>
                </c:pt>
                <c:pt idx="34">
                  <c:v>6300</c:v>
                </c:pt>
                <c:pt idx="35">
                  <c:v>6350</c:v>
                </c:pt>
                <c:pt idx="36">
                  <c:v>6400</c:v>
                </c:pt>
                <c:pt idx="37">
                  <c:v>6450</c:v>
                </c:pt>
                <c:pt idx="38">
                  <c:v>6550</c:v>
                </c:pt>
                <c:pt idx="39">
                  <c:v>6650</c:v>
                </c:pt>
                <c:pt idx="40">
                  <c:v>6700</c:v>
                </c:pt>
                <c:pt idx="41">
                  <c:v>6800</c:v>
                </c:pt>
                <c:pt idx="42">
                  <c:v>6900</c:v>
                </c:pt>
                <c:pt idx="43">
                  <c:v>7000</c:v>
                </c:pt>
                <c:pt idx="44">
                  <c:v>7050</c:v>
                </c:pt>
                <c:pt idx="45">
                  <c:v>7150</c:v>
                </c:pt>
                <c:pt idx="46">
                  <c:v>7250</c:v>
                </c:pt>
                <c:pt idx="47">
                  <c:v>7350</c:v>
                </c:pt>
                <c:pt idx="48">
                  <c:v>7450</c:v>
                </c:pt>
                <c:pt idx="49">
                  <c:v>7500</c:v>
                </c:pt>
                <c:pt idx="50">
                  <c:v>7600</c:v>
                </c:pt>
                <c:pt idx="51">
                  <c:v>7700</c:v>
                </c:pt>
                <c:pt idx="52">
                  <c:v>7800</c:v>
                </c:pt>
                <c:pt idx="53">
                  <c:v>7900</c:v>
                </c:pt>
                <c:pt idx="54">
                  <c:v>7950</c:v>
                </c:pt>
                <c:pt idx="55">
                  <c:v>8050</c:v>
                </c:pt>
                <c:pt idx="56">
                  <c:v>8150</c:v>
                </c:pt>
                <c:pt idx="57">
                  <c:v>8250</c:v>
                </c:pt>
                <c:pt idx="58">
                  <c:v>8300</c:v>
                </c:pt>
                <c:pt idx="59">
                  <c:v>8400</c:v>
                </c:pt>
                <c:pt idx="60">
                  <c:v>8500</c:v>
                </c:pt>
              </c:numCache>
            </c:numRef>
          </c:val>
          <c:smooth val="0"/>
          <c:extLst>
            <c:ext xmlns:c16="http://schemas.microsoft.com/office/drawing/2014/chart" uri="{C3380CC4-5D6E-409C-BE32-E72D297353CC}">
              <c16:uniqueId val="{0000000C-6C95-4AF9-9677-75D0BF8DBF4A}"/>
            </c:ext>
          </c:extLst>
        </c:ser>
        <c:ser>
          <c:idx val="13"/>
          <c:order val="13"/>
          <c:tx>
            <c:strRef>
              <c:f>'Campus Enrol Disaggregation'!$AC$4</c:f>
              <c:strCache>
                <c:ptCount val="1"/>
                <c:pt idx="0">
                  <c:v>WESTMIN</c:v>
                </c:pt>
              </c:strCache>
            </c:strRef>
          </c:tx>
          <c:spPr>
            <a:ln w="28575" cap="rnd">
              <a:solidFill>
                <a:schemeClr val="accent2">
                  <a:lumMod val="80000"/>
                  <a:lumOff val="20000"/>
                </a:schemeClr>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Disaggregation'!$AC$5:$AC$65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2500</c:v>
                </c:pt>
                <c:pt idx="17">
                  <c:v>2650</c:v>
                </c:pt>
                <c:pt idx="18">
                  <c:v>2850</c:v>
                </c:pt>
                <c:pt idx="19">
                  <c:v>3050</c:v>
                </c:pt>
                <c:pt idx="20">
                  <c:v>3150</c:v>
                </c:pt>
                <c:pt idx="21">
                  <c:v>3350</c:v>
                </c:pt>
                <c:pt idx="22">
                  <c:v>3300</c:v>
                </c:pt>
                <c:pt idx="23">
                  <c:v>3100</c:v>
                </c:pt>
                <c:pt idx="24">
                  <c:v>3000</c:v>
                </c:pt>
                <c:pt idx="25">
                  <c:v>2800</c:v>
                </c:pt>
                <c:pt idx="26">
                  <c:v>2700</c:v>
                </c:pt>
                <c:pt idx="27">
                  <c:v>2550</c:v>
                </c:pt>
                <c:pt idx="28">
                  <c:v>2500</c:v>
                </c:pt>
                <c:pt idx="29">
                  <c:v>2200</c:v>
                </c:pt>
                <c:pt idx="30">
                  <c:v>1850</c:v>
                </c:pt>
                <c:pt idx="31">
                  <c:v>1550</c:v>
                </c:pt>
                <c:pt idx="32">
                  <c:v>2500</c:v>
                </c:pt>
                <c:pt idx="33">
                  <c:v>2500</c:v>
                </c:pt>
                <c:pt idx="34">
                  <c:v>2500</c:v>
                </c:pt>
                <c:pt idx="35">
                  <c:v>2500</c:v>
                </c:pt>
                <c:pt idx="36">
                  <c:v>2500</c:v>
                </c:pt>
                <c:pt idx="37">
                  <c:v>2500</c:v>
                </c:pt>
                <c:pt idx="38">
                  <c:v>2500</c:v>
                </c:pt>
                <c:pt idx="39">
                  <c:v>2500</c:v>
                </c:pt>
                <c:pt idx="40">
                  <c:v>2500</c:v>
                </c:pt>
                <c:pt idx="41">
                  <c:v>2500</c:v>
                </c:pt>
                <c:pt idx="42">
                  <c:v>2500</c:v>
                </c:pt>
                <c:pt idx="43">
                  <c:v>2550</c:v>
                </c:pt>
                <c:pt idx="44">
                  <c:v>2550</c:v>
                </c:pt>
                <c:pt idx="45">
                  <c:v>2600</c:v>
                </c:pt>
                <c:pt idx="46">
                  <c:v>2600</c:v>
                </c:pt>
                <c:pt idx="47">
                  <c:v>2650</c:v>
                </c:pt>
                <c:pt idx="48">
                  <c:v>2650</c:v>
                </c:pt>
                <c:pt idx="49">
                  <c:v>2700</c:v>
                </c:pt>
                <c:pt idx="50">
                  <c:v>2700</c:v>
                </c:pt>
                <c:pt idx="51">
                  <c:v>2750</c:v>
                </c:pt>
                <c:pt idx="52">
                  <c:v>2800</c:v>
                </c:pt>
                <c:pt idx="53">
                  <c:v>2800</c:v>
                </c:pt>
                <c:pt idx="54">
                  <c:v>2850</c:v>
                </c:pt>
                <c:pt idx="55">
                  <c:v>2850</c:v>
                </c:pt>
                <c:pt idx="56">
                  <c:v>2900</c:v>
                </c:pt>
                <c:pt idx="57">
                  <c:v>2900</c:v>
                </c:pt>
                <c:pt idx="58">
                  <c:v>2950</c:v>
                </c:pt>
                <c:pt idx="59">
                  <c:v>2950</c:v>
                </c:pt>
                <c:pt idx="60">
                  <c:v>3000</c:v>
                </c:pt>
              </c:numCache>
            </c:numRef>
          </c:val>
          <c:smooth val="0"/>
          <c:extLst>
            <c:ext xmlns:c16="http://schemas.microsoft.com/office/drawing/2014/chart" uri="{C3380CC4-5D6E-409C-BE32-E72D297353CC}">
              <c16:uniqueId val="{0000000D-6C95-4AF9-9677-75D0BF8DBF4A}"/>
            </c:ext>
          </c:extLst>
        </c:ser>
        <c:dLbls>
          <c:showLegendKey val="0"/>
          <c:showVal val="0"/>
          <c:showCatName val="0"/>
          <c:showSerName val="0"/>
          <c:showPercent val="0"/>
          <c:showBubbleSize val="0"/>
        </c:dLbls>
        <c:smooth val="0"/>
        <c:axId val="586318191"/>
        <c:axId val="586319439"/>
      </c:lineChart>
      <c:catAx>
        <c:axId val="586318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86319439"/>
        <c:crosses val="autoZero"/>
        <c:auto val="1"/>
        <c:lblAlgn val="ctr"/>
        <c:lblOffset val="100"/>
        <c:tickLblSkip val="5"/>
        <c:tickMarkSkip val="5"/>
        <c:noMultiLvlLbl val="0"/>
      </c:catAx>
      <c:valAx>
        <c:axId val="586319439"/>
        <c:scaling>
          <c:orientation val="minMax"/>
          <c:max val="7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1819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College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'Campus Enrol Disaggregation'!$AD$4</c:f>
              <c:strCache>
                <c:ptCount val="1"/>
                <c:pt idx="0">
                  <c:v>Total</c:v>
                </c:pt>
              </c:strCache>
            </c:strRef>
          </c:tx>
          <c:spPr>
            <a:ln w="28575" cap="rnd">
              <a:solidFill>
                <a:schemeClr val="accent1"/>
              </a:solidFill>
              <a:round/>
            </a:ln>
            <a:effectLst/>
          </c:spPr>
          <c:marker>
            <c:symbol val="none"/>
          </c:marker>
          <c:cat>
            <c:numRef>
              <c:f>'Campus Enrol Disaggregation'!$O$5:$O$65</c:f>
              <c:numCache>
                <c:formatCode>General</c:formatCode>
                <c:ptCount val="6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numCache>
            </c:numRef>
          </c:cat>
          <c:val>
            <c:numRef>
              <c:f>'Campus Enrol Disaggregation'!$AD$5:$AD$65</c:f>
              <c:numCache>
                <c:formatCode>#,##0</c:formatCode>
                <c:ptCount val="61"/>
                <c:pt idx="0">
                  <c:v>87050</c:v>
                </c:pt>
                <c:pt idx="1">
                  <c:v>93300</c:v>
                </c:pt>
                <c:pt idx="2">
                  <c:v>96500</c:v>
                </c:pt>
                <c:pt idx="3">
                  <c:v>96950</c:v>
                </c:pt>
                <c:pt idx="4">
                  <c:v>100100</c:v>
                </c:pt>
                <c:pt idx="5">
                  <c:v>103050</c:v>
                </c:pt>
                <c:pt idx="6">
                  <c:v>104550</c:v>
                </c:pt>
                <c:pt idx="7">
                  <c:v>108800</c:v>
                </c:pt>
                <c:pt idx="8">
                  <c:v>106150</c:v>
                </c:pt>
                <c:pt idx="9">
                  <c:v>111800</c:v>
                </c:pt>
                <c:pt idx="10">
                  <c:v>114500</c:v>
                </c:pt>
                <c:pt idx="11">
                  <c:v>120650</c:v>
                </c:pt>
                <c:pt idx="12">
                  <c:v>122750</c:v>
                </c:pt>
                <c:pt idx="13">
                  <c:v>125900</c:v>
                </c:pt>
                <c:pt idx="14">
                  <c:v>128400</c:v>
                </c:pt>
                <c:pt idx="15">
                  <c:v>128000</c:v>
                </c:pt>
                <c:pt idx="16">
                  <c:v>128450</c:v>
                </c:pt>
                <c:pt idx="17">
                  <c:v>128750</c:v>
                </c:pt>
                <c:pt idx="18">
                  <c:v>140000</c:v>
                </c:pt>
                <c:pt idx="19">
                  <c:v>155650</c:v>
                </c:pt>
                <c:pt idx="20">
                  <c:v>159150</c:v>
                </c:pt>
                <c:pt idx="21">
                  <c:v>161900</c:v>
                </c:pt>
                <c:pt idx="22">
                  <c:v>163100</c:v>
                </c:pt>
                <c:pt idx="23">
                  <c:v>159400</c:v>
                </c:pt>
                <c:pt idx="24">
                  <c:v>154850</c:v>
                </c:pt>
                <c:pt idx="25">
                  <c:v>156950</c:v>
                </c:pt>
                <c:pt idx="26">
                  <c:v>161350</c:v>
                </c:pt>
                <c:pt idx="27">
                  <c:v>165800</c:v>
                </c:pt>
                <c:pt idx="28">
                  <c:v>164850</c:v>
                </c:pt>
                <c:pt idx="29">
                  <c:v>167450</c:v>
                </c:pt>
                <c:pt idx="30">
                  <c:v>166550</c:v>
                </c:pt>
                <c:pt idx="31">
                  <c:v>167200</c:v>
                </c:pt>
                <c:pt idx="32">
                  <c:v>168650</c:v>
                </c:pt>
                <c:pt idx="33">
                  <c:v>180350</c:v>
                </c:pt>
                <c:pt idx="34">
                  <c:v>183450</c:v>
                </c:pt>
                <c:pt idx="35">
                  <c:v>186350</c:v>
                </c:pt>
                <c:pt idx="36">
                  <c:v>188100</c:v>
                </c:pt>
                <c:pt idx="37">
                  <c:v>189800</c:v>
                </c:pt>
                <c:pt idx="38">
                  <c:v>191050</c:v>
                </c:pt>
                <c:pt idx="39">
                  <c:v>192900</c:v>
                </c:pt>
                <c:pt idx="40">
                  <c:v>195100</c:v>
                </c:pt>
                <c:pt idx="41">
                  <c:v>197350</c:v>
                </c:pt>
                <c:pt idx="42">
                  <c:v>199700</c:v>
                </c:pt>
                <c:pt idx="43">
                  <c:v>201950</c:v>
                </c:pt>
                <c:pt idx="44">
                  <c:v>204200</c:v>
                </c:pt>
                <c:pt idx="45">
                  <c:v>206450</c:v>
                </c:pt>
                <c:pt idx="46">
                  <c:v>208800</c:v>
                </c:pt>
                <c:pt idx="47">
                  <c:v>211100</c:v>
                </c:pt>
                <c:pt idx="48">
                  <c:v>213350</c:v>
                </c:pt>
                <c:pt idx="49">
                  <c:v>215600</c:v>
                </c:pt>
                <c:pt idx="50">
                  <c:v>218000</c:v>
                </c:pt>
                <c:pt idx="51">
                  <c:v>220300</c:v>
                </c:pt>
                <c:pt idx="52">
                  <c:v>222500</c:v>
                </c:pt>
                <c:pt idx="53">
                  <c:v>224850</c:v>
                </c:pt>
                <c:pt idx="54">
                  <c:v>227450</c:v>
                </c:pt>
                <c:pt idx="55">
                  <c:v>230100</c:v>
                </c:pt>
                <c:pt idx="56">
                  <c:v>232800</c:v>
                </c:pt>
                <c:pt idx="57">
                  <c:v>234950</c:v>
                </c:pt>
                <c:pt idx="58">
                  <c:v>237200</c:v>
                </c:pt>
                <c:pt idx="59">
                  <c:v>239400</c:v>
                </c:pt>
                <c:pt idx="60">
                  <c:v>241800</c:v>
                </c:pt>
              </c:numCache>
            </c:numRef>
          </c:val>
          <c:smooth val="0"/>
          <c:extLst>
            <c:ext xmlns:c16="http://schemas.microsoft.com/office/drawing/2014/chart" uri="{C3380CC4-5D6E-409C-BE32-E72D297353CC}">
              <c16:uniqueId val="{00000000-7425-44AD-8193-F239116FDCF5}"/>
            </c:ext>
          </c:extLst>
        </c:ser>
        <c:dLbls>
          <c:showLegendKey val="0"/>
          <c:showVal val="0"/>
          <c:showCatName val="0"/>
          <c:showSerName val="0"/>
          <c:showPercent val="0"/>
          <c:showBubbleSize val="0"/>
        </c:dLbls>
        <c:smooth val="0"/>
        <c:axId val="686603279"/>
        <c:axId val="686612015"/>
      </c:lineChart>
      <c:catAx>
        <c:axId val="68660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12015"/>
        <c:crosses val="autoZero"/>
        <c:auto val="1"/>
        <c:lblAlgn val="ctr"/>
        <c:lblOffset val="100"/>
        <c:tickLblSkip val="5"/>
        <c:tickMarkSkip val="5"/>
        <c:noMultiLvlLbl val="0"/>
      </c:catAx>
      <c:valAx>
        <c:axId val="686612015"/>
        <c:scaling>
          <c:orientation val="minMax"/>
          <c:max val="25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032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College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'Campus Enrol Disaggregation'!$AD$4</c:f>
              <c:strCache>
                <c:ptCount val="1"/>
                <c:pt idx="0">
                  <c:v>Total</c:v>
                </c:pt>
              </c:strCache>
            </c:strRef>
          </c:tx>
          <c:spPr>
            <a:ln w="28575" cap="rnd">
              <a:solidFill>
                <a:schemeClr val="accent1"/>
              </a:solidFill>
              <a:round/>
            </a:ln>
            <a:effectLst/>
          </c:spPr>
          <c:marker>
            <c:symbol val="none"/>
          </c:marker>
          <c:cat>
            <c:numRef>
              <c:f>'Campus Enrol Disaggregation'!$O$35:$O$65</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'Campus Enrol Disaggregation'!$AD$35:$AD$65</c:f>
              <c:numCache>
                <c:formatCode>#,##0</c:formatCode>
                <c:ptCount val="31"/>
                <c:pt idx="0">
                  <c:v>166550</c:v>
                </c:pt>
                <c:pt idx="1">
                  <c:v>167200</c:v>
                </c:pt>
                <c:pt idx="2">
                  <c:v>168650</c:v>
                </c:pt>
                <c:pt idx="3">
                  <c:v>180350</c:v>
                </c:pt>
                <c:pt idx="4">
                  <c:v>183450</c:v>
                </c:pt>
                <c:pt idx="5">
                  <c:v>186350</c:v>
                </c:pt>
                <c:pt idx="6">
                  <c:v>188100</c:v>
                </c:pt>
                <c:pt idx="7">
                  <c:v>189800</c:v>
                </c:pt>
                <c:pt idx="8">
                  <c:v>191050</c:v>
                </c:pt>
                <c:pt idx="9">
                  <c:v>192900</c:v>
                </c:pt>
                <c:pt idx="10">
                  <c:v>195100</c:v>
                </c:pt>
                <c:pt idx="11">
                  <c:v>197350</c:v>
                </c:pt>
                <c:pt idx="12">
                  <c:v>199700</c:v>
                </c:pt>
                <c:pt idx="13">
                  <c:v>201950</c:v>
                </c:pt>
                <c:pt idx="14">
                  <c:v>204200</c:v>
                </c:pt>
                <c:pt idx="15">
                  <c:v>206450</c:v>
                </c:pt>
                <c:pt idx="16">
                  <c:v>208800</c:v>
                </c:pt>
                <c:pt idx="17">
                  <c:v>211100</c:v>
                </c:pt>
                <c:pt idx="18">
                  <c:v>213350</c:v>
                </c:pt>
                <c:pt idx="19">
                  <c:v>215600</c:v>
                </c:pt>
                <c:pt idx="20">
                  <c:v>218000</c:v>
                </c:pt>
                <c:pt idx="21">
                  <c:v>220300</c:v>
                </c:pt>
                <c:pt idx="22">
                  <c:v>222500</c:v>
                </c:pt>
                <c:pt idx="23">
                  <c:v>224850</c:v>
                </c:pt>
                <c:pt idx="24">
                  <c:v>227450</c:v>
                </c:pt>
                <c:pt idx="25">
                  <c:v>230100</c:v>
                </c:pt>
                <c:pt idx="26">
                  <c:v>232800</c:v>
                </c:pt>
                <c:pt idx="27">
                  <c:v>234950</c:v>
                </c:pt>
                <c:pt idx="28">
                  <c:v>237200</c:v>
                </c:pt>
                <c:pt idx="29">
                  <c:v>239400</c:v>
                </c:pt>
                <c:pt idx="30">
                  <c:v>241800</c:v>
                </c:pt>
              </c:numCache>
            </c:numRef>
          </c:val>
          <c:smooth val="0"/>
          <c:extLst>
            <c:ext xmlns:c16="http://schemas.microsoft.com/office/drawing/2014/chart" uri="{C3380CC4-5D6E-409C-BE32-E72D297353CC}">
              <c16:uniqueId val="{00000000-54C9-4473-BE7D-5D3B04CD9771}"/>
            </c:ext>
          </c:extLst>
        </c:ser>
        <c:dLbls>
          <c:showLegendKey val="0"/>
          <c:showVal val="0"/>
          <c:showCatName val="0"/>
          <c:showSerName val="0"/>
          <c:showPercent val="0"/>
          <c:showBubbleSize val="0"/>
        </c:dLbls>
        <c:smooth val="0"/>
        <c:axId val="686603279"/>
        <c:axId val="686612015"/>
      </c:lineChart>
      <c:catAx>
        <c:axId val="68660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12015"/>
        <c:crosses val="autoZero"/>
        <c:auto val="1"/>
        <c:lblAlgn val="ctr"/>
        <c:lblOffset val="100"/>
        <c:tickLblSkip val="5"/>
        <c:tickMarkSkip val="5"/>
        <c:noMultiLvlLbl val="0"/>
      </c:catAx>
      <c:valAx>
        <c:axId val="686612015"/>
        <c:scaling>
          <c:orientation val="minMax"/>
          <c:max val="25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032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Projections'!$AI$2:$AI$34</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xVal>
          <c:yVal>
            <c:numRef>
              <c:f>'College Enrollment Projections'!$AL$2:$AL$34</c:f>
              <c:numCache>
                <c:formatCode>#,##0</c:formatCode>
                <c:ptCount val="33"/>
                <c:pt idx="0">
                  <c:v>7885</c:v>
                </c:pt>
                <c:pt idx="1">
                  <c:v>8777</c:v>
                </c:pt>
                <c:pt idx="2">
                  <c:v>9623</c:v>
                </c:pt>
                <c:pt idx="3">
                  <c:v>10512</c:v>
                </c:pt>
                <c:pt idx="4">
                  <c:v>13293</c:v>
                </c:pt>
                <c:pt idx="5">
                  <c:v>14040</c:v>
                </c:pt>
                <c:pt idx="6">
                  <c:v>14756</c:v>
                </c:pt>
                <c:pt idx="7">
                  <c:v>15994</c:v>
                </c:pt>
                <c:pt idx="8">
                  <c:v>18174</c:v>
                </c:pt>
                <c:pt idx="9">
                  <c:v>20062</c:v>
                </c:pt>
                <c:pt idx="10">
                  <c:v>20946</c:v>
                </c:pt>
                <c:pt idx="11">
                  <c:v>22609</c:v>
                </c:pt>
                <c:pt idx="12">
                  <c:v>23609</c:v>
                </c:pt>
                <c:pt idx="13">
                  <c:v>23803</c:v>
                </c:pt>
                <c:pt idx="14">
                  <c:v>24149</c:v>
                </c:pt>
                <c:pt idx="15">
                  <c:v>24487</c:v>
                </c:pt>
                <c:pt idx="16">
                  <c:v>23305</c:v>
                </c:pt>
                <c:pt idx="17">
                  <c:v>23840</c:v>
                </c:pt>
                <c:pt idx="18">
                  <c:v>27052</c:v>
                </c:pt>
                <c:pt idx="19">
                  <c:v>29045</c:v>
                </c:pt>
                <c:pt idx="20">
                  <c:v>31739</c:v>
                </c:pt>
                <c:pt idx="21">
                  <c:v>32734</c:v>
                </c:pt>
                <c:pt idx="22">
                  <c:v>31810</c:v>
                </c:pt>
                <c:pt idx="23">
                  <c:v>30880</c:v>
                </c:pt>
                <c:pt idx="24">
                  <c:v>31589</c:v>
                </c:pt>
                <c:pt idx="25">
                  <c:v>33565</c:v>
                </c:pt>
                <c:pt idx="26">
                  <c:v>35126</c:v>
                </c:pt>
                <c:pt idx="27">
                  <c:v>37785</c:v>
                </c:pt>
                <c:pt idx="28">
                  <c:v>39931</c:v>
                </c:pt>
                <c:pt idx="29">
                  <c:v>41728</c:v>
                </c:pt>
                <c:pt idx="30">
                  <c:v>40936</c:v>
                </c:pt>
                <c:pt idx="31">
                  <c:v>41262</c:v>
                </c:pt>
                <c:pt idx="32">
                  <c:v>43099</c:v>
                </c:pt>
              </c:numCache>
            </c:numRef>
          </c:yVal>
          <c:smooth val="0"/>
          <c:extLst>
            <c:ext xmlns:c16="http://schemas.microsoft.com/office/drawing/2014/chart" uri="{C3380CC4-5D6E-409C-BE32-E72D297353CC}">
              <c16:uniqueId val="{00000000-1282-4053-85BF-D36622F55D0B}"/>
            </c:ext>
          </c:extLst>
        </c:ser>
        <c:ser>
          <c:idx val="1"/>
          <c:order val="1"/>
          <c:tx>
            <c:v>USHE Projections</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5"/>
            <c:dispRSqr val="0"/>
            <c:dispEq val="0"/>
          </c:trendline>
          <c:xVal>
            <c:numRef>
              <c:f>'College Enrollment Projections'!$AI$35:$AI$40</c:f>
              <c:numCache>
                <c:formatCode>General</c:formatCode>
                <c:ptCount val="6"/>
                <c:pt idx="0">
                  <c:v>2023</c:v>
                </c:pt>
                <c:pt idx="1">
                  <c:v>2024</c:v>
                </c:pt>
                <c:pt idx="2">
                  <c:v>2025</c:v>
                </c:pt>
                <c:pt idx="3">
                  <c:v>2026</c:v>
                </c:pt>
                <c:pt idx="4">
                  <c:v>2027</c:v>
                </c:pt>
                <c:pt idx="5">
                  <c:v>2028</c:v>
                </c:pt>
              </c:numCache>
            </c:numRef>
          </c:xVal>
          <c:yVal>
            <c:numRef>
              <c:f>'College Enrollment Projections'!$AL$35:$AL$40</c:f>
              <c:numCache>
                <c:formatCode>#,##0</c:formatCode>
                <c:ptCount val="6"/>
                <c:pt idx="0">
                  <c:v>44749</c:v>
                </c:pt>
                <c:pt idx="1">
                  <c:v>46412</c:v>
                </c:pt>
                <c:pt idx="2">
                  <c:v>48161</c:v>
                </c:pt>
                <c:pt idx="3">
                  <c:v>49562</c:v>
                </c:pt>
                <c:pt idx="4">
                  <c:v>50678</c:v>
                </c:pt>
                <c:pt idx="5">
                  <c:v>51665</c:v>
                </c:pt>
              </c:numCache>
            </c:numRef>
          </c:yVal>
          <c:smooth val="0"/>
          <c:extLst>
            <c:ext xmlns:c16="http://schemas.microsoft.com/office/drawing/2014/chart" uri="{C3380CC4-5D6E-409C-BE32-E72D297353CC}">
              <c16:uniqueId val="{00000001-1282-4053-85BF-D36622F55D0B}"/>
            </c:ext>
          </c:extLst>
        </c:ser>
        <c:ser>
          <c:idx val="3"/>
          <c:order val="2"/>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Projections'!$AL$31:$AL$40</c:f>
              <c:numCache>
                <c:formatCode>#,##0</c:formatCode>
                <c:ptCount val="10"/>
                <c:pt idx="0">
                  <c:v>41728</c:v>
                </c:pt>
                <c:pt idx="1">
                  <c:v>40936</c:v>
                </c:pt>
                <c:pt idx="2">
                  <c:v>41262</c:v>
                </c:pt>
                <c:pt idx="3">
                  <c:v>43099</c:v>
                </c:pt>
                <c:pt idx="4">
                  <c:v>44749</c:v>
                </c:pt>
                <c:pt idx="5">
                  <c:v>46412</c:v>
                </c:pt>
                <c:pt idx="6">
                  <c:v>48161</c:v>
                </c:pt>
                <c:pt idx="7">
                  <c:v>49562</c:v>
                </c:pt>
                <c:pt idx="8">
                  <c:v>50678</c:v>
                </c:pt>
                <c:pt idx="9">
                  <c:v>51665</c:v>
                </c:pt>
              </c:numCache>
            </c:numRef>
          </c:yVal>
          <c:smooth val="0"/>
          <c:extLst>
            <c:ext xmlns:c16="http://schemas.microsoft.com/office/drawing/2014/chart" uri="{C3380CC4-5D6E-409C-BE32-E72D297353CC}">
              <c16:uniqueId val="{00000005-1282-4053-85BF-D36622F55D0B}"/>
            </c:ext>
          </c:extLst>
        </c:ser>
        <c:ser>
          <c:idx val="2"/>
          <c:order val="3"/>
          <c:tx>
            <c:v>2019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Projections'!$AI$63</c:f>
              <c:numCache>
                <c:formatCode>General</c:formatCode>
                <c:ptCount val="1"/>
                <c:pt idx="0">
                  <c:v>2050</c:v>
                </c:pt>
              </c:numCache>
            </c:numRef>
          </c:xVal>
          <c:yVal>
            <c:numRef>
              <c:f>'College Enrollment Projections'!$AL$63</c:f>
              <c:numCache>
                <c:formatCode>#,##0</c:formatCode>
                <c:ptCount val="1"/>
                <c:pt idx="0">
                  <c:v>67000</c:v>
                </c:pt>
              </c:numCache>
            </c:numRef>
          </c:yVal>
          <c:smooth val="0"/>
          <c:extLst>
            <c:ext xmlns:c16="http://schemas.microsoft.com/office/drawing/2014/chart" uri="{C3380CC4-5D6E-409C-BE32-E72D297353CC}">
              <c16:uniqueId val="{00000004-1282-4053-85BF-D36622F55D0B}"/>
            </c:ext>
          </c:extLst>
        </c:ser>
        <c:ser>
          <c:idx val="4"/>
          <c:order val="4"/>
          <c:tx>
            <c:v>2024 RTP</c:v>
          </c:tx>
          <c:spPr>
            <a:ln w="25400" cap="rnd">
              <a:noFill/>
              <a:round/>
            </a:ln>
            <a:effectLst/>
          </c:spPr>
          <c:marker>
            <c:symbol val="circle"/>
            <c:size val="5"/>
            <c:spPr>
              <a:solidFill>
                <a:srgbClr val="00B050"/>
              </a:solidFill>
              <a:ln w="9525">
                <a:solidFill>
                  <a:srgbClr val="00B050"/>
                </a:solidFill>
              </a:ln>
              <a:effectLst/>
            </c:spPr>
          </c:marker>
          <c:xVal>
            <c:numRef>
              <c:f>'College Enrollment Projections'!$AI$41:$AI$62</c:f>
              <c:numCache>
                <c:formatCode>General</c:formatCode>
                <c:ptCount val="2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xVal>
          <c:yVal>
            <c:numRef>
              <c:f>'College Enrollment Projections'!$AL$41:$AL$62</c:f>
              <c:numCache>
                <c:formatCode>#,##0</c:formatCode>
                <c:ptCount val="22"/>
                <c:pt idx="0">
                  <c:v>52522</c:v>
                </c:pt>
                <c:pt idx="1">
                  <c:v>53756</c:v>
                </c:pt>
                <c:pt idx="2">
                  <c:v>54990</c:v>
                </c:pt>
                <c:pt idx="3">
                  <c:v>56223</c:v>
                </c:pt>
                <c:pt idx="4">
                  <c:v>57457</c:v>
                </c:pt>
                <c:pt idx="5">
                  <c:v>58691</c:v>
                </c:pt>
                <c:pt idx="6">
                  <c:v>59925</c:v>
                </c:pt>
                <c:pt idx="7">
                  <c:v>61158</c:v>
                </c:pt>
                <c:pt idx="8">
                  <c:v>62392</c:v>
                </c:pt>
                <c:pt idx="9">
                  <c:v>63626</c:v>
                </c:pt>
                <c:pt idx="10">
                  <c:v>64860</c:v>
                </c:pt>
                <c:pt idx="11">
                  <c:v>66093</c:v>
                </c:pt>
                <c:pt idx="12">
                  <c:v>67327</c:v>
                </c:pt>
                <c:pt idx="13">
                  <c:v>68561</c:v>
                </c:pt>
                <c:pt idx="14">
                  <c:v>69795</c:v>
                </c:pt>
                <c:pt idx="15">
                  <c:v>71028</c:v>
                </c:pt>
                <c:pt idx="16">
                  <c:v>72262</c:v>
                </c:pt>
                <c:pt idx="17">
                  <c:v>73496</c:v>
                </c:pt>
                <c:pt idx="18">
                  <c:v>74730</c:v>
                </c:pt>
                <c:pt idx="19">
                  <c:v>75963</c:v>
                </c:pt>
                <c:pt idx="20">
                  <c:v>77197</c:v>
                </c:pt>
                <c:pt idx="21">
                  <c:v>78431</c:v>
                </c:pt>
              </c:numCache>
            </c:numRef>
          </c:yVal>
          <c:smooth val="0"/>
          <c:extLst>
            <c:ext xmlns:c16="http://schemas.microsoft.com/office/drawing/2014/chart" uri="{C3380CC4-5D6E-409C-BE32-E72D297353CC}">
              <c16:uniqueId val="{00000003-5579-4878-B9E0-D9341EFE46CF}"/>
            </c:ext>
          </c:extLst>
        </c:ser>
        <c:dLbls>
          <c:showLegendKey val="0"/>
          <c:showVal val="0"/>
          <c:showCatName val="0"/>
          <c:showSerName val="0"/>
          <c:showPercent val="0"/>
          <c:showBubbleSize val="0"/>
        </c:dLbls>
        <c:axId val="307857215"/>
        <c:axId val="307858879"/>
      </c:scatterChart>
      <c:valAx>
        <c:axId val="307857215"/>
        <c:scaling>
          <c:orientation val="minMax"/>
          <c:max val="205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8879"/>
        <c:crosses val="autoZero"/>
        <c:crossBetween val="midCat"/>
      </c:valAx>
      <c:valAx>
        <c:axId val="307858879"/>
        <c:scaling>
          <c:orientation val="minMax"/>
          <c:max val="1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7215"/>
        <c:crosses val="autoZero"/>
        <c:crossBetween val="midCat"/>
      </c:valAx>
      <c:spPr>
        <a:noFill/>
        <a:ln>
          <a:noFill/>
        </a:ln>
        <a:effectLst/>
      </c:spPr>
    </c:plotArea>
    <c:legend>
      <c:legendPos val="t"/>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Projections'!$AI$2:$AI$34</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xVal>
          <c:yVal>
            <c:numRef>
              <c:f>'College Enrollment Projections'!$AJ$2:$AJ$34</c:f>
              <c:numCache>
                <c:formatCode>#,##0</c:formatCode>
                <c:ptCount val="33"/>
                <c:pt idx="0">
                  <c:v>24311</c:v>
                </c:pt>
                <c:pt idx="1">
                  <c:v>25581</c:v>
                </c:pt>
                <c:pt idx="2">
                  <c:v>25868</c:v>
                </c:pt>
                <c:pt idx="3">
                  <c:v>25982</c:v>
                </c:pt>
                <c:pt idx="4">
                  <c:v>25645</c:v>
                </c:pt>
                <c:pt idx="5">
                  <c:v>26810</c:v>
                </c:pt>
                <c:pt idx="6">
                  <c:v>26079</c:v>
                </c:pt>
                <c:pt idx="7">
                  <c:v>25895</c:v>
                </c:pt>
                <c:pt idx="8">
                  <c:v>25018</c:v>
                </c:pt>
                <c:pt idx="9">
                  <c:v>25781</c:v>
                </c:pt>
                <c:pt idx="10">
                  <c:v>26163</c:v>
                </c:pt>
                <c:pt idx="11">
                  <c:v>27658</c:v>
                </c:pt>
                <c:pt idx="12">
                  <c:v>28369</c:v>
                </c:pt>
                <c:pt idx="13">
                  <c:v>28437</c:v>
                </c:pt>
                <c:pt idx="14">
                  <c:v>28933</c:v>
                </c:pt>
                <c:pt idx="15">
                  <c:v>29012</c:v>
                </c:pt>
                <c:pt idx="16">
                  <c:v>28619</c:v>
                </c:pt>
                <c:pt idx="17">
                  <c:v>28025</c:v>
                </c:pt>
                <c:pt idx="18">
                  <c:v>28211</c:v>
                </c:pt>
                <c:pt idx="19">
                  <c:v>30110</c:v>
                </c:pt>
                <c:pt idx="20">
                  <c:v>31643</c:v>
                </c:pt>
                <c:pt idx="21">
                  <c:v>32722</c:v>
                </c:pt>
                <c:pt idx="22">
                  <c:v>33291</c:v>
                </c:pt>
                <c:pt idx="23">
                  <c:v>36226</c:v>
                </c:pt>
                <c:pt idx="24">
                  <c:v>32003</c:v>
                </c:pt>
                <c:pt idx="25">
                  <c:v>32155</c:v>
                </c:pt>
                <c:pt idx="26">
                  <c:v>32451</c:v>
                </c:pt>
                <c:pt idx="27">
                  <c:v>33153</c:v>
                </c:pt>
                <c:pt idx="28">
                  <c:v>33023</c:v>
                </c:pt>
                <c:pt idx="29">
                  <c:v>32852</c:v>
                </c:pt>
                <c:pt idx="30">
                  <c:v>33080</c:v>
                </c:pt>
                <c:pt idx="31">
                  <c:v>34462</c:v>
                </c:pt>
                <c:pt idx="32">
                  <c:v>34734</c:v>
                </c:pt>
              </c:numCache>
            </c:numRef>
          </c:yVal>
          <c:smooth val="0"/>
          <c:extLst>
            <c:ext xmlns:c16="http://schemas.microsoft.com/office/drawing/2014/chart" uri="{C3380CC4-5D6E-409C-BE32-E72D297353CC}">
              <c16:uniqueId val="{00000001-437D-441E-8CA1-A3C31C8FEFD5}"/>
            </c:ext>
          </c:extLst>
        </c:ser>
        <c:ser>
          <c:idx val="1"/>
          <c:order val="1"/>
          <c:tx>
            <c:v>USHE Projections</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5"/>
            <c:dispRSqr val="0"/>
            <c:dispEq val="0"/>
          </c:trendline>
          <c:xVal>
            <c:numRef>
              <c:f>'College Enrollment Projections'!$AI$35:$AI$40</c:f>
              <c:numCache>
                <c:formatCode>General</c:formatCode>
                <c:ptCount val="6"/>
                <c:pt idx="0">
                  <c:v>2023</c:v>
                </c:pt>
                <c:pt idx="1">
                  <c:v>2024</c:v>
                </c:pt>
                <c:pt idx="2">
                  <c:v>2025</c:v>
                </c:pt>
                <c:pt idx="3">
                  <c:v>2026</c:v>
                </c:pt>
                <c:pt idx="4">
                  <c:v>2027</c:v>
                </c:pt>
                <c:pt idx="5">
                  <c:v>2028</c:v>
                </c:pt>
              </c:numCache>
            </c:numRef>
          </c:xVal>
          <c:yVal>
            <c:numRef>
              <c:f>'College Enrollment Projections'!$AJ$35:$AJ$40</c:f>
              <c:numCache>
                <c:formatCode>#,##0</c:formatCode>
                <c:ptCount val="6"/>
                <c:pt idx="0">
                  <c:v>36050</c:v>
                </c:pt>
                <c:pt idx="1">
                  <c:v>36571</c:v>
                </c:pt>
                <c:pt idx="2">
                  <c:v>36873</c:v>
                </c:pt>
                <c:pt idx="3">
                  <c:v>37086</c:v>
                </c:pt>
                <c:pt idx="4">
                  <c:v>37266</c:v>
                </c:pt>
                <c:pt idx="5">
                  <c:v>37324</c:v>
                </c:pt>
              </c:numCache>
            </c:numRef>
          </c:yVal>
          <c:smooth val="0"/>
          <c:extLst>
            <c:ext xmlns:c16="http://schemas.microsoft.com/office/drawing/2014/chart" uri="{C3380CC4-5D6E-409C-BE32-E72D297353CC}">
              <c16:uniqueId val="{00000003-437D-441E-8CA1-A3C31C8FEFD5}"/>
            </c:ext>
          </c:extLst>
        </c:ser>
        <c:ser>
          <c:idx val="3"/>
          <c:order val="2"/>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Projections'!$AJ$31:$AJ$40</c:f>
              <c:numCache>
                <c:formatCode>#,##0</c:formatCode>
                <c:ptCount val="10"/>
                <c:pt idx="0">
                  <c:v>32852</c:v>
                </c:pt>
                <c:pt idx="1">
                  <c:v>33080</c:v>
                </c:pt>
                <c:pt idx="2">
                  <c:v>34462</c:v>
                </c:pt>
                <c:pt idx="3">
                  <c:v>34734</c:v>
                </c:pt>
                <c:pt idx="4">
                  <c:v>36050</c:v>
                </c:pt>
                <c:pt idx="5">
                  <c:v>36571</c:v>
                </c:pt>
                <c:pt idx="6">
                  <c:v>36873</c:v>
                </c:pt>
                <c:pt idx="7">
                  <c:v>37086</c:v>
                </c:pt>
                <c:pt idx="8">
                  <c:v>37266</c:v>
                </c:pt>
                <c:pt idx="9">
                  <c:v>37324</c:v>
                </c:pt>
              </c:numCache>
            </c:numRef>
          </c:yVal>
          <c:smooth val="0"/>
          <c:extLst>
            <c:ext xmlns:c16="http://schemas.microsoft.com/office/drawing/2014/chart" uri="{C3380CC4-5D6E-409C-BE32-E72D297353CC}">
              <c16:uniqueId val="{00000005-437D-441E-8CA1-A3C31C8FEFD5}"/>
            </c:ext>
          </c:extLst>
        </c:ser>
        <c:ser>
          <c:idx val="2"/>
          <c:order val="3"/>
          <c:tx>
            <c:v>2019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Projections'!$AI$63</c:f>
              <c:numCache>
                <c:formatCode>General</c:formatCode>
                <c:ptCount val="1"/>
                <c:pt idx="0">
                  <c:v>2050</c:v>
                </c:pt>
              </c:numCache>
            </c:numRef>
          </c:xVal>
          <c:yVal>
            <c:numRef>
              <c:f>'College Enrollment Projections'!$AJ$63</c:f>
              <c:numCache>
                <c:formatCode>#,##0</c:formatCode>
                <c:ptCount val="1"/>
                <c:pt idx="0">
                  <c:v>42000</c:v>
                </c:pt>
              </c:numCache>
            </c:numRef>
          </c:yVal>
          <c:smooth val="0"/>
          <c:extLst>
            <c:ext xmlns:c16="http://schemas.microsoft.com/office/drawing/2014/chart" uri="{C3380CC4-5D6E-409C-BE32-E72D297353CC}">
              <c16:uniqueId val="{00000006-437D-441E-8CA1-A3C31C8FEFD5}"/>
            </c:ext>
          </c:extLst>
        </c:ser>
        <c:ser>
          <c:idx val="4"/>
          <c:order val="4"/>
          <c:tx>
            <c:v>2024 RTP</c:v>
          </c:tx>
          <c:spPr>
            <a:ln w="25400" cap="rnd">
              <a:noFill/>
              <a:round/>
            </a:ln>
            <a:effectLst/>
          </c:spPr>
          <c:marker>
            <c:symbol val="circle"/>
            <c:size val="5"/>
            <c:spPr>
              <a:solidFill>
                <a:srgbClr val="00B050"/>
              </a:solidFill>
              <a:ln w="9525">
                <a:noFill/>
              </a:ln>
              <a:effectLst/>
            </c:spPr>
          </c:marker>
          <c:xVal>
            <c:numRef>
              <c:f>'College Enrollment Projections'!$AI$41:$AI$62</c:f>
              <c:numCache>
                <c:formatCode>General</c:formatCode>
                <c:ptCount val="2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xVal>
          <c:yVal>
            <c:numRef>
              <c:f>'College Enrollment Projections'!$AJ$41:$AJ$62</c:f>
              <c:numCache>
                <c:formatCode>#,##0</c:formatCode>
                <c:ptCount val="22"/>
                <c:pt idx="0">
                  <c:v>37582</c:v>
                </c:pt>
                <c:pt idx="1">
                  <c:v>37840</c:v>
                </c:pt>
                <c:pt idx="2">
                  <c:v>38098</c:v>
                </c:pt>
                <c:pt idx="3">
                  <c:v>38356</c:v>
                </c:pt>
                <c:pt idx="4">
                  <c:v>38614</c:v>
                </c:pt>
                <c:pt idx="5">
                  <c:v>38872</c:v>
                </c:pt>
                <c:pt idx="6">
                  <c:v>39130</c:v>
                </c:pt>
                <c:pt idx="7">
                  <c:v>39388</c:v>
                </c:pt>
                <c:pt idx="8">
                  <c:v>39646</c:v>
                </c:pt>
                <c:pt idx="9">
                  <c:v>39904</c:v>
                </c:pt>
                <c:pt idx="10">
                  <c:v>40162</c:v>
                </c:pt>
                <c:pt idx="11">
                  <c:v>40420</c:v>
                </c:pt>
                <c:pt idx="12">
                  <c:v>40678</c:v>
                </c:pt>
                <c:pt idx="13">
                  <c:v>40936</c:v>
                </c:pt>
                <c:pt idx="14">
                  <c:v>41194</c:v>
                </c:pt>
                <c:pt idx="15">
                  <c:v>41452</c:v>
                </c:pt>
                <c:pt idx="16">
                  <c:v>41710</c:v>
                </c:pt>
                <c:pt idx="17">
                  <c:v>41968</c:v>
                </c:pt>
                <c:pt idx="18">
                  <c:v>42226</c:v>
                </c:pt>
                <c:pt idx="19">
                  <c:v>42484</c:v>
                </c:pt>
                <c:pt idx="20">
                  <c:v>42742</c:v>
                </c:pt>
                <c:pt idx="21">
                  <c:v>43000</c:v>
                </c:pt>
              </c:numCache>
            </c:numRef>
          </c:yVal>
          <c:smooth val="0"/>
          <c:extLst>
            <c:ext xmlns:c16="http://schemas.microsoft.com/office/drawing/2014/chart" uri="{C3380CC4-5D6E-409C-BE32-E72D297353CC}">
              <c16:uniqueId val="{00000003-8291-4C9C-9FB1-308A80325282}"/>
            </c:ext>
          </c:extLst>
        </c:ser>
        <c:dLbls>
          <c:showLegendKey val="0"/>
          <c:showVal val="0"/>
          <c:showCatName val="0"/>
          <c:showSerName val="0"/>
          <c:showPercent val="0"/>
          <c:showBubbleSize val="0"/>
        </c:dLbls>
        <c:axId val="307857215"/>
        <c:axId val="307858879"/>
      </c:scatterChart>
      <c:valAx>
        <c:axId val="307857215"/>
        <c:scaling>
          <c:orientation val="minMax"/>
          <c:max val="205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8879"/>
        <c:crosses val="autoZero"/>
        <c:crossBetween val="midCat"/>
      </c:valAx>
      <c:valAx>
        <c:axId val="307858879"/>
        <c:scaling>
          <c:orientation val="minMax"/>
          <c:max val="5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7215"/>
        <c:crosses val="autoZero"/>
        <c:crossBetween val="midCat"/>
      </c:valAx>
      <c:spPr>
        <a:noFill/>
        <a:ln>
          <a:noFill/>
        </a:ln>
        <a:effectLst/>
      </c:spPr>
    </c:plotArea>
    <c:legend>
      <c:legendPos val="t"/>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Projections'!$AI$2:$AI$34</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xVal>
          <c:yVal>
            <c:numRef>
              <c:f>'College Enrollment Projections'!$AK$2:$AK$34</c:f>
              <c:numCache>
                <c:formatCode>#,##0</c:formatCode>
                <c:ptCount val="33"/>
                <c:pt idx="0">
                  <c:v>13449</c:v>
                </c:pt>
                <c:pt idx="1">
                  <c:v>14495</c:v>
                </c:pt>
                <c:pt idx="2">
                  <c:v>14993</c:v>
                </c:pt>
                <c:pt idx="3">
                  <c:v>14447</c:v>
                </c:pt>
                <c:pt idx="4">
                  <c:v>14230</c:v>
                </c:pt>
                <c:pt idx="5">
                  <c:v>13996</c:v>
                </c:pt>
                <c:pt idx="6">
                  <c:v>13906</c:v>
                </c:pt>
                <c:pt idx="7">
                  <c:v>14613</c:v>
                </c:pt>
                <c:pt idx="8">
                  <c:v>13900</c:v>
                </c:pt>
                <c:pt idx="9">
                  <c:v>14984</c:v>
                </c:pt>
                <c:pt idx="10">
                  <c:v>16050</c:v>
                </c:pt>
                <c:pt idx="11">
                  <c:v>16871</c:v>
                </c:pt>
                <c:pt idx="12">
                  <c:v>18059</c:v>
                </c:pt>
                <c:pt idx="13">
                  <c:v>18821</c:v>
                </c:pt>
                <c:pt idx="14">
                  <c:v>18498</c:v>
                </c:pt>
                <c:pt idx="15">
                  <c:v>18142</c:v>
                </c:pt>
                <c:pt idx="16">
                  <c:v>18303</c:v>
                </c:pt>
                <c:pt idx="17">
                  <c:v>18081</c:v>
                </c:pt>
                <c:pt idx="18">
                  <c:v>21388</c:v>
                </c:pt>
                <c:pt idx="19">
                  <c:v>23777</c:v>
                </c:pt>
                <c:pt idx="20">
                  <c:v>24496</c:v>
                </c:pt>
                <c:pt idx="21">
                  <c:v>26256</c:v>
                </c:pt>
                <c:pt idx="22">
                  <c:v>27381</c:v>
                </c:pt>
                <c:pt idx="23">
                  <c:v>25886</c:v>
                </c:pt>
                <c:pt idx="24">
                  <c:v>26913</c:v>
                </c:pt>
                <c:pt idx="25">
                  <c:v>26252</c:v>
                </c:pt>
                <c:pt idx="26">
                  <c:v>27236</c:v>
                </c:pt>
                <c:pt idx="27">
                  <c:v>28379</c:v>
                </c:pt>
                <c:pt idx="28">
                  <c:v>28247</c:v>
                </c:pt>
                <c:pt idx="29">
                  <c:v>29644</c:v>
                </c:pt>
                <c:pt idx="30">
                  <c:v>29596</c:v>
                </c:pt>
                <c:pt idx="31">
                  <c:v>29774</c:v>
                </c:pt>
                <c:pt idx="32">
                  <c:v>29914</c:v>
                </c:pt>
              </c:numCache>
            </c:numRef>
          </c:yVal>
          <c:smooth val="0"/>
          <c:extLst>
            <c:ext xmlns:c16="http://schemas.microsoft.com/office/drawing/2014/chart" uri="{C3380CC4-5D6E-409C-BE32-E72D297353CC}">
              <c16:uniqueId val="{00000001-262C-4D1B-BB8B-E4F7AB8B87B9}"/>
            </c:ext>
          </c:extLst>
        </c:ser>
        <c:ser>
          <c:idx val="1"/>
          <c:order val="1"/>
          <c:tx>
            <c:v>USHE Projections</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5"/>
            <c:dispRSqr val="0"/>
            <c:dispEq val="0"/>
          </c:trendline>
          <c:xVal>
            <c:numRef>
              <c:f>'College Enrollment Projections'!$AI$35:$AI$40</c:f>
              <c:numCache>
                <c:formatCode>General</c:formatCode>
                <c:ptCount val="6"/>
                <c:pt idx="0">
                  <c:v>2023</c:v>
                </c:pt>
                <c:pt idx="1">
                  <c:v>2024</c:v>
                </c:pt>
                <c:pt idx="2">
                  <c:v>2025</c:v>
                </c:pt>
                <c:pt idx="3">
                  <c:v>2026</c:v>
                </c:pt>
                <c:pt idx="4">
                  <c:v>2027</c:v>
                </c:pt>
                <c:pt idx="5">
                  <c:v>2028</c:v>
                </c:pt>
              </c:numCache>
            </c:numRef>
          </c:xVal>
          <c:yVal>
            <c:numRef>
              <c:f>'College Enrollment Projections'!$AK$35:$AK$40</c:f>
              <c:numCache>
                <c:formatCode>#,##0</c:formatCode>
                <c:ptCount val="6"/>
                <c:pt idx="0">
                  <c:v>31443</c:v>
                </c:pt>
                <c:pt idx="1">
                  <c:v>31784</c:v>
                </c:pt>
                <c:pt idx="2">
                  <c:v>32055</c:v>
                </c:pt>
                <c:pt idx="3">
                  <c:v>32380</c:v>
                </c:pt>
                <c:pt idx="4">
                  <c:v>32709</c:v>
                </c:pt>
                <c:pt idx="5">
                  <c:v>33073</c:v>
                </c:pt>
              </c:numCache>
            </c:numRef>
          </c:yVal>
          <c:smooth val="0"/>
          <c:extLst>
            <c:ext xmlns:c16="http://schemas.microsoft.com/office/drawing/2014/chart" uri="{C3380CC4-5D6E-409C-BE32-E72D297353CC}">
              <c16:uniqueId val="{00000003-262C-4D1B-BB8B-E4F7AB8B87B9}"/>
            </c:ext>
          </c:extLst>
        </c:ser>
        <c:ser>
          <c:idx val="3"/>
          <c:order val="2"/>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Projections'!$AK$31:$AK$40</c:f>
              <c:numCache>
                <c:formatCode>#,##0</c:formatCode>
                <c:ptCount val="10"/>
                <c:pt idx="0">
                  <c:v>29644</c:v>
                </c:pt>
                <c:pt idx="1">
                  <c:v>29596</c:v>
                </c:pt>
                <c:pt idx="2">
                  <c:v>29774</c:v>
                </c:pt>
                <c:pt idx="3">
                  <c:v>29914</c:v>
                </c:pt>
                <c:pt idx="4">
                  <c:v>31443</c:v>
                </c:pt>
                <c:pt idx="5">
                  <c:v>31784</c:v>
                </c:pt>
                <c:pt idx="6">
                  <c:v>32055</c:v>
                </c:pt>
                <c:pt idx="7">
                  <c:v>32380</c:v>
                </c:pt>
                <c:pt idx="8">
                  <c:v>32709</c:v>
                </c:pt>
                <c:pt idx="9">
                  <c:v>33073</c:v>
                </c:pt>
              </c:numCache>
            </c:numRef>
          </c:yVal>
          <c:smooth val="0"/>
          <c:extLst>
            <c:ext xmlns:c16="http://schemas.microsoft.com/office/drawing/2014/chart" uri="{C3380CC4-5D6E-409C-BE32-E72D297353CC}">
              <c16:uniqueId val="{00000005-262C-4D1B-BB8B-E4F7AB8B87B9}"/>
            </c:ext>
          </c:extLst>
        </c:ser>
        <c:ser>
          <c:idx val="2"/>
          <c:order val="3"/>
          <c:tx>
            <c:v>2019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Projections'!$AI$63</c:f>
              <c:numCache>
                <c:formatCode>General</c:formatCode>
                <c:ptCount val="1"/>
                <c:pt idx="0">
                  <c:v>2050</c:v>
                </c:pt>
              </c:numCache>
            </c:numRef>
          </c:xVal>
          <c:yVal>
            <c:numRef>
              <c:f>'College Enrollment Projections'!$AK$63</c:f>
              <c:numCache>
                <c:formatCode>#,##0</c:formatCode>
                <c:ptCount val="1"/>
                <c:pt idx="0">
                  <c:v>43000</c:v>
                </c:pt>
              </c:numCache>
            </c:numRef>
          </c:yVal>
          <c:smooth val="0"/>
          <c:extLst>
            <c:ext xmlns:c16="http://schemas.microsoft.com/office/drawing/2014/chart" uri="{C3380CC4-5D6E-409C-BE32-E72D297353CC}">
              <c16:uniqueId val="{00000006-262C-4D1B-BB8B-E4F7AB8B87B9}"/>
            </c:ext>
          </c:extLst>
        </c:ser>
        <c:ser>
          <c:idx val="4"/>
          <c:order val="4"/>
          <c:tx>
            <c:v>2024 RTP</c:v>
          </c:tx>
          <c:spPr>
            <a:ln w="25400" cap="rnd">
              <a:noFill/>
              <a:round/>
            </a:ln>
            <a:effectLst/>
          </c:spPr>
          <c:marker>
            <c:symbol val="circle"/>
            <c:size val="5"/>
            <c:spPr>
              <a:solidFill>
                <a:srgbClr val="00B050"/>
              </a:solidFill>
              <a:ln w="9525">
                <a:solidFill>
                  <a:schemeClr val="accent5"/>
                </a:solidFill>
              </a:ln>
              <a:effectLst/>
            </c:spPr>
          </c:marker>
          <c:dPt>
            <c:idx val="21"/>
            <c:marker>
              <c:symbol val="circle"/>
              <c:size val="7"/>
              <c:spPr>
                <a:solidFill>
                  <a:srgbClr val="00B050"/>
                </a:solidFill>
                <a:ln w="9525">
                  <a:solidFill>
                    <a:schemeClr val="accent5"/>
                  </a:solidFill>
                </a:ln>
                <a:effectLst/>
              </c:spPr>
            </c:marker>
            <c:bubble3D val="0"/>
            <c:extLst>
              <c:ext xmlns:c16="http://schemas.microsoft.com/office/drawing/2014/chart" uri="{C3380CC4-5D6E-409C-BE32-E72D297353CC}">
                <c16:uniqueId val="{00000004-7773-4901-91E0-F1EA12BDB5F6}"/>
              </c:ext>
            </c:extLst>
          </c:dPt>
          <c:xVal>
            <c:numRef>
              <c:f>'College Enrollment Projections'!$AI$41:$AI$62</c:f>
              <c:numCache>
                <c:formatCode>General</c:formatCode>
                <c:ptCount val="2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xVal>
          <c:yVal>
            <c:numRef>
              <c:f>'College Enrollment Projections'!$AK$41:$AK$62</c:f>
              <c:numCache>
                <c:formatCode>#,##0</c:formatCode>
                <c:ptCount val="22"/>
                <c:pt idx="0">
                  <c:v>33524.227272727272</c:v>
                </c:pt>
                <c:pt idx="1">
                  <c:v>33975.454545454544</c:v>
                </c:pt>
                <c:pt idx="2">
                  <c:v>34426.681818181816</c:v>
                </c:pt>
                <c:pt idx="3">
                  <c:v>34877.909090909088</c:v>
                </c:pt>
                <c:pt idx="4">
                  <c:v>35329.136363636368</c:v>
                </c:pt>
                <c:pt idx="5">
                  <c:v>35780.36363636364</c:v>
                </c:pt>
                <c:pt idx="6">
                  <c:v>36231.590909090912</c:v>
                </c:pt>
                <c:pt idx="7">
                  <c:v>36682.818181818184</c:v>
                </c:pt>
                <c:pt idx="8">
                  <c:v>37134.045454545456</c:v>
                </c:pt>
                <c:pt idx="9">
                  <c:v>37585.272727272728</c:v>
                </c:pt>
                <c:pt idx="10">
                  <c:v>38036.5</c:v>
                </c:pt>
                <c:pt idx="11">
                  <c:v>38487.727272727272</c:v>
                </c:pt>
                <c:pt idx="12">
                  <c:v>38938.954545454544</c:v>
                </c:pt>
                <c:pt idx="13">
                  <c:v>39390.181818181816</c:v>
                </c:pt>
                <c:pt idx="14">
                  <c:v>39841.409090909088</c:v>
                </c:pt>
                <c:pt idx="15">
                  <c:v>40292.636363636368</c:v>
                </c:pt>
                <c:pt idx="16">
                  <c:v>40743.86363636364</c:v>
                </c:pt>
                <c:pt idx="17">
                  <c:v>41195.090909090912</c:v>
                </c:pt>
                <c:pt idx="18">
                  <c:v>41646.318181818184</c:v>
                </c:pt>
                <c:pt idx="19">
                  <c:v>42097.545454545456</c:v>
                </c:pt>
                <c:pt idx="20">
                  <c:v>42548.772727272728</c:v>
                </c:pt>
                <c:pt idx="21">
                  <c:v>43000</c:v>
                </c:pt>
              </c:numCache>
            </c:numRef>
          </c:yVal>
          <c:smooth val="0"/>
          <c:extLst>
            <c:ext xmlns:c16="http://schemas.microsoft.com/office/drawing/2014/chart" uri="{C3380CC4-5D6E-409C-BE32-E72D297353CC}">
              <c16:uniqueId val="{00000003-7773-4901-91E0-F1EA12BDB5F6}"/>
            </c:ext>
          </c:extLst>
        </c:ser>
        <c:dLbls>
          <c:showLegendKey val="0"/>
          <c:showVal val="0"/>
          <c:showCatName val="0"/>
          <c:showSerName val="0"/>
          <c:showPercent val="0"/>
          <c:showBubbleSize val="0"/>
        </c:dLbls>
        <c:axId val="307857215"/>
        <c:axId val="307858879"/>
      </c:scatterChart>
      <c:valAx>
        <c:axId val="307857215"/>
        <c:scaling>
          <c:orientation val="minMax"/>
          <c:max val="205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8879"/>
        <c:crosses val="autoZero"/>
        <c:crossBetween val="midCat"/>
      </c:valAx>
      <c:valAx>
        <c:axId val="307858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7215"/>
        <c:crosses val="autoZero"/>
        <c:crossBetween val="midCat"/>
      </c:valAx>
      <c:spPr>
        <a:noFill/>
        <a:ln>
          <a:noFill/>
        </a:ln>
        <a:effectLst/>
      </c:spPr>
    </c:plotArea>
    <c:legend>
      <c:legendPos val="t"/>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Projections'!$AI$2:$AI$34</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xVal>
          <c:yVal>
            <c:numRef>
              <c:f>'College Enrollment Projections'!$AM$2:$AM$34</c:f>
              <c:numCache>
                <c:formatCode>#,##0</c:formatCode>
                <c:ptCount val="33"/>
                <c:pt idx="0">
                  <c:v>13344</c:v>
                </c:pt>
                <c:pt idx="1">
                  <c:v>15972</c:v>
                </c:pt>
                <c:pt idx="2">
                  <c:v>17766</c:v>
                </c:pt>
                <c:pt idx="3">
                  <c:v>18311</c:v>
                </c:pt>
                <c:pt idx="4">
                  <c:v>19440</c:v>
                </c:pt>
                <c:pt idx="5">
                  <c:v>20834</c:v>
                </c:pt>
                <c:pt idx="6">
                  <c:v>22394</c:v>
                </c:pt>
                <c:pt idx="7">
                  <c:v>24307</c:v>
                </c:pt>
                <c:pt idx="8">
                  <c:v>19754</c:v>
                </c:pt>
                <c:pt idx="9">
                  <c:v>21273</c:v>
                </c:pt>
                <c:pt idx="10">
                  <c:v>22109</c:v>
                </c:pt>
                <c:pt idx="11">
                  <c:v>24215</c:v>
                </c:pt>
                <c:pt idx="12">
                  <c:v>23825</c:v>
                </c:pt>
                <c:pt idx="13">
                  <c:v>24153</c:v>
                </c:pt>
                <c:pt idx="14">
                  <c:v>25711</c:v>
                </c:pt>
                <c:pt idx="15">
                  <c:v>25551</c:v>
                </c:pt>
                <c:pt idx="16">
                  <c:v>25129</c:v>
                </c:pt>
                <c:pt idx="17">
                  <c:v>25144</c:v>
                </c:pt>
                <c:pt idx="18">
                  <c:v>29867</c:v>
                </c:pt>
                <c:pt idx="19">
                  <c:v>39903</c:v>
                </c:pt>
                <c:pt idx="20">
                  <c:v>38288</c:v>
                </c:pt>
                <c:pt idx="21">
                  <c:v>36782</c:v>
                </c:pt>
                <c:pt idx="22">
                  <c:v>35804</c:v>
                </c:pt>
                <c:pt idx="23">
                  <c:v>35043</c:v>
                </c:pt>
                <c:pt idx="24">
                  <c:v>33451</c:v>
                </c:pt>
                <c:pt idx="25">
                  <c:v>31131</c:v>
                </c:pt>
                <c:pt idx="26">
                  <c:v>32133</c:v>
                </c:pt>
                <c:pt idx="27">
                  <c:v>32277</c:v>
                </c:pt>
                <c:pt idx="28">
                  <c:v>29156</c:v>
                </c:pt>
                <c:pt idx="29">
                  <c:v>29517</c:v>
                </c:pt>
                <c:pt idx="30">
                  <c:v>27293</c:v>
                </c:pt>
                <c:pt idx="31">
                  <c:v>27225</c:v>
                </c:pt>
                <c:pt idx="32">
                  <c:v>26348</c:v>
                </c:pt>
              </c:numCache>
            </c:numRef>
          </c:yVal>
          <c:smooth val="0"/>
          <c:extLst>
            <c:ext xmlns:c16="http://schemas.microsoft.com/office/drawing/2014/chart" uri="{C3380CC4-5D6E-409C-BE32-E72D297353CC}">
              <c16:uniqueId val="{00000001-B831-4F91-A79F-255456EFB6C8}"/>
            </c:ext>
          </c:extLst>
        </c:ser>
        <c:ser>
          <c:idx val="1"/>
          <c:order val="1"/>
          <c:tx>
            <c:v>USHE Projections</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5"/>
            <c:dispRSqr val="0"/>
            <c:dispEq val="0"/>
          </c:trendline>
          <c:xVal>
            <c:numRef>
              <c:f>'College Enrollment Projections'!$AI$35:$AI$40</c:f>
              <c:numCache>
                <c:formatCode>General</c:formatCode>
                <c:ptCount val="6"/>
                <c:pt idx="0">
                  <c:v>2023</c:v>
                </c:pt>
                <c:pt idx="1">
                  <c:v>2024</c:v>
                </c:pt>
                <c:pt idx="2">
                  <c:v>2025</c:v>
                </c:pt>
                <c:pt idx="3">
                  <c:v>2026</c:v>
                </c:pt>
                <c:pt idx="4">
                  <c:v>2027</c:v>
                </c:pt>
                <c:pt idx="5">
                  <c:v>2028</c:v>
                </c:pt>
              </c:numCache>
            </c:numRef>
          </c:xVal>
          <c:yVal>
            <c:numRef>
              <c:f>'College Enrollment Projections'!$AM$35:$AM$40</c:f>
              <c:numCache>
                <c:formatCode>#,##0</c:formatCode>
                <c:ptCount val="6"/>
                <c:pt idx="0">
                  <c:v>32462</c:v>
                </c:pt>
                <c:pt idx="1">
                  <c:v>32552</c:v>
                </c:pt>
                <c:pt idx="2">
                  <c:v>32557</c:v>
                </c:pt>
                <c:pt idx="3">
                  <c:v>32490</c:v>
                </c:pt>
                <c:pt idx="4">
                  <c:v>32395</c:v>
                </c:pt>
                <c:pt idx="5">
                  <c:v>32219</c:v>
                </c:pt>
              </c:numCache>
            </c:numRef>
          </c:yVal>
          <c:smooth val="0"/>
          <c:extLst>
            <c:ext xmlns:c16="http://schemas.microsoft.com/office/drawing/2014/chart" uri="{C3380CC4-5D6E-409C-BE32-E72D297353CC}">
              <c16:uniqueId val="{00000003-B831-4F91-A79F-255456EFB6C8}"/>
            </c:ext>
          </c:extLst>
        </c:ser>
        <c:ser>
          <c:idx val="3"/>
          <c:order val="2"/>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Projections'!$AM$31:$AM$40</c:f>
              <c:numCache>
                <c:formatCode>#,##0</c:formatCode>
                <c:ptCount val="10"/>
                <c:pt idx="0">
                  <c:v>29517</c:v>
                </c:pt>
                <c:pt idx="1">
                  <c:v>27293</c:v>
                </c:pt>
                <c:pt idx="2">
                  <c:v>27225</c:v>
                </c:pt>
                <c:pt idx="3">
                  <c:v>26348</c:v>
                </c:pt>
                <c:pt idx="4">
                  <c:v>32462</c:v>
                </c:pt>
                <c:pt idx="5">
                  <c:v>32552</c:v>
                </c:pt>
                <c:pt idx="6">
                  <c:v>32557</c:v>
                </c:pt>
                <c:pt idx="7">
                  <c:v>32490</c:v>
                </c:pt>
                <c:pt idx="8">
                  <c:v>32395</c:v>
                </c:pt>
                <c:pt idx="9">
                  <c:v>32219</c:v>
                </c:pt>
              </c:numCache>
            </c:numRef>
          </c:yVal>
          <c:smooth val="0"/>
          <c:extLst>
            <c:ext xmlns:c16="http://schemas.microsoft.com/office/drawing/2014/chart" uri="{C3380CC4-5D6E-409C-BE32-E72D297353CC}">
              <c16:uniqueId val="{00000005-B831-4F91-A79F-255456EFB6C8}"/>
            </c:ext>
          </c:extLst>
        </c:ser>
        <c:ser>
          <c:idx val="2"/>
          <c:order val="3"/>
          <c:tx>
            <c:v>2019 RTP Target</c:v>
          </c:tx>
          <c:spPr>
            <a:ln w="25400" cap="rnd">
              <a:noFill/>
              <a:round/>
            </a:ln>
            <a:effectLst/>
          </c:spPr>
          <c:marker>
            <c:symbol val="circle"/>
            <c:size val="5"/>
            <c:spPr>
              <a:solidFill>
                <a:schemeClr val="accent3"/>
              </a:solidFill>
              <a:ln w="9525">
                <a:solidFill>
                  <a:schemeClr val="accent3"/>
                </a:solidFill>
              </a:ln>
              <a:effectLst/>
            </c:spPr>
          </c:marker>
          <c:dPt>
            <c:idx val="0"/>
            <c:marker>
              <c:symbol val="circle"/>
              <c:size val="8"/>
              <c:spPr>
                <a:solidFill>
                  <a:schemeClr val="accent3"/>
                </a:solidFill>
                <a:ln w="9525">
                  <a:solidFill>
                    <a:schemeClr val="accent3"/>
                  </a:solidFill>
                </a:ln>
                <a:effectLst/>
              </c:spPr>
            </c:marker>
            <c:bubble3D val="0"/>
            <c:extLst>
              <c:ext xmlns:c16="http://schemas.microsoft.com/office/drawing/2014/chart" uri="{C3380CC4-5D6E-409C-BE32-E72D297353CC}">
                <c16:uniqueId val="{00000003-94A6-487E-A6F0-693E2BB8A9D8}"/>
              </c:ext>
            </c:extLst>
          </c:dPt>
          <c:xVal>
            <c:numRef>
              <c:f>'College Enrollment Projections'!$AI$63</c:f>
              <c:numCache>
                <c:formatCode>General</c:formatCode>
                <c:ptCount val="1"/>
                <c:pt idx="0">
                  <c:v>2050</c:v>
                </c:pt>
              </c:numCache>
            </c:numRef>
          </c:xVal>
          <c:yVal>
            <c:numRef>
              <c:f>'College Enrollment Projections'!$AL$63</c:f>
              <c:numCache>
                <c:formatCode>#,##0</c:formatCode>
                <c:ptCount val="1"/>
                <c:pt idx="0">
                  <c:v>67000</c:v>
                </c:pt>
              </c:numCache>
            </c:numRef>
          </c:yVal>
          <c:smooth val="0"/>
          <c:extLst>
            <c:ext xmlns:c16="http://schemas.microsoft.com/office/drawing/2014/chart" uri="{C3380CC4-5D6E-409C-BE32-E72D297353CC}">
              <c16:uniqueId val="{00000006-B831-4F91-A79F-255456EFB6C8}"/>
            </c:ext>
          </c:extLst>
        </c:ser>
        <c:ser>
          <c:idx val="4"/>
          <c:order val="4"/>
          <c:tx>
            <c:v>2024 RTP</c:v>
          </c:tx>
          <c:spPr>
            <a:ln w="25400" cap="rnd">
              <a:noFill/>
              <a:round/>
            </a:ln>
            <a:effectLst/>
          </c:spPr>
          <c:marker>
            <c:symbol val="circle"/>
            <c:size val="5"/>
            <c:spPr>
              <a:solidFill>
                <a:srgbClr val="00B050"/>
              </a:solidFill>
              <a:ln w="9525">
                <a:solidFill>
                  <a:srgbClr val="00B050"/>
                </a:solidFill>
              </a:ln>
              <a:effectLst/>
            </c:spPr>
          </c:marker>
          <c:xVal>
            <c:numRef>
              <c:f>'College Enrollment Projections'!$AI$41:$AI$62</c:f>
              <c:numCache>
                <c:formatCode>General</c:formatCode>
                <c:ptCount val="2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xVal>
          <c:yVal>
            <c:numRef>
              <c:f>'College Enrollment Projections'!$AM$41:$AM$62</c:f>
              <c:numCache>
                <c:formatCode>#,##0</c:formatCode>
                <c:ptCount val="22"/>
                <c:pt idx="0">
                  <c:v>32572.68181818182</c:v>
                </c:pt>
                <c:pt idx="1">
                  <c:v>32926.36363636364</c:v>
                </c:pt>
                <c:pt idx="2">
                  <c:v>33280.045454545456</c:v>
                </c:pt>
                <c:pt idx="3">
                  <c:v>33633.727272727272</c:v>
                </c:pt>
                <c:pt idx="4">
                  <c:v>33987.409090909088</c:v>
                </c:pt>
                <c:pt idx="5">
                  <c:v>34341.090909090912</c:v>
                </c:pt>
                <c:pt idx="6">
                  <c:v>34694.772727272728</c:v>
                </c:pt>
                <c:pt idx="7">
                  <c:v>35048.454545454544</c:v>
                </c:pt>
                <c:pt idx="8">
                  <c:v>35402.13636363636</c:v>
                </c:pt>
                <c:pt idx="9">
                  <c:v>35755.818181818184</c:v>
                </c:pt>
                <c:pt idx="10">
                  <c:v>36109.5</c:v>
                </c:pt>
                <c:pt idx="11">
                  <c:v>36463.181818181816</c:v>
                </c:pt>
                <c:pt idx="12">
                  <c:v>36816.863636363632</c:v>
                </c:pt>
                <c:pt idx="13">
                  <c:v>37170.545454545456</c:v>
                </c:pt>
                <c:pt idx="14">
                  <c:v>37524.227272727272</c:v>
                </c:pt>
                <c:pt idx="15">
                  <c:v>37877.909090909088</c:v>
                </c:pt>
                <c:pt idx="16">
                  <c:v>38231.590909090912</c:v>
                </c:pt>
                <c:pt idx="17">
                  <c:v>38585.272727272728</c:v>
                </c:pt>
                <c:pt idx="18">
                  <c:v>38938.954545454544</c:v>
                </c:pt>
                <c:pt idx="19">
                  <c:v>39292.636363636368</c:v>
                </c:pt>
                <c:pt idx="20">
                  <c:v>39646.318181818184</c:v>
                </c:pt>
                <c:pt idx="21">
                  <c:v>40000</c:v>
                </c:pt>
              </c:numCache>
            </c:numRef>
          </c:yVal>
          <c:smooth val="0"/>
          <c:extLst>
            <c:ext xmlns:c16="http://schemas.microsoft.com/office/drawing/2014/chart" uri="{C3380CC4-5D6E-409C-BE32-E72D297353CC}">
              <c16:uniqueId val="{00000004-94A6-487E-A6F0-693E2BB8A9D8}"/>
            </c:ext>
          </c:extLst>
        </c:ser>
        <c:dLbls>
          <c:showLegendKey val="0"/>
          <c:showVal val="0"/>
          <c:showCatName val="0"/>
          <c:showSerName val="0"/>
          <c:showPercent val="0"/>
          <c:showBubbleSize val="0"/>
        </c:dLbls>
        <c:axId val="307857215"/>
        <c:axId val="307858879"/>
      </c:scatterChart>
      <c:valAx>
        <c:axId val="307857215"/>
        <c:scaling>
          <c:orientation val="minMax"/>
          <c:max val="205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8879"/>
        <c:crosses val="autoZero"/>
        <c:crossBetween val="midCat"/>
      </c:valAx>
      <c:valAx>
        <c:axId val="307858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7215"/>
        <c:crosses val="autoZero"/>
        <c:crossBetween val="midCat"/>
      </c:valAx>
      <c:spPr>
        <a:noFill/>
        <a:ln>
          <a:noFill/>
        </a:ln>
        <a:effectLst/>
      </c:spPr>
    </c:plotArea>
    <c:legend>
      <c:legendPos val="t"/>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Projections'!$AI$2:$AI$40</c:f>
              <c:numCache>
                <c:formatCode>General</c:formatCode>
                <c:ptCount val="3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numCache>
            </c:numRef>
          </c:xVal>
          <c:yVal>
            <c:numRef>
              <c:f>'College Enrollment Projections'!$AN$2:$AN$40</c:f>
              <c:numCache>
                <c:formatCode>#,##0</c:formatCode>
                <c:ptCount val="39"/>
                <c:pt idx="0">
                  <c:v>30465</c:v>
                </c:pt>
                <c:pt idx="1">
                  <c:v>31101</c:v>
                </c:pt>
                <c:pt idx="2">
                  <c:v>31108</c:v>
                </c:pt>
                <c:pt idx="3">
                  <c:v>30547</c:v>
                </c:pt>
                <c:pt idx="4">
                  <c:v>30413</c:v>
                </c:pt>
                <c:pt idx="5">
                  <c:v>30465</c:v>
                </c:pt>
                <c:pt idx="6">
                  <c:v>30563</c:v>
                </c:pt>
                <c:pt idx="7">
                  <c:v>31249</c:v>
                </c:pt>
                <c:pt idx="8">
                  <c:v>32202</c:v>
                </c:pt>
                <c:pt idx="9">
                  <c:v>32731</c:v>
                </c:pt>
                <c:pt idx="10">
                  <c:v>32554</c:v>
                </c:pt>
                <c:pt idx="11">
                  <c:v>32771</c:v>
                </c:pt>
                <c:pt idx="12">
                  <c:v>32408</c:v>
                </c:pt>
                <c:pt idx="13">
                  <c:v>33008</c:v>
                </c:pt>
                <c:pt idx="14">
                  <c:v>33427</c:v>
                </c:pt>
                <c:pt idx="15">
                  <c:v>32920</c:v>
                </c:pt>
                <c:pt idx="16">
                  <c:v>32679</c:v>
                </c:pt>
                <c:pt idx="17">
                  <c:v>32964</c:v>
                </c:pt>
                <c:pt idx="18">
                  <c:v>32992</c:v>
                </c:pt>
                <c:pt idx="19">
                  <c:v>32955</c:v>
                </c:pt>
                <c:pt idx="20">
                  <c:v>32947</c:v>
                </c:pt>
                <c:pt idx="21">
                  <c:v>32980</c:v>
                </c:pt>
                <c:pt idx="22">
                  <c:v>34409</c:v>
                </c:pt>
                <c:pt idx="23">
                  <c:v>31123</c:v>
                </c:pt>
                <c:pt idx="24">
                  <c:v>30484</c:v>
                </c:pt>
                <c:pt idx="25">
                  <c:v>33469</c:v>
                </c:pt>
                <c:pt idx="26">
                  <c:v>34240</c:v>
                </c:pt>
                <c:pt idx="27">
                  <c:v>34334</c:v>
                </c:pt>
                <c:pt idx="28">
                  <c:v>34499</c:v>
                </c:pt>
                <c:pt idx="29">
                  <c:v>34318</c:v>
                </c:pt>
                <c:pt idx="30">
                  <c:v>36461</c:v>
                </c:pt>
                <c:pt idx="31">
                  <c:v>35615</c:v>
                </c:pt>
                <c:pt idx="32">
                  <c:v>34737</c:v>
                </c:pt>
                <c:pt idx="33">
                  <c:v>36377</c:v>
                </c:pt>
                <c:pt idx="34">
                  <c:v>36921</c:v>
                </c:pt>
                <c:pt idx="35">
                  <c:v>37477</c:v>
                </c:pt>
                <c:pt idx="36">
                  <c:v>37514</c:v>
                </c:pt>
                <c:pt idx="37">
                  <c:v>37551</c:v>
                </c:pt>
                <c:pt idx="38">
                  <c:v>37588</c:v>
                </c:pt>
              </c:numCache>
            </c:numRef>
          </c:yVal>
          <c:smooth val="0"/>
          <c:extLst>
            <c:ext xmlns:c16="http://schemas.microsoft.com/office/drawing/2014/chart" uri="{C3380CC4-5D6E-409C-BE32-E72D297353CC}">
              <c16:uniqueId val="{00000001-3A74-4781-ACED-B1A98497F406}"/>
            </c:ext>
          </c:extLst>
        </c:ser>
        <c:ser>
          <c:idx val="3"/>
          <c:order val="1"/>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Projections'!$AI$23:$AI$32</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xVal>
          <c:yVal>
            <c:numRef>
              <c:f>'College Enrollment Projections'!$AN$23:$AN$32</c:f>
              <c:numCache>
                <c:formatCode>#,##0</c:formatCode>
                <c:ptCount val="10"/>
                <c:pt idx="0">
                  <c:v>32980</c:v>
                </c:pt>
                <c:pt idx="1">
                  <c:v>34409</c:v>
                </c:pt>
                <c:pt idx="2">
                  <c:v>31123</c:v>
                </c:pt>
                <c:pt idx="3">
                  <c:v>30484</c:v>
                </c:pt>
                <c:pt idx="4">
                  <c:v>33469</c:v>
                </c:pt>
                <c:pt idx="5">
                  <c:v>34240</c:v>
                </c:pt>
                <c:pt idx="6">
                  <c:v>34334</c:v>
                </c:pt>
                <c:pt idx="7">
                  <c:v>34499</c:v>
                </c:pt>
                <c:pt idx="8">
                  <c:v>34318</c:v>
                </c:pt>
                <c:pt idx="9">
                  <c:v>36461</c:v>
                </c:pt>
              </c:numCache>
            </c:numRef>
          </c:yVal>
          <c:smooth val="0"/>
          <c:extLst>
            <c:ext xmlns:c16="http://schemas.microsoft.com/office/drawing/2014/chart" uri="{C3380CC4-5D6E-409C-BE32-E72D297353CC}">
              <c16:uniqueId val="{00000005-3A74-4781-ACED-B1A98497F406}"/>
            </c:ext>
          </c:extLst>
        </c:ser>
        <c:ser>
          <c:idx val="2"/>
          <c:order val="2"/>
          <c:tx>
            <c:v>2019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Projections'!$AI$63</c:f>
              <c:numCache>
                <c:formatCode>General</c:formatCode>
                <c:ptCount val="1"/>
                <c:pt idx="0">
                  <c:v>2050</c:v>
                </c:pt>
              </c:numCache>
            </c:numRef>
          </c:xVal>
          <c:yVal>
            <c:numRef>
              <c:f>'College Enrollment Projections'!$AN$63</c:f>
              <c:numCache>
                <c:formatCode>#,##0</c:formatCode>
                <c:ptCount val="1"/>
                <c:pt idx="0">
                  <c:v>34000</c:v>
                </c:pt>
              </c:numCache>
            </c:numRef>
          </c:yVal>
          <c:smooth val="0"/>
          <c:extLst>
            <c:ext xmlns:c16="http://schemas.microsoft.com/office/drawing/2014/chart" uri="{C3380CC4-5D6E-409C-BE32-E72D297353CC}">
              <c16:uniqueId val="{00000006-3A74-4781-ACED-B1A98497F406}"/>
            </c:ext>
          </c:extLst>
        </c:ser>
        <c:ser>
          <c:idx val="1"/>
          <c:order val="3"/>
          <c:tx>
            <c:v>2024 RTP</c:v>
          </c:tx>
          <c:spPr>
            <a:ln w="25400" cap="rnd">
              <a:noFill/>
              <a:round/>
            </a:ln>
            <a:effectLst/>
          </c:spPr>
          <c:marker>
            <c:symbol val="circle"/>
            <c:size val="5"/>
            <c:spPr>
              <a:solidFill>
                <a:srgbClr val="00B050"/>
              </a:solidFill>
              <a:ln w="9525">
                <a:solidFill>
                  <a:srgbClr val="00B050"/>
                </a:solidFill>
              </a:ln>
              <a:effectLst/>
            </c:spPr>
          </c:marker>
          <c:xVal>
            <c:numRef>
              <c:f>'College Enrollment Projections'!$AI$41:$AI$62</c:f>
              <c:numCache>
                <c:formatCode>General</c:formatCode>
                <c:ptCount val="2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xVal>
          <c:yVal>
            <c:numRef>
              <c:f>'College Enrollment Projections'!$AN$41:$AN$62</c:f>
              <c:numCache>
                <c:formatCode>#,##0</c:formatCode>
                <c:ptCount val="22"/>
                <c:pt idx="0">
                  <c:v>37625</c:v>
                </c:pt>
                <c:pt idx="1">
                  <c:v>37662</c:v>
                </c:pt>
                <c:pt idx="2">
                  <c:v>37699</c:v>
                </c:pt>
                <c:pt idx="3">
                  <c:v>37736</c:v>
                </c:pt>
                <c:pt idx="4">
                  <c:v>37773</c:v>
                </c:pt>
                <c:pt idx="5">
                  <c:v>37810</c:v>
                </c:pt>
                <c:pt idx="6">
                  <c:v>37847</c:v>
                </c:pt>
                <c:pt idx="7">
                  <c:v>37884</c:v>
                </c:pt>
                <c:pt idx="8">
                  <c:v>37921</c:v>
                </c:pt>
                <c:pt idx="9">
                  <c:v>37958</c:v>
                </c:pt>
                <c:pt idx="10">
                  <c:v>37995</c:v>
                </c:pt>
                <c:pt idx="11">
                  <c:v>38032</c:v>
                </c:pt>
                <c:pt idx="12">
                  <c:v>38069</c:v>
                </c:pt>
                <c:pt idx="13">
                  <c:v>38106</c:v>
                </c:pt>
                <c:pt idx="14">
                  <c:v>38143</c:v>
                </c:pt>
                <c:pt idx="15">
                  <c:v>38524</c:v>
                </c:pt>
                <c:pt idx="16">
                  <c:v>38910</c:v>
                </c:pt>
                <c:pt idx="17">
                  <c:v>39299</c:v>
                </c:pt>
                <c:pt idx="18">
                  <c:v>39303</c:v>
                </c:pt>
                <c:pt idx="19">
                  <c:v>39307</c:v>
                </c:pt>
                <c:pt idx="20">
                  <c:v>39311</c:v>
                </c:pt>
                <c:pt idx="21">
                  <c:v>39315</c:v>
                </c:pt>
              </c:numCache>
            </c:numRef>
          </c:yVal>
          <c:smooth val="0"/>
          <c:extLst>
            <c:ext xmlns:c16="http://schemas.microsoft.com/office/drawing/2014/chart" uri="{C3380CC4-5D6E-409C-BE32-E72D297353CC}">
              <c16:uniqueId val="{00000002-C237-4535-B7C7-31175CD4A089}"/>
            </c:ext>
          </c:extLst>
        </c:ser>
        <c:dLbls>
          <c:showLegendKey val="0"/>
          <c:showVal val="0"/>
          <c:showCatName val="0"/>
          <c:showSerName val="0"/>
          <c:showPercent val="0"/>
          <c:showBubbleSize val="0"/>
        </c:dLbls>
        <c:axId val="307857215"/>
        <c:axId val="307858879"/>
      </c:scatterChart>
      <c:valAx>
        <c:axId val="307857215"/>
        <c:scaling>
          <c:orientation val="minMax"/>
          <c:max val="205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8879"/>
        <c:crosses val="autoZero"/>
        <c:crossBetween val="midCat"/>
      </c:valAx>
      <c:valAx>
        <c:axId val="307858879"/>
        <c:scaling>
          <c:orientation val="minMax"/>
          <c:max val="4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7215"/>
        <c:crosses val="autoZero"/>
        <c:crossBetween val="midCat"/>
      </c:valAx>
      <c:spPr>
        <a:noFill/>
        <a:ln>
          <a:noFill/>
        </a:ln>
        <a:effectLst/>
      </c:spPr>
    </c:plotArea>
    <c:legend>
      <c:legendPos val="t"/>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Projections'!$AI$2:$AI$31</c:f>
              <c:numCache>
                <c:formatCode>General</c:formatCod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numCache>
            </c:numRef>
          </c:xVal>
          <c:yVal>
            <c:numRef>
              <c:f>'College Enrollment Projections'!$AO$2:$AO$31</c:f>
              <c:numCache>
                <c:formatCode>#,##0</c:formatCode>
                <c:ptCount val="30"/>
                <c:pt idx="13">
                  <c:v>1275</c:v>
                </c:pt>
                <c:pt idx="14">
                  <c:v>1377.7777777777778</c:v>
                </c:pt>
                <c:pt idx="15">
                  <c:v>1480.5555555555557</c:v>
                </c:pt>
                <c:pt idx="16">
                  <c:v>1583.3333333333333</c:v>
                </c:pt>
                <c:pt idx="17">
                  <c:v>1686.1111111111111</c:v>
                </c:pt>
                <c:pt idx="18">
                  <c:v>1788.8888888888889</c:v>
                </c:pt>
                <c:pt idx="19">
                  <c:v>1891.6666666666665</c:v>
                </c:pt>
                <c:pt idx="20">
                  <c:v>1994.4444444444443</c:v>
                </c:pt>
                <c:pt idx="21">
                  <c:v>2097.2222222222222</c:v>
                </c:pt>
                <c:pt idx="22">
                  <c:v>2200</c:v>
                </c:pt>
                <c:pt idx="23">
                  <c:v>2179.75</c:v>
                </c:pt>
                <c:pt idx="24">
                  <c:v>2159.5</c:v>
                </c:pt>
                <c:pt idx="25">
                  <c:v>2139.25</c:v>
                </c:pt>
                <c:pt idx="26">
                  <c:v>2119</c:v>
                </c:pt>
                <c:pt idx="27">
                  <c:v>2045</c:v>
                </c:pt>
                <c:pt idx="28">
                  <c:v>1996</c:v>
                </c:pt>
                <c:pt idx="29">
                  <c:v>1929</c:v>
                </c:pt>
              </c:numCache>
            </c:numRef>
          </c:yVal>
          <c:smooth val="0"/>
          <c:extLst>
            <c:ext xmlns:c16="http://schemas.microsoft.com/office/drawing/2014/chart" uri="{C3380CC4-5D6E-409C-BE32-E72D297353CC}">
              <c16:uniqueId val="{00000001-BC61-47BB-8BCF-8D1D611131B5}"/>
            </c:ext>
          </c:extLst>
        </c:ser>
        <c:ser>
          <c:idx val="3"/>
          <c:order val="1"/>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5"/>
            <c:dispRSqr val="0"/>
            <c:dispEq val="0"/>
          </c:trendline>
          <c:xVal>
            <c:numRef>
              <c:f>'College Enrollment Projections'!$AI$22:$AI$31</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'College Enrollment Projections'!$AO$22:$AO$31</c:f>
              <c:numCache>
                <c:formatCode>#,##0</c:formatCode>
                <c:ptCount val="10"/>
                <c:pt idx="0">
                  <c:v>1994.4444444444443</c:v>
                </c:pt>
                <c:pt idx="1">
                  <c:v>2097.2222222222222</c:v>
                </c:pt>
                <c:pt idx="2">
                  <c:v>2200</c:v>
                </c:pt>
                <c:pt idx="3">
                  <c:v>2179.75</c:v>
                </c:pt>
                <c:pt idx="4">
                  <c:v>2159.5</c:v>
                </c:pt>
                <c:pt idx="5">
                  <c:v>2139.25</c:v>
                </c:pt>
                <c:pt idx="6">
                  <c:v>2119</c:v>
                </c:pt>
                <c:pt idx="7">
                  <c:v>2045</c:v>
                </c:pt>
                <c:pt idx="8">
                  <c:v>1996</c:v>
                </c:pt>
                <c:pt idx="9">
                  <c:v>1929</c:v>
                </c:pt>
              </c:numCache>
            </c:numRef>
          </c:yVal>
          <c:smooth val="0"/>
          <c:extLst>
            <c:ext xmlns:c16="http://schemas.microsoft.com/office/drawing/2014/chart" uri="{C3380CC4-5D6E-409C-BE32-E72D297353CC}">
              <c16:uniqueId val="{00000007-BC61-47BB-8BCF-8D1D611131B5}"/>
            </c:ext>
          </c:extLst>
        </c:ser>
        <c:ser>
          <c:idx val="2"/>
          <c:order val="2"/>
          <c:tx>
            <c:v>2019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Projections'!$AI$63</c:f>
              <c:numCache>
                <c:formatCode>General</c:formatCode>
                <c:ptCount val="1"/>
                <c:pt idx="0">
                  <c:v>2050</c:v>
                </c:pt>
              </c:numCache>
            </c:numRef>
          </c:xVal>
          <c:yVal>
            <c:numRef>
              <c:f>'College Enrollment Projections'!$AO$63</c:f>
              <c:numCache>
                <c:formatCode>#,##0</c:formatCode>
                <c:ptCount val="1"/>
                <c:pt idx="0">
                  <c:v>6300</c:v>
                </c:pt>
              </c:numCache>
            </c:numRef>
          </c:yVal>
          <c:smooth val="0"/>
          <c:extLst>
            <c:ext xmlns:c16="http://schemas.microsoft.com/office/drawing/2014/chart" uri="{C3380CC4-5D6E-409C-BE32-E72D297353CC}">
              <c16:uniqueId val="{00000006-BC61-47BB-8BCF-8D1D611131B5}"/>
            </c:ext>
          </c:extLst>
        </c:ser>
        <c:ser>
          <c:idx val="4"/>
          <c:order val="3"/>
          <c:tx>
            <c:v>2024 RTP</c:v>
          </c:tx>
          <c:spPr>
            <a:ln w="25400" cap="rnd">
              <a:noFill/>
              <a:round/>
            </a:ln>
            <a:effectLst/>
          </c:spPr>
          <c:marker>
            <c:symbol val="circle"/>
            <c:size val="5"/>
            <c:spPr>
              <a:solidFill>
                <a:srgbClr val="00B050"/>
              </a:solidFill>
              <a:ln w="9525">
                <a:solidFill>
                  <a:srgbClr val="00B050"/>
                </a:solidFill>
              </a:ln>
              <a:effectLst/>
            </c:spPr>
          </c:marker>
          <c:xVal>
            <c:numRef>
              <c:f>'College Enrollment Projections'!$AI$32:$AI$62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'College Enrollment Projections'!$AO$32:$AO$62</c:f>
              <c:numCache>
                <c:formatCode>#,##0</c:formatCode>
                <c:ptCount val="31"/>
                <c:pt idx="0">
                  <c:v>2000</c:v>
                </c:pt>
                <c:pt idx="1">
                  <c:v>2000</c:v>
                </c:pt>
                <c:pt idx="2">
                  <c:v>2000</c:v>
                </c:pt>
                <c:pt idx="3">
                  <c:v>2000</c:v>
                </c:pt>
                <c:pt idx="4">
                  <c:v>2000</c:v>
                </c:pt>
                <c:pt idx="5">
                  <c:v>2000</c:v>
                </c:pt>
                <c:pt idx="6">
                  <c:v>2000</c:v>
                </c:pt>
                <c:pt idx="7">
                  <c:v>2000</c:v>
                </c:pt>
                <c:pt idx="8">
                  <c:v>2000</c:v>
                </c:pt>
                <c:pt idx="9">
                  <c:v>2000</c:v>
                </c:pt>
                <c:pt idx="10">
                  <c:v>2000</c:v>
                </c:pt>
                <c:pt idx="11">
                  <c:v>2000</c:v>
                </c:pt>
                <c:pt idx="12">
                  <c:v>2000</c:v>
                </c:pt>
                <c:pt idx="13">
                  <c:v>2000</c:v>
                </c:pt>
                <c:pt idx="14">
                  <c:v>2000</c:v>
                </c:pt>
                <c:pt idx="15">
                  <c:v>2000</c:v>
                </c:pt>
                <c:pt idx="16">
                  <c:v>2000</c:v>
                </c:pt>
                <c:pt idx="17">
                  <c:v>2000</c:v>
                </c:pt>
                <c:pt idx="18">
                  <c:v>2000</c:v>
                </c:pt>
                <c:pt idx="19">
                  <c:v>2000</c:v>
                </c:pt>
                <c:pt idx="20">
                  <c:v>2000</c:v>
                </c:pt>
                <c:pt idx="21">
                  <c:v>2000</c:v>
                </c:pt>
                <c:pt idx="22">
                  <c:v>2000</c:v>
                </c:pt>
                <c:pt idx="23">
                  <c:v>2000</c:v>
                </c:pt>
                <c:pt idx="24">
                  <c:v>2000</c:v>
                </c:pt>
                <c:pt idx="25">
                  <c:v>2000</c:v>
                </c:pt>
                <c:pt idx="26">
                  <c:v>2000</c:v>
                </c:pt>
                <c:pt idx="27">
                  <c:v>2000</c:v>
                </c:pt>
                <c:pt idx="28">
                  <c:v>2000</c:v>
                </c:pt>
                <c:pt idx="29">
                  <c:v>2000</c:v>
                </c:pt>
                <c:pt idx="30">
                  <c:v>2000</c:v>
                </c:pt>
              </c:numCache>
            </c:numRef>
          </c:yVal>
          <c:smooth val="0"/>
          <c:extLst>
            <c:ext xmlns:c16="http://schemas.microsoft.com/office/drawing/2014/chart" uri="{C3380CC4-5D6E-409C-BE32-E72D297353CC}">
              <c16:uniqueId val="{00000003-330F-41CF-8E17-74E90AC63C64}"/>
            </c:ext>
          </c:extLst>
        </c:ser>
        <c:dLbls>
          <c:showLegendKey val="0"/>
          <c:showVal val="0"/>
          <c:showCatName val="0"/>
          <c:showSerName val="0"/>
          <c:showPercent val="0"/>
          <c:showBubbleSize val="0"/>
        </c:dLbls>
        <c:axId val="307857215"/>
        <c:axId val="307858879"/>
      </c:scatterChart>
      <c:valAx>
        <c:axId val="307857215"/>
        <c:scaling>
          <c:orientation val="minMax"/>
          <c:max val="205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8879"/>
        <c:crosses val="autoZero"/>
        <c:crossBetween val="midCat"/>
      </c:valAx>
      <c:valAx>
        <c:axId val="307858879"/>
        <c:scaling>
          <c:orientation val="minMax"/>
          <c:max val="7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7215"/>
        <c:crosses val="autoZero"/>
        <c:crossBetween val="midCat"/>
      </c:valAx>
      <c:spPr>
        <a:noFill/>
        <a:ln>
          <a:noFill/>
        </a:ln>
        <a:effectLst/>
      </c:spPr>
    </c:plotArea>
    <c:legend>
      <c:legendPos val="t"/>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Projections'!$AI$18:$AI$33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xVal>
          <c:yVal>
            <c:numRef>
              <c:f>'College Enrollment Projections'!$AP$18:$AP$33</c:f>
              <c:numCache>
                <c:formatCode>#,##0</c:formatCode>
                <c:ptCount val="16"/>
                <c:pt idx="0">
                  <c:v>2479</c:v>
                </c:pt>
                <c:pt idx="1">
                  <c:v>2661</c:v>
                </c:pt>
                <c:pt idx="2">
                  <c:v>2859</c:v>
                </c:pt>
                <c:pt idx="3">
                  <c:v>3037</c:v>
                </c:pt>
                <c:pt idx="4">
                  <c:v>3163</c:v>
                </c:pt>
                <c:pt idx="5">
                  <c:v>3358</c:v>
                </c:pt>
                <c:pt idx="6">
                  <c:v>3301</c:v>
                </c:pt>
                <c:pt idx="7">
                  <c:v>3108</c:v>
                </c:pt>
                <c:pt idx="8">
                  <c:v>2991</c:v>
                </c:pt>
                <c:pt idx="9">
                  <c:v>2821</c:v>
                </c:pt>
                <c:pt idx="10">
                  <c:v>2692</c:v>
                </c:pt>
                <c:pt idx="11">
                  <c:v>2570</c:v>
                </c:pt>
                <c:pt idx="12">
                  <c:v>2477</c:v>
                </c:pt>
                <c:pt idx="13">
                  <c:v>2215</c:v>
                </c:pt>
                <c:pt idx="14">
                  <c:v>1850</c:v>
                </c:pt>
                <c:pt idx="15">
                  <c:v>1535</c:v>
                </c:pt>
              </c:numCache>
            </c:numRef>
          </c:yVal>
          <c:smooth val="0"/>
          <c:extLst>
            <c:ext xmlns:c16="http://schemas.microsoft.com/office/drawing/2014/chart" uri="{C3380CC4-5D6E-409C-BE32-E72D297353CC}">
              <c16:uniqueId val="{00000001-F488-4F6F-B8FC-239954948267}"/>
            </c:ext>
          </c:extLst>
        </c:ser>
        <c:ser>
          <c:idx val="3"/>
          <c:order val="1"/>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Projections'!$AI$24:$AI$33</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xVal>
          <c:yVal>
            <c:numRef>
              <c:f>'College Enrollment Projections'!$AP$24:$AP$33</c:f>
              <c:numCache>
                <c:formatCode>#,##0</c:formatCode>
                <c:ptCount val="10"/>
                <c:pt idx="0">
                  <c:v>3301</c:v>
                </c:pt>
                <c:pt idx="1">
                  <c:v>3108</c:v>
                </c:pt>
                <c:pt idx="2">
                  <c:v>2991</c:v>
                </c:pt>
                <c:pt idx="3">
                  <c:v>2821</c:v>
                </c:pt>
                <c:pt idx="4">
                  <c:v>2692</c:v>
                </c:pt>
                <c:pt idx="5">
                  <c:v>2570</c:v>
                </c:pt>
                <c:pt idx="6">
                  <c:v>2477</c:v>
                </c:pt>
                <c:pt idx="7">
                  <c:v>2215</c:v>
                </c:pt>
                <c:pt idx="8">
                  <c:v>1850</c:v>
                </c:pt>
                <c:pt idx="9">
                  <c:v>1535</c:v>
                </c:pt>
              </c:numCache>
            </c:numRef>
          </c:yVal>
          <c:smooth val="0"/>
          <c:extLst>
            <c:ext xmlns:c16="http://schemas.microsoft.com/office/drawing/2014/chart" uri="{C3380CC4-5D6E-409C-BE32-E72D297353CC}">
              <c16:uniqueId val="{00000005-F488-4F6F-B8FC-239954948267}"/>
            </c:ext>
          </c:extLst>
        </c:ser>
        <c:ser>
          <c:idx val="2"/>
          <c:order val="2"/>
          <c:tx>
            <c:v>2019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Projections'!$AI$63</c:f>
              <c:numCache>
                <c:formatCode>General</c:formatCode>
                <c:ptCount val="1"/>
                <c:pt idx="0">
                  <c:v>2050</c:v>
                </c:pt>
              </c:numCache>
            </c:numRef>
          </c:xVal>
          <c:yVal>
            <c:numRef>
              <c:f>'College Enrollment Projections'!$AP$63</c:f>
              <c:numCache>
                <c:formatCode>#,##0</c:formatCode>
                <c:ptCount val="1"/>
                <c:pt idx="0">
                  <c:v>3500</c:v>
                </c:pt>
              </c:numCache>
            </c:numRef>
          </c:yVal>
          <c:smooth val="0"/>
          <c:extLst>
            <c:ext xmlns:c16="http://schemas.microsoft.com/office/drawing/2014/chart" uri="{C3380CC4-5D6E-409C-BE32-E72D297353CC}">
              <c16:uniqueId val="{00000006-F488-4F6F-B8FC-239954948267}"/>
            </c:ext>
          </c:extLst>
        </c:ser>
        <c:ser>
          <c:idx val="1"/>
          <c:order val="3"/>
          <c:tx>
            <c:v>2024 RTP</c:v>
          </c:tx>
          <c:spPr>
            <a:ln w="25400" cap="rnd">
              <a:noFill/>
              <a:round/>
            </a:ln>
            <a:effectLst/>
          </c:spPr>
          <c:marker>
            <c:symbol val="circle"/>
            <c:size val="5"/>
            <c:spPr>
              <a:solidFill>
                <a:schemeClr val="accent2"/>
              </a:solidFill>
              <a:ln w="9525">
                <a:solidFill>
                  <a:schemeClr val="accent2"/>
                </a:solidFill>
              </a:ln>
              <a:effectLst/>
            </c:spPr>
          </c:marker>
          <c:xVal>
            <c:numRef>
              <c:f>'College Enrollment Projections'!$AI$34:$AI$62</c:f>
              <c:numCache>
                <c:formatCode>General</c:formatCod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numCache>
            </c:numRef>
          </c:xVal>
          <c:yVal>
            <c:numRef>
              <c:f>'College Enrollment Projections'!$AP$34:$AP$62</c:f>
              <c:numCache>
                <c:formatCode>#,##0</c:formatCode>
                <c:ptCount val="29"/>
                <c:pt idx="0">
                  <c:v>2500</c:v>
                </c:pt>
                <c:pt idx="1">
                  <c:v>2500</c:v>
                </c:pt>
                <c:pt idx="2">
                  <c:v>2500</c:v>
                </c:pt>
                <c:pt idx="3">
                  <c:v>2500</c:v>
                </c:pt>
                <c:pt idx="4">
                  <c:v>2500</c:v>
                </c:pt>
                <c:pt idx="5">
                  <c:v>2500</c:v>
                </c:pt>
                <c:pt idx="6">
                  <c:v>2500</c:v>
                </c:pt>
                <c:pt idx="7">
                  <c:v>2500</c:v>
                </c:pt>
                <c:pt idx="8">
                  <c:v>2500</c:v>
                </c:pt>
                <c:pt idx="9">
                  <c:v>2500</c:v>
                </c:pt>
                <c:pt idx="10">
                  <c:v>2500</c:v>
                </c:pt>
                <c:pt idx="11">
                  <c:v>2527.7777777777778</c:v>
                </c:pt>
                <c:pt idx="12">
                  <c:v>2555.5555555555557</c:v>
                </c:pt>
                <c:pt idx="13">
                  <c:v>2583.3333333333335</c:v>
                </c:pt>
                <c:pt idx="14">
                  <c:v>2611.1111111111113</c:v>
                </c:pt>
                <c:pt idx="15">
                  <c:v>2638.8888888888887</c:v>
                </c:pt>
                <c:pt idx="16">
                  <c:v>2666.6666666666665</c:v>
                </c:pt>
                <c:pt idx="17">
                  <c:v>2694.4444444444443</c:v>
                </c:pt>
                <c:pt idx="18">
                  <c:v>2722.2222222222222</c:v>
                </c:pt>
                <c:pt idx="19">
                  <c:v>2750</c:v>
                </c:pt>
                <c:pt idx="20">
                  <c:v>2777.7777777777778</c:v>
                </c:pt>
                <c:pt idx="21">
                  <c:v>2805.5555555555557</c:v>
                </c:pt>
                <c:pt idx="22">
                  <c:v>2833.3333333333335</c:v>
                </c:pt>
                <c:pt idx="23">
                  <c:v>2861.1111111111113</c:v>
                </c:pt>
                <c:pt idx="24">
                  <c:v>2888.8888888888887</c:v>
                </c:pt>
                <c:pt idx="25">
                  <c:v>2916.6666666666665</c:v>
                </c:pt>
                <c:pt idx="26">
                  <c:v>2944.4444444444443</c:v>
                </c:pt>
                <c:pt idx="27">
                  <c:v>2972.2222222222222</c:v>
                </c:pt>
                <c:pt idx="28">
                  <c:v>3000</c:v>
                </c:pt>
              </c:numCache>
            </c:numRef>
          </c:yVal>
          <c:smooth val="0"/>
          <c:extLst>
            <c:ext xmlns:c16="http://schemas.microsoft.com/office/drawing/2014/chart" uri="{C3380CC4-5D6E-409C-BE32-E72D297353CC}">
              <c16:uniqueId val="{00000002-9DD6-48A5-BA59-1EDEEA739F36}"/>
            </c:ext>
          </c:extLst>
        </c:ser>
        <c:dLbls>
          <c:showLegendKey val="0"/>
          <c:showVal val="0"/>
          <c:showCatName val="0"/>
          <c:showSerName val="0"/>
          <c:showPercent val="0"/>
          <c:showBubbleSize val="0"/>
        </c:dLbls>
        <c:axId val="307857215"/>
        <c:axId val="307858879"/>
      </c:scatterChart>
      <c:valAx>
        <c:axId val="307857215"/>
        <c:scaling>
          <c:orientation val="minMax"/>
          <c:max val="205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8879"/>
        <c:crosses val="autoZero"/>
        <c:crossBetween val="midCat"/>
      </c:valAx>
      <c:valAx>
        <c:axId val="307858879"/>
        <c:scaling>
          <c:orientation val="minMax"/>
          <c:max val="4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57215"/>
        <c:crosses val="autoZero"/>
        <c:crossBetween val="midCat"/>
      </c:valAx>
      <c:spPr>
        <a:noFill/>
        <a:ln>
          <a:noFill/>
        </a:ln>
        <a:effectLst/>
      </c:spPr>
    </c:plotArea>
    <c:legend>
      <c:legendPos val="t"/>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190499</xdr:rowOff>
    </xdr:from>
    <xdr:to>
      <xdr:col>13</xdr:col>
      <xdr:colOff>428625</xdr:colOff>
      <xdr:row>27</xdr:row>
      <xdr:rowOff>66674</xdr:rowOff>
    </xdr:to>
    <xdr:graphicFrame macro="">
      <xdr:nvGraphicFramePr>
        <xdr:cNvPr id="5" name="Chart 1">
          <a:extLst>
            <a:ext uri="{FF2B5EF4-FFF2-40B4-BE49-F238E27FC236}">
              <a16:creationId xmlns:a16="http://schemas.microsoft.com/office/drawing/2014/main" id="{C758BB74-C52F-4EAC-94E7-B3D4F20B9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13</xdr:col>
      <xdr:colOff>428625</xdr:colOff>
      <xdr:row>43</xdr:row>
      <xdr:rowOff>19050</xdr:rowOff>
    </xdr:to>
    <xdr:graphicFrame macro="">
      <xdr:nvGraphicFramePr>
        <xdr:cNvPr id="6" name="Chart 5">
          <a:extLst>
            <a:ext uri="{FF2B5EF4-FFF2-40B4-BE49-F238E27FC236}">
              <a16:creationId xmlns:a16="http://schemas.microsoft.com/office/drawing/2014/main" id="{C94BF622-72F0-4EFA-BC03-32D40E0BB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190499</xdr:rowOff>
    </xdr:from>
    <xdr:to>
      <xdr:col>13</xdr:col>
      <xdr:colOff>428625</xdr:colOff>
      <xdr:row>77</xdr:row>
      <xdr:rowOff>173934</xdr:rowOff>
    </xdr:to>
    <xdr:graphicFrame macro="">
      <xdr:nvGraphicFramePr>
        <xdr:cNvPr id="2" name="Chart 1">
          <a:extLst>
            <a:ext uri="{FF2B5EF4-FFF2-40B4-BE49-F238E27FC236}">
              <a16:creationId xmlns:a16="http://schemas.microsoft.com/office/drawing/2014/main" id="{3BBA52D3-63EA-4037-953A-D61CA982A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381000</xdr:colOff>
      <xdr:row>15</xdr:row>
      <xdr:rowOff>76200</xdr:rowOff>
    </xdr:to>
    <xdr:graphicFrame macro="">
      <xdr:nvGraphicFramePr>
        <xdr:cNvPr id="22" name="Chart 21">
          <a:extLst>
            <a:ext uri="{FF2B5EF4-FFF2-40B4-BE49-F238E27FC236}">
              <a16:creationId xmlns:a16="http://schemas.microsoft.com/office/drawing/2014/main" id="{91CBB898-A0E3-4288-BDC2-BBC243FF9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7</xdr:col>
      <xdr:colOff>381000</xdr:colOff>
      <xdr:row>15</xdr:row>
      <xdr:rowOff>76200</xdr:rowOff>
    </xdr:to>
    <xdr:graphicFrame macro="">
      <xdr:nvGraphicFramePr>
        <xdr:cNvPr id="23" name="Chart 22">
          <a:extLst>
            <a:ext uri="{FF2B5EF4-FFF2-40B4-BE49-F238E27FC236}">
              <a16:creationId xmlns:a16="http://schemas.microsoft.com/office/drawing/2014/main" id="{986BAAD4-A38A-44BC-9BB3-A50EF571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7</xdr:col>
      <xdr:colOff>381000</xdr:colOff>
      <xdr:row>31</xdr:row>
      <xdr:rowOff>76200</xdr:rowOff>
    </xdr:to>
    <xdr:graphicFrame macro="">
      <xdr:nvGraphicFramePr>
        <xdr:cNvPr id="24" name="Chart 23">
          <a:extLst>
            <a:ext uri="{FF2B5EF4-FFF2-40B4-BE49-F238E27FC236}">
              <a16:creationId xmlns:a16="http://schemas.microsoft.com/office/drawing/2014/main" id="{C722CC9E-91F6-4CCE-B1CA-D400ED437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17</xdr:row>
      <xdr:rowOff>0</xdr:rowOff>
    </xdr:from>
    <xdr:to>
      <xdr:col>15</xdr:col>
      <xdr:colOff>381000</xdr:colOff>
      <xdr:row>31</xdr:row>
      <xdr:rowOff>76200</xdr:rowOff>
    </xdr:to>
    <xdr:graphicFrame macro="">
      <xdr:nvGraphicFramePr>
        <xdr:cNvPr id="25" name="Chart 24">
          <a:extLst>
            <a:ext uri="{FF2B5EF4-FFF2-40B4-BE49-F238E27FC236}">
              <a16:creationId xmlns:a16="http://schemas.microsoft.com/office/drawing/2014/main" id="{E654136D-6A0F-48C7-956E-AB3F5802E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xdr:row>
      <xdr:rowOff>0</xdr:rowOff>
    </xdr:from>
    <xdr:to>
      <xdr:col>23</xdr:col>
      <xdr:colOff>381000</xdr:colOff>
      <xdr:row>15</xdr:row>
      <xdr:rowOff>76200</xdr:rowOff>
    </xdr:to>
    <xdr:graphicFrame macro="">
      <xdr:nvGraphicFramePr>
        <xdr:cNvPr id="26" name="Chart 25">
          <a:extLst>
            <a:ext uri="{FF2B5EF4-FFF2-40B4-BE49-F238E27FC236}">
              <a16:creationId xmlns:a16="http://schemas.microsoft.com/office/drawing/2014/main" id="{4A8DC08F-17BB-4ABD-BD3A-683405BC9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17</xdr:row>
      <xdr:rowOff>0</xdr:rowOff>
    </xdr:from>
    <xdr:to>
      <xdr:col>23</xdr:col>
      <xdr:colOff>381000</xdr:colOff>
      <xdr:row>31</xdr:row>
      <xdr:rowOff>76200</xdr:rowOff>
    </xdr:to>
    <xdr:graphicFrame macro="">
      <xdr:nvGraphicFramePr>
        <xdr:cNvPr id="27" name="Chart 26">
          <a:extLst>
            <a:ext uri="{FF2B5EF4-FFF2-40B4-BE49-F238E27FC236}">
              <a16:creationId xmlns:a16="http://schemas.microsoft.com/office/drawing/2014/main" id="{EDD82B92-0E97-430E-B1C0-7360767BC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0</xdr:colOff>
      <xdr:row>1</xdr:row>
      <xdr:rowOff>0</xdr:rowOff>
    </xdr:from>
    <xdr:to>
      <xdr:col>31</xdr:col>
      <xdr:colOff>381000</xdr:colOff>
      <xdr:row>15</xdr:row>
      <xdr:rowOff>76200</xdr:rowOff>
    </xdr:to>
    <xdr:graphicFrame macro="">
      <xdr:nvGraphicFramePr>
        <xdr:cNvPr id="28" name="Chart 27">
          <a:extLst>
            <a:ext uri="{FF2B5EF4-FFF2-40B4-BE49-F238E27FC236}">
              <a16:creationId xmlns:a16="http://schemas.microsoft.com/office/drawing/2014/main" id="{BD3D5500-528B-4495-824B-EA310EF93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19</xdr:col>
      <xdr:colOff>389486</xdr:colOff>
      <xdr:row>31</xdr:row>
      <xdr:rowOff>85000</xdr:rowOff>
    </xdr:to>
    <xdr:pic>
      <xdr:nvPicPr>
        <xdr:cNvPr id="3" name="Picture 2">
          <a:extLst>
            <a:ext uri="{FF2B5EF4-FFF2-40B4-BE49-F238E27FC236}">
              <a16:creationId xmlns:a16="http://schemas.microsoft.com/office/drawing/2014/main" id="{47530349-986F-478B-A6D0-1E72A1F89A82}"/>
            </a:ext>
          </a:extLst>
        </xdr:cNvPr>
        <xdr:cNvPicPr>
          <a:picLocks noChangeAspect="1"/>
        </xdr:cNvPicPr>
      </xdr:nvPicPr>
      <xdr:blipFill>
        <a:blip xmlns:r="http://schemas.openxmlformats.org/officeDocument/2006/relationships" r:embed="rId1"/>
        <a:stretch>
          <a:fillRect/>
        </a:stretch>
      </xdr:blipFill>
      <xdr:spPr>
        <a:xfrm>
          <a:off x="3657600" y="190500"/>
          <a:ext cx="8314286" cy="58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17</xdr:row>
      <xdr:rowOff>4763</xdr:rowOff>
    </xdr:from>
    <xdr:to>
      <xdr:col>8</xdr:col>
      <xdr:colOff>398143</xdr:colOff>
      <xdr:row>19</xdr:row>
      <xdr:rowOff>123825</xdr:rowOff>
    </xdr:to>
    <xdr:pic>
      <xdr:nvPicPr>
        <xdr:cNvPr id="2" name="Picture 1">
          <a:extLst>
            <a:ext uri="{FF2B5EF4-FFF2-40B4-BE49-F238E27FC236}">
              <a16:creationId xmlns:a16="http://schemas.microsoft.com/office/drawing/2014/main" id="{4531E8D3-0968-B75F-63E7-FF06CB98CD51}"/>
            </a:ext>
          </a:extLst>
        </xdr:cNvPr>
        <xdr:cNvPicPr>
          <a:picLocks noChangeAspect="1"/>
        </xdr:cNvPicPr>
      </xdr:nvPicPr>
      <xdr:blipFill>
        <a:blip xmlns:r="http://schemas.openxmlformats.org/officeDocument/2006/relationships" r:embed="rId1"/>
        <a:stretch>
          <a:fillRect/>
        </a:stretch>
      </xdr:blipFill>
      <xdr:spPr>
        <a:xfrm>
          <a:off x="0" y="3443288"/>
          <a:ext cx="5579743" cy="481012"/>
        </a:xfrm>
        <a:prstGeom prst="rect">
          <a:avLst/>
        </a:prstGeom>
      </xdr:spPr>
    </xdr:pic>
    <xdr:clientData/>
  </xdr:twoCellAnchor>
  <xdr:twoCellAnchor editAs="oneCell">
    <xdr:from>
      <xdr:col>15</xdr:col>
      <xdr:colOff>1</xdr:colOff>
      <xdr:row>17</xdr:row>
      <xdr:rowOff>1</xdr:rowOff>
    </xdr:from>
    <xdr:to>
      <xdr:col>24</xdr:col>
      <xdr:colOff>285750</xdr:colOff>
      <xdr:row>20</xdr:row>
      <xdr:rowOff>141815</xdr:rowOff>
    </xdr:to>
    <xdr:pic>
      <xdr:nvPicPr>
        <xdr:cNvPr id="5" name="Picture 4">
          <a:extLst>
            <a:ext uri="{FF2B5EF4-FFF2-40B4-BE49-F238E27FC236}">
              <a16:creationId xmlns:a16="http://schemas.microsoft.com/office/drawing/2014/main" id="{8FA0C9D7-0378-F096-6D5D-527CEC9544E7}"/>
            </a:ext>
          </a:extLst>
        </xdr:cNvPr>
        <xdr:cNvPicPr>
          <a:picLocks noChangeAspect="1"/>
        </xdr:cNvPicPr>
      </xdr:nvPicPr>
      <xdr:blipFill>
        <a:blip xmlns:r="http://schemas.openxmlformats.org/officeDocument/2006/relationships" r:embed="rId2"/>
        <a:stretch>
          <a:fillRect/>
        </a:stretch>
      </xdr:blipFill>
      <xdr:spPr>
        <a:xfrm>
          <a:off x="5829301" y="3438526"/>
          <a:ext cx="6115050" cy="6847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534866</xdr:colOff>
      <xdr:row>3</xdr:row>
      <xdr:rowOff>45263</xdr:rowOff>
    </xdr:from>
    <xdr:to>
      <xdr:col>11</xdr:col>
      <xdr:colOff>183173</xdr:colOff>
      <xdr:row>18</xdr:row>
      <xdr:rowOff>77648</xdr:rowOff>
    </xdr:to>
    <xdr:pic>
      <xdr:nvPicPr>
        <xdr:cNvPr id="2" name="Picture 1">
          <a:extLst>
            <a:ext uri="{FF2B5EF4-FFF2-40B4-BE49-F238E27FC236}">
              <a16:creationId xmlns:a16="http://schemas.microsoft.com/office/drawing/2014/main" id="{0781F624-165D-C4E0-0E48-2671E8E54B1B}"/>
            </a:ext>
          </a:extLst>
        </xdr:cNvPr>
        <xdr:cNvPicPr>
          <a:picLocks noChangeAspect="1"/>
        </xdr:cNvPicPr>
      </xdr:nvPicPr>
      <xdr:blipFill>
        <a:blip xmlns:r="http://schemas.openxmlformats.org/officeDocument/2006/relationships" r:embed="rId1"/>
        <a:stretch>
          <a:fillRect/>
        </a:stretch>
      </xdr:blipFill>
      <xdr:spPr>
        <a:xfrm>
          <a:off x="2967404" y="616763"/>
          <a:ext cx="3905250" cy="2889885"/>
        </a:xfrm>
        <a:prstGeom prst="rect">
          <a:avLst/>
        </a:prstGeom>
      </xdr:spPr>
    </xdr:pic>
    <xdr:clientData/>
  </xdr:twoCellAnchor>
  <xdr:twoCellAnchor editAs="oneCell">
    <xdr:from>
      <xdr:col>4</xdr:col>
      <xdr:colOff>500063</xdr:colOff>
      <xdr:row>20</xdr:row>
      <xdr:rowOff>161925</xdr:rowOff>
    </xdr:from>
    <xdr:to>
      <xdr:col>13</xdr:col>
      <xdr:colOff>589451</xdr:colOff>
      <xdr:row>37</xdr:row>
      <xdr:rowOff>151769</xdr:rowOff>
    </xdr:to>
    <xdr:pic>
      <xdr:nvPicPr>
        <xdr:cNvPr id="3" name="Picture 2">
          <a:extLst>
            <a:ext uri="{FF2B5EF4-FFF2-40B4-BE49-F238E27FC236}">
              <a16:creationId xmlns:a16="http://schemas.microsoft.com/office/drawing/2014/main" id="{5A6F2C61-FDAA-4F11-AF09-896FF347EA9E}"/>
            </a:ext>
          </a:extLst>
        </xdr:cNvPr>
        <xdr:cNvPicPr>
          <a:picLocks noChangeAspect="1"/>
        </xdr:cNvPicPr>
      </xdr:nvPicPr>
      <xdr:blipFill>
        <a:blip xmlns:r="http://schemas.openxmlformats.org/officeDocument/2006/relationships" r:embed="rId2"/>
        <a:stretch>
          <a:fillRect/>
        </a:stretch>
      </xdr:blipFill>
      <xdr:spPr>
        <a:xfrm>
          <a:off x="3109913" y="3781425"/>
          <a:ext cx="5961551" cy="3066419"/>
        </a:xfrm>
        <a:prstGeom prst="rect">
          <a:avLst/>
        </a:prstGeom>
      </xdr:spPr>
    </xdr:pic>
    <xdr:clientData/>
  </xdr:twoCellAnchor>
  <xdr:twoCellAnchor editAs="oneCell">
    <xdr:from>
      <xdr:col>13</xdr:col>
      <xdr:colOff>0</xdr:colOff>
      <xdr:row>3</xdr:row>
      <xdr:rowOff>0</xdr:rowOff>
    </xdr:from>
    <xdr:to>
      <xdr:col>19</xdr:col>
      <xdr:colOff>593670</xdr:colOff>
      <xdr:row>13</xdr:row>
      <xdr:rowOff>142874</xdr:rowOff>
    </xdr:to>
    <xdr:pic>
      <xdr:nvPicPr>
        <xdr:cNvPr id="4" name="Picture 3">
          <a:extLst>
            <a:ext uri="{FF2B5EF4-FFF2-40B4-BE49-F238E27FC236}">
              <a16:creationId xmlns:a16="http://schemas.microsoft.com/office/drawing/2014/main" id="{A88477F1-82C0-4588-9DC9-0A2ACFCF53A5}"/>
            </a:ext>
          </a:extLst>
        </xdr:cNvPr>
        <xdr:cNvPicPr>
          <a:picLocks noChangeAspect="1"/>
        </xdr:cNvPicPr>
      </xdr:nvPicPr>
      <xdr:blipFill>
        <a:blip xmlns:r="http://schemas.openxmlformats.org/officeDocument/2006/relationships" r:embed="rId3"/>
        <a:stretch>
          <a:fillRect/>
        </a:stretch>
      </xdr:blipFill>
      <xdr:spPr>
        <a:xfrm>
          <a:off x="7905750" y="571500"/>
          <a:ext cx="4242478" cy="20478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17</xdr:col>
      <xdr:colOff>75124</xdr:colOff>
      <xdr:row>13</xdr:row>
      <xdr:rowOff>18762</xdr:rowOff>
    </xdr:to>
    <xdr:pic>
      <xdr:nvPicPr>
        <xdr:cNvPr id="2" name="Picture 1">
          <a:extLst>
            <a:ext uri="{FF2B5EF4-FFF2-40B4-BE49-F238E27FC236}">
              <a16:creationId xmlns:a16="http://schemas.microsoft.com/office/drawing/2014/main" id="{1669A7C5-91D1-386D-B34B-63981ED3867C}"/>
            </a:ext>
          </a:extLst>
        </xdr:cNvPr>
        <xdr:cNvPicPr>
          <a:picLocks noChangeAspect="1"/>
        </xdr:cNvPicPr>
      </xdr:nvPicPr>
      <xdr:blipFill>
        <a:blip xmlns:r="http://schemas.openxmlformats.org/officeDocument/2006/relationships" r:embed="rId1"/>
        <a:stretch>
          <a:fillRect/>
        </a:stretch>
      </xdr:blipFill>
      <xdr:spPr>
        <a:xfrm>
          <a:off x="2438400" y="190500"/>
          <a:ext cx="8609524" cy="2304762"/>
        </a:xfrm>
        <a:prstGeom prst="rect">
          <a:avLst/>
        </a:prstGeom>
      </xdr:spPr>
    </xdr:pic>
    <xdr:clientData/>
  </xdr:twoCellAnchor>
  <xdr:twoCellAnchor editAs="oneCell">
    <xdr:from>
      <xdr:col>3</xdr:col>
      <xdr:colOff>0</xdr:colOff>
      <xdr:row>14</xdr:row>
      <xdr:rowOff>0</xdr:rowOff>
    </xdr:from>
    <xdr:to>
      <xdr:col>17</xdr:col>
      <xdr:colOff>56076</xdr:colOff>
      <xdr:row>26</xdr:row>
      <xdr:rowOff>66381</xdr:rowOff>
    </xdr:to>
    <xdr:pic>
      <xdr:nvPicPr>
        <xdr:cNvPr id="3" name="Picture 2">
          <a:extLst>
            <a:ext uri="{FF2B5EF4-FFF2-40B4-BE49-F238E27FC236}">
              <a16:creationId xmlns:a16="http://schemas.microsoft.com/office/drawing/2014/main" id="{C8870E41-0605-E35C-E6EA-37BDB88F8961}"/>
            </a:ext>
          </a:extLst>
        </xdr:cNvPr>
        <xdr:cNvPicPr>
          <a:picLocks noChangeAspect="1"/>
        </xdr:cNvPicPr>
      </xdr:nvPicPr>
      <xdr:blipFill>
        <a:blip xmlns:r="http://schemas.openxmlformats.org/officeDocument/2006/relationships" r:embed="rId2"/>
        <a:stretch>
          <a:fillRect/>
        </a:stretch>
      </xdr:blipFill>
      <xdr:spPr>
        <a:xfrm>
          <a:off x="2438400" y="2667000"/>
          <a:ext cx="8590476" cy="2352381"/>
        </a:xfrm>
        <a:prstGeom prst="rect">
          <a:avLst/>
        </a:prstGeom>
      </xdr:spPr>
    </xdr:pic>
    <xdr:clientData/>
  </xdr:twoCellAnchor>
  <xdr:twoCellAnchor editAs="oneCell">
    <xdr:from>
      <xdr:col>3</xdr:col>
      <xdr:colOff>0</xdr:colOff>
      <xdr:row>27</xdr:row>
      <xdr:rowOff>0</xdr:rowOff>
    </xdr:from>
    <xdr:to>
      <xdr:col>17</xdr:col>
      <xdr:colOff>37028</xdr:colOff>
      <xdr:row>39</xdr:row>
      <xdr:rowOff>18762</xdr:rowOff>
    </xdr:to>
    <xdr:pic>
      <xdr:nvPicPr>
        <xdr:cNvPr id="6" name="Picture 5">
          <a:extLst>
            <a:ext uri="{FF2B5EF4-FFF2-40B4-BE49-F238E27FC236}">
              <a16:creationId xmlns:a16="http://schemas.microsoft.com/office/drawing/2014/main" id="{98490862-385D-1115-23E8-5ED696D2B097}"/>
            </a:ext>
          </a:extLst>
        </xdr:cNvPr>
        <xdr:cNvPicPr>
          <a:picLocks noChangeAspect="1"/>
        </xdr:cNvPicPr>
      </xdr:nvPicPr>
      <xdr:blipFill>
        <a:blip xmlns:r="http://schemas.openxmlformats.org/officeDocument/2006/relationships" r:embed="rId3"/>
        <a:stretch>
          <a:fillRect/>
        </a:stretch>
      </xdr:blipFill>
      <xdr:spPr>
        <a:xfrm>
          <a:off x="1943100" y="5143500"/>
          <a:ext cx="8571428" cy="2304762"/>
        </a:xfrm>
        <a:prstGeom prst="rect">
          <a:avLst/>
        </a:prstGeom>
      </xdr:spPr>
    </xdr:pic>
    <xdr:clientData/>
  </xdr:twoCellAnchor>
  <xdr:twoCellAnchor editAs="oneCell">
    <xdr:from>
      <xdr:col>3</xdr:col>
      <xdr:colOff>0</xdr:colOff>
      <xdr:row>40</xdr:row>
      <xdr:rowOff>0</xdr:rowOff>
    </xdr:from>
    <xdr:to>
      <xdr:col>17</xdr:col>
      <xdr:colOff>56076</xdr:colOff>
      <xdr:row>52</xdr:row>
      <xdr:rowOff>37809</xdr:rowOff>
    </xdr:to>
    <xdr:pic>
      <xdr:nvPicPr>
        <xdr:cNvPr id="7" name="Picture 6">
          <a:extLst>
            <a:ext uri="{FF2B5EF4-FFF2-40B4-BE49-F238E27FC236}">
              <a16:creationId xmlns:a16="http://schemas.microsoft.com/office/drawing/2014/main" id="{34C79F7D-5658-8BC3-7BC4-72F2AA87B54A}"/>
            </a:ext>
          </a:extLst>
        </xdr:cNvPr>
        <xdr:cNvPicPr>
          <a:picLocks noChangeAspect="1"/>
        </xdr:cNvPicPr>
      </xdr:nvPicPr>
      <xdr:blipFill>
        <a:blip xmlns:r="http://schemas.openxmlformats.org/officeDocument/2006/relationships" r:embed="rId4"/>
        <a:stretch>
          <a:fillRect/>
        </a:stretch>
      </xdr:blipFill>
      <xdr:spPr>
        <a:xfrm>
          <a:off x="1943100" y="7620000"/>
          <a:ext cx="8590476" cy="2323809"/>
        </a:xfrm>
        <a:prstGeom prst="rect">
          <a:avLst/>
        </a:prstGeom>
      </xdr:spPr>
    </xdr:pic>
    <xdr:clientData/>
  </xdr:twoCellAnchor>
  <xdr:twoCellAnchor editAs="oneCell">
    <xdr:from>
      <xdr:col>3</xdr:col>
      <xdr:colOff>0</xdr:colOff>
      <xdr:row>53</xdr:row>
      <xdr:rowOff>0</xdr:rowOff>
    </xdr:from>
    <xdr:to>
      <xdr:col>17</xdr:col>
      <xdr:colOff>46552</xdr:colOff>
      <xdr:row>65</xdr:row>
      <xdr:rowOff>9238</xdr:rowOff>
    </xdr:to>
    <xdr:pic>
      <xdr:nvPicPr>
        <xdr:cNvPr id="8" name="Picture 7">
          <a:extLst>
            <a:ext uri="{FF2B5EF4-FFF2-40B4-BE49-F238E27FC236}">
              <a16:creationId xmlns:a16="http://schemas.microsoft.com/office/drawing/2014/main" id="{FF116E29-9E89-1CF2-8D49-C419987E21F5}"/>
            </a:ext>
          </a:extLst>
        </xdr:cNvPr>
        <xdr:cNvPicPr>
          <a:picLocks noChangeAspect="1"/>
        </xdr:cNvPicPr>
      </xdr:nvPicPr>
      <xdr:blipFill>
        <a:blip xmlns:r="http://schemas.openxmlformats.org/officeDocument/2006/relationships" r:embed="rId5"/>
        <a:stretch>
          <a:fillRect/>
        </a:stretch>
      </xdr:blipFill>
      <xdr:spPr>
        <a:xfrm>
          <a:off x="1943100" y="10096500"/>
          <a:ext cx="8580952" cy="2295238"/>
        </a:xfrm>
        <a:prstGeom prst="rect">
          <a:avLst/>
        </a:prstGeom>
      </xdr:spPr>
    </xdr:pic>
    <xdr:clientData/>
  </xdr:twoCellAnchor>
  <xdr:twoCellAnchor editAs="oneCell">
    <xdr:from>
      <xdr:col>3</xdr:col>
      <xdr:colOff>0</xdr:colOff>
      <xdr:row>66</xdr:row>
      <xdr:rowOff>0</xdr:rowOff>
    </xdr:from>
    <xdr:to>
      <xdr:col>17</xdr:col>
      <xdr:colOff>17981</xdr:colOff>
      <xdr:row>77</xdr:row>
      <xdr:rowOff>190214</xdr:rowOff>
    </xdr:to>
    <xdr:pic>
      <xdr:nvPicPr>
        <xdr:cNvPr id="9" name="Picture 8">
          <a:extLst>
            <a:ext uri="{FF2B5EF4-FFF2-40B4-BE49-F238E27FC236}">
              <a16:creationId xmlns:a16="http://schemas.microsoft.com/office/drawing/2014/main" id="{00A210A5-1DBD-D610-610B-69C854F5301C}"/>
            </a:ext>
          </a:extLst>
        </xdr:cNvPr>
        <xdr:cNvPicPr>
          <a:picLocks noChangeAspect="1"/>
        </xdr:cNvPicPr>
      </xdr:nvPicPr>
      <xdr:blipFill>
        <a:blip xmlns:r="http://schemas.openxmlformats.org/officeDocument/2006/relationships" r:embed="rId6"/>
        <a:stretch>
          <a:fillRect/>
        </a:stretch>
      </xdr:blipFill>
      <xdr:spPr>
        <a:xfrm>
          <a:off x="1943100" y="12573000"/>
          <a:ext cx="8552381" cy="22857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ushe.edu/wp-content/uploads/pdf/databook/2020/2020_full_databook.pdf" TargetMode="External"/><Relationship Id="rId1" Type="http://schemas.openxmlformats.org/officeDocument/2006/relationships/hyperlink" Target="https://ushe.edu/data/"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he.edu/institutional-data-resources-fte/" TargetMode="External"/><Relationship Id="rId7" Type="http://schemas.openxmlformats.org/officeDocument/2006/relationships/drawing" Target="../drawings/drawing4.xml"/><Relationship Id="rId2" Type="http://schemas.openxmlformats.org/officeDocument/2006/relationships/hyperlink" Target="https://ushe.edu/institutional-data-resources/" TargetMode="External"/><Relationship Id="rId1" Type="http://schemas.openxmlformats.org/officeDocument/2006/relationships/hyperlink" Target="https://ushe.edu/institutional-data-resources-headcount/" TargetMode="External"/><Relationship Id="rId6" Type="http://schemas.openxmlformats.org/officeDocument/2006/relationships/printerSettings" Target="../printerSettings/printerSettings6.bin"/><Relationship Id="rId5" Type="http://schemas.openxmlformats.org/officeDocument/2006/relationships/hyperlink" Target="https://ushe.edu/wp-content/uploads/pdf/databook/2021/2021_databook.pdf" TargetMode="External"/><Relationship Id="rId4" Type="http://schemas.openxmlformats.org/officeDocument/2006/relationships/hyperlink" Target="https://ushe.edu/data/"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estminstercollege.edu/about/" TargetMode="External"/><Relationship Id="rId1" Type="http://schemas.openxmlformats.org/officeDocument/2006/relationships/hyperlink" Target="https://westminstercollege.edu/about/institutional-research/common-data-set.html" TargetMode="External"/><Relationship Id="rId4"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ensign.edu/institutional-research"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1170A-4702-4069-ADFC-AF270F66C1CC}">
  <sheetPr>
    <tabColor rgb="FFFF0000"/>
  </sheetPr>
  <dimension ref="A1:U62"/>
  <sheetViews>
    <sheetView topLeftCell="A28" zoomScale="80" zoomScaleNormal="80" workbookViewId="0">
      <selection activeCell="H35" sqref="H35"/>
    </sheetView>
  </sheetViews>
  <sheetFormatPr defaultColWidth="9" defaultRowHeight="15" x14ac:dyDescent="0.25"/>
  <cols>
    <col min="1" max="15" width="12.140625" style="7" customWidth="1"/>
    <col min="16" max="21" width="9" style="7"/>
    <col min="22" max="16384" width="9" style="2"/>
  </cols>
  <sheetData>
    <row r="1" spans="1:15" x14ac:dyDescent="0.25">
      <c r="A1" s="3" t="s">
        <v>112</v>
      </c>
      <c r="B1" s="3" t="s">
        <v>15</v>
      </c>
      <c r="C1" s="3" t="s">
        <v>16</v>
      </c>
      <c r="D1" s="3" t="s">
        <v>52</v>
      </c>
      <c r="E1" s="3" t="s">
        <v>53</v>
      </c>
      <c r="F1" s="3" t="s">
        <v>54</v>
      </c>
      <c r="G1" s="3" t="s">
        <v>55</v>
      </c>
      <c r="H1" s="3" t="s">
        <v>100</v>
      </c>
      <c r="I1" s="3" t="s">
        <v>101</v>
      </c>
      <c r="J1" s="3" t="s">
        <v>121</v>
      </c>
      <c r="K1" s="3" t="s">
        <v>122</v>
      </c>
      <c r="L1" s="3" t="s">
        <v>123</v>
      </c>
      <c r="M1" s="3" t="s">
        <v>107</v>
      </c>
      <c r="N1" s="3" t="s">
        <v>106</v>
      </c>
      <c r="O1" s="3" t="s">
        <v>17</v>
      </c>
    </row>
    <row r="2" spans="1:15" x14ac:dyDescent="0.25">
      <c r="A2" s="3">
        <v>1990</v>
      </c>
      <c r="B2" s="34">
        <f>INDEX('Campus Enrol Disaggregation'!$P$5:$AC$65,MATCH(Export_ControlTot!$A2,'Campus Enrol Disaggregation'!$O$5:$O$65,0),MATCH(B$1,'Campus Enrol Disaggregation'!$P$4:$AC$4,0))</f>
        <v>30450</v>
      </c>
      <c r="C2" s="34">
        <f>INDEX('Campus Enrol Disaggregation'!$P$5:$AC$65,MATCH(Export_ControlTot!$A2,'Campus Enrol Disaggregation'!$O$5:$O$65,0),MATCH(C$1,'Campus Enrol Disaggregation'!$P$4:$AC$4,0))</f>
        <v>0</v>
      </c>
      <c r="D2" s="34">
        <f>INDEX('Campus Enrol Disaggregation'!$P$5:$AC$65,MATCH(Export_ControlTot!$A2,'Campus Enrol Disaggregation'!$O$5:$O$65,0),MATCH(D$1,'Campus Enrol Disaggregation'!$P$4:$AC$4,0))</f>
        <v>7050</v>
      </c>
      <c r="E2" s="34">
        <f>INDEX('Campus Enrol Disaggregation'!$P$5:$AC$65,MATCH(Export_ControlTot!$A2,'Campus Enrol Disaggregation'!$O$5:$O$65,0),MATCH(E$1,'Campus Enrol Disaggregation'!$P$4:$AC$4,0))</f>
        <v>2450</v>
      </c>
      <c r="F2" s="34">
        <f>INDEX('Campus Enrol Disaggregation'!$P$5:$AC$65,MATCH(Export_ControlTot!$A2,'Campus Enrol Disaggregation'!$O$5:$O$65,0),MATCH(F$1,'Campus Enrol Disaggregation'!$P$4:$AC$4,0))</f>
        <v>600</v>
      </c>
      <c r="G2" s="34">
        <f>INDEX('Campus Enrol Disaggregation'!$P$5:$AC$65,MATCH(Export_ControlTot!$A2,'Campus Enrol Disaggregation'!$O$5:$O$65,0),MATCH(G$1,'Campus Enrol Disaggregation'!$P$4:$AC$4,0))</f>
        <v>2200</v>
      </c>
      <c r="H2" s="34">
        <f>INDEX('Campus Enrol Disaggregation'!$P$5:$AC$65,MATCH(Export_ControlTot!$A2,'Campus Enrol Disaggregation'!$O$5:$O$65,0),MATCH(H$1,'Campus Enrol Disaggregation'!$P$4:$AC$4,0))</f>
        <v>23650</v>
      </c>
      <c r="I2" s="34">
        <f>INDEX('Campus Enrol Disaggregation'!$P$5:$AC$65,MATCH(Export_ControlTot!$A2,'Campus Enrol Disaggregation'!$O$5:$O$65,0),MATCH(I$1,'Campus Enrol Disaggregation'!$P$4:$AC$4,0))</f>
        <v>7900</v>
      </c>
      <c r="J2" s="34">
        <f>INDEX('Campus Enrol Disaggregation'!$P$5:$AC$65,MATCH(Export_ControlTot!$A2,'Campus Enrol Disaggregation'!$O$5:$O$65,0),MATCH(J$1,'Campus Enrol Disaggregation'!$P$4:$AC$4,0))</f>
        <v>0</v>
      </c>
      <c r="K2" s="34">
        <f>INDEX('Campus Enrol Disaggregation'!$P$5:$AC$65,MATCH(Export_ControlTot!$A2,'Campus Enrol Disaggregation'!$O$5:$O$65,0),MATCH(K$1,'Campus Enrol Disaggregation'!$P$4:$AC$4,0))</f>
        <v>0</v>
      </c>
      <c r="L2" s="34">
        <f>INDEX('Campus Enrol Disaggregation'!$P$5:$AC$65,MATCH(Export_ControlTot!$A2,'Campus Enrol Disaggregation'!$O$5:$O$65,0),MATCH(L$1,'Campus Enrol Disaggregation'!$P$4:$AC$4,0))</f>
        <v>0</v>
      </c>
      <c r="M2" s="34">
        <f>INDEX('Campus Enrol Disaggregation'!$P$5:$AC$65,MATCH(Export_ControlTot!$A2,'Campus Enrol Disaggregation'!$O$5:$O$65,0),MATCH(M$1,'Campus Enrol Disaggregation'!$P$4:$AC$4,0))</f>
        <v>10100</v>
      </c>
      <c r="N2" s="34">
        <f>INDEX('Campus Enrol Disaggregation'!$P$5:$AC$65,MATCH(Export_ControlTot!$A2,'Campus Enrol Disaggregation'!$O$5:$O$65,0),MATCH(N$1,'Campus Enrol Disaggregation'!$P$4:$AC$4,0))</f>
        <v>2650</v>
      </c>
      <c r="O2" s="34">
        <f>INDEX('Campus Enrol Disaggregation'!$P$5:$AC$65,MATCH(Export_ControlTot!$A2,'Campus Enrol Disaggregation'!$O$5:$O$65,0),MATCH(O$1,'Campus Enrol Disaggregation'!$P$4:$AC$4,0))</f>
        <v>0</v>
      </c>
    </row>
    <row r="3" spans="1:15" x14ac:dyDescent="0.25">
      <c r="A3" s="3">
        <v>1991</v>
      </c>
      <c r="B3" s="34">
        <f>INDEX('Campus Enrol Disaggregation'!$P$5:$AC$65,MATCH(Export_ControlTot!$A3,'Campus Enrol Disaggregation'!$O$5:$O$65,0),MATCH(B$1,'Campus Enrol Disaggregation'!$P$4:$AC$4,0))</f>
        <v>31100</v>
      </c>
      <c r="C3" s="34">
        <f>INDEX('Campus Enrol Disaggregation'!$P$5:$AC$65,MATCH(Export_ControlTot!$A3,'Campus Enrol Disaggregation'!$O$5:$O$65,0),MATCH(C$1,'Campus Enrol Disaggregation'!$P$4:$AC$4,0))</f>
        <v>0</v>
      </c>
      <c r="D3" s="34">
        <f>INDEX('Campus Enrol Disaggregation'!$P$5:$AC$65,MATCH(Export_ControlTot!$A3,'Campus Enrol Disaggregation'!$O$5:$O$65,0),MATCH(D$1,'Campus Enrol Disaggregation'!$P$4:$AC$4,0))</f>
        <v>8450</v>
      </c>
      <c r="E3" s="34">
        <f>INDEX('Campus Enrol Disaggregation'!$P$5:$AC$65,MATCH(Export_ControlTot!$A3,'Campus Enrol Disaggregation'!$O$5:$O$65,0),MATCH(E$1,'Campus Enrol Disaggregation'!$P$4:$AC$4,0))</f>
        <v>2950</v>
      </c>
      <c r="F3" s="34">
        <f>INDEX('Campus Enrol Disaggregation'!$P$5:$AC$65,MATCH(Export_ControlTot!$A3,'Campus Enrol Disaggregation'!$O$5:$O$65,0),MATCH(F$1,'Campus Enrol Disaggregation'!$P$4:$AC$4,0))</f>
        <v>750</v>
      </c>
      <c r="G3" s="34">
        <f>INDEX('Campus Enrol Disaggregation'!$P$5:$AC$65,MATCH(Export_ControlTot!$A3,'Campus Enrol Disaggregation'!$O$5:$O$65,0),MATCH(G$1,'Campus Enrol Disaggregation'!$P$4:$AC$4,0))</f>
        <v>2600</v>
      </c>
      <c r="H3" s="34">
        <f>INDEX('Campus Enrol Disaggregation'!$P$5:$AC$65,MATCH(Export_ControlTot!$A3,'Campus Enrol Disaggregation'!$O$5:$O$65,0),MATCH(H$1,'Campus Enrol Disaggregation'!$P$4:$AC$4,0))</f>
        <v>24900</v>
      </c>
      <c r="I3" s="34">
        <f>INDEX('Campus Enrol Disaggregation'!$P$5:$AC$65,MATCH(Export_ControlTot!$A3,'Campus Enrol Disaggregation'!$O$5:$O$65,0),MATCH(I$1,'Campus Enrol Disaggregation'!$P$4:$AC$4,0))</f>
        <v>8800</v>
      </c>
      <c r="J3" s="34">
        <f>INDEX('Campus Enrol Disaggregation'!$P$5:$AC$65,MATCH(Export_ControlTot!$A3,'Campus Enrol Disaggregation'!$O$5:$O$65,0),MATCH(J$1,'Campus Enrol Disaggregation'!$P$4:$AC$4,0))</f>
        <v>0</v>
      </c>
      <c r="K3" s="34">
        <f>INDEX('Campus Enrol Disaggregation'!$P$5:$AC$65,MATCH(Export_ControlTot!$A3,'Campus Enrol Disaggregation'!$O$5:$O$65,0),MATCH(K$1,'Campus Enrol Disaggregation'!$P$4:$AC$4,0))</f>
        <v>0</v>
      </c>
      <c r="L3" s="34">
        <f>INDEX('Campus Enrol Disaggregation'!$P$5:$AC$65,MATCH(Export_ControlTot!$A3,'Campus Enrol Disaggregation'!$O$5:$O$65,0),MATCH(L$1,'Campus Enrol Disaggregation'!$P$4:$AC$4,0))</f>
        <v>0</v>
      </c>
      <c r="M3" s="34">
        <f>INDEX('Campus Enrol Disaggregation'!$P$5:$AC$65,MATCH(Export_ControlTot!$A3,'Campus Enrol Disaggregation'!$O$5:$O$65,0),MATCH(M$1,'Campus Enrol Disaggregation'!$P$4:$AC$4,0))</f>
        <v>10900</v>
      </c>
      <c r="N3" s="34">
        <f>INDEX('Campus Enrol Disaggregation'!$P$5:$AC$65,MATCH(Export_ControlTot!$A3,'Campus Enrol Disaggregation'!$O$5:$O$65,0),MATCH(N$1,'Campus Enrol Disaggregation'!$P$4:$AC$4,0))</f>
        <v>2850</v>
      </c>
      <c r="O3" s="34">
        <f>INDEX('Campus Enrol Disaggregation'!$P$5:$AC$65,MATCH(Export_ControlTot!$A3,'Campus Enrol Disaggregation'!$O$5:$O$65,0),MATCH(O$1,'Campus Enrol Disaggregation'!$P$4:$AC$4,0))</f>
        <v>0</v>
      </c>
    </row>
    <row r="4" spans="1:15" x14ac:dyDescent="0.25">
      <c r="A4" s="3">
        <v>1992</v>
      </c>
      <c r="B4" s="34">
        <f>INDEX('Campus Enrol Disaggregation'!$P$5:$AC$65,MATCH(Export_ControlTot!$A4,'Campus Enrol Disaggregation'!$O$5:$O$65,0),MATCH(B$1,'Campus Enrol Disaggregation'!$P$4:$AC$4,0))</f>
        <v>31100</v>
      </c>
      <c r="C4" s="34">
        <f>INDEX('Campus Enrol Disaggregation'!$P$5:$AC$65,MATCH(Export_ControlTot!$A4,'Campus Enrol Disaggregation'!$O$5:$O$65,0),MATCH(C$1,'Campus Enrol Disaggregation'!$P$4:$AC$4,0))</f>
        <v>0</v>
      </c>
      <c r="D4" s="34">
        <f>INDEX('Campus Enrol Disaggregation'!$P$5:$AC$65,MATCH(Export_ControlTot!$A4,'Campus Enrol Disaggregation'!$O$5:$O$65,0),MATCH(D$1,'Campus Enrol Disaggregation'!$P$4:$AC$4,0))</f>
        <v>9400</v>
      </c>
      <c r="E4" s="34">
        <f>INDEX('Campus Enrol Disaggregation'!$P$5:$AC$65,MATCH(Export_ControlTot!$A4,'Campus Enrol Disaggregation'!$O$5:$O$65,0),MATCH(E$1,'Campus Enrol Disaggregation'!$P$4:$AC$4,0))</f>
        <v>3300</v>
      </c>
      <c r="F4" s="34">
        <f>INDEX('Campus Enrol Disaggregation'!$P$5:$AC$65,MATCH(Export_ControlTot!$A4,'Campus Enrol Disaggregation'!$O$5:$O$65,0),MATCH(F$1,'Campus Enrol Disaggregation'!$P$4:$AC$4,0))</f>
        <v>800</v>
      </c>
      <c r="G4" s="34">
        <f>INDEX('Campus Enrol Disaggregation'!$P$5:$AC$65,MATCH(Export_ControlTot!$A4,'Campus Enrol Disaggregation'!$O$5:$O$65,0),MATCH(G$1,'Campus Enrol Disaggregation'!$P$4:$AC$4,0))</f>
        <v>2900</v>
      </c>
      <c r="H4" s="34">
        <f>INDEX('Campus Enrol Disaggregation'!$P$5:$AC$65,MATCH(Export_ControlTot!$A4,'Campus Enrol Disaggregation'!$O$5:$O$65,0),MATCH(H$1,'Campus Enrol Disaggregation'!$P$4:$AC$4,0))</f>
        <v>25200</v>
      </c>
      <c r="I4" s="34">
        <f>INDEX('Campus Enrol Disaggregation'!$P$5:$AC$65,MATCH(Export_ControlTot!$A4,'Campus Enrol Disaggregation'!$O$5:$O$65,0),MATCH(I$1,'Campus Enrol Disaggregation'!$P$4:$AC$4,0))</f>
        <v>9600</v>
      </c>
      <c r="J4" s="34">
        <f>INDEX('Campus Enrol Disaggregation'!$P$5:$AC$65,MATCH(Export_ControlTot!$A4,'Campus Enrol Disaggregation'!$O$5:$O$65,0),MATCH(J$1,'Campus Enrol Disaggregation'!$P$4:$AC$4,0))</f>
        <v>0</v>
      </c>
      <c r="K4" s="34">
        <f>INDEX('Campus Enrol Disaggregation'!$P$5:$AC$65,MATCH(Export_ControlTot!$A4,'Campus Enrol Disaggregation'!$O$5:$O$65,0),MATCH(K$1,'Campus Enrol Disaggregation'!$P$4:$AC$4,0))</f>
        <v>0</v>
      </c>
      <c r="L4" s="34">
        <f>INDEX('Campus Enrol Disaggregation'!$P$5:$AC$65,MATCH(Export_ControlTot!$A4,'Campus Enrol Disaggregation'!$O$5:$O$65,0),MATCH(L$1,'Campus Enrol Disaggregation'!$P$4:$AC$4,0))</f>
        <v>0</v>
      </c>
      <c r="M4" s="34">
        <f>INDEX('Campus Enrol Disaggregation'!$P$5:$AC$65,MATCH(Export_ControlTot!$A4,'Campus Enrol Disaggregation'!$O$5:$O$65,0),MATCH(M$1,'Campus Enrol Disaggregation'!$P$4:$AC$4,0))</f>
        <v>11250</v>
      </c>
      <c r="N4" s="34">
        <f>INDEX('Campus Enrol Disaggregation'!$P$5:$AC$65,MATCH(Export_ControlTot!$A4,'Campus Enrol Disaggregation'!$O$5:$O$65,0),MATCH(N$1,'Campus Enrol Disaggregation'!$P$4:$AC$4,0))</f>
        <v>2950</v>
      </c>
      <c r="O4" s="34">
        <f>INDEX('Campus Enrol Disaggregation'!$P$5:$AC$65,MATCH(Export_ControlTot!$A4,'Campus Enrol Disaggregation'!$O$5:$O$65,0),MATCH(O$1,'Campus Enrol Disaggregation'!$P$4:$AC$4,0))</f>
        <v>0</v>
      </c>
    </row>
    <row r="5" spans="1:15" x14ac:dyDescent="0.25">
      <c r="A5" s="3">
        <v>1993</v>
      </c>
      <c r="B5" s="34">
        <f>INDEX('Campus Enrol Disaggregation'!$P$5:$AC$65,MATCH(Export_ControlTot!$A5,'Campus Enrol Disaggregation'!$O$5:$O$65,0),MATCH(B$1,'Campus Enrol Disaggregation'!$P$4:$AC$4,0))</f>
        <v>30550</v>
      </c>
      <c r="C5" s="34">
        <f>INDEX('Campus Enrol Disaggregation'!$P$5:$AC$65,MATCH(Export_ControlTot!$A5,'Campus Enrol Disaggregation'!$O$5:$O$65,0),MATCH(C$1,'Campus Enrol Disaggregation'!$P$4:$AC$4,0))</f>
        <v>0</v>
      </c>
      <c r="D5" s="34">
        <f>INDEX('Campus Enrol Disaggregation'!$P$5:$AC$65,MATCH(Export_ControlTot!$A5,'Campus Enrol Disaggregation'!$O$5:$O$65,0),MATCH(D$1,'Campus Enrol Disaggregation'!$P$4:$AC$4,0))</f>
        <v>9650</v>
      </c>
      <c r="E5" s="34">
        <f>INDEX('Campus Enrol Disaggregation'!$P$5:$AC$65,MATCH(Export_ControlTot!$A5,'Campus Enrol Disaggregation'!$O$5:$O$65,0),MATCH(E$1,'Campus Enrol Disaggregation'!$P$4:$AC$4,0))</f>
        <v>3400</v>
      </c>
      <c r="F5" s="34">
        <f>INDEX('Campus Enrol Disaggregation'!$P$5:$AC$65,MATCH(Export_ControlTot!$A5,'Campus Enrol Disaggregation'!$O$5:$O$65,0),MATCH(F$1,'Campus Enrol Disaggregation'!$P$4:$AC$4,0))</f>
        <v>850</v>
      </c>
      <c r="G5" s="34">
        <f>INDEX('Campus Enrol Disaggregation'!$P$5:$AC$65,MATCH(Export_ControlTot!$A5,'Campus Enrol Disaggregation'!$O$5:$O$65,0),MATCH(G$1,'Campus Enrol Disaggregation'!$P$4:$AC$4,0))</f>
        <v>3000</v>
      </c>
      <c r="H5" s="34">
        <f>INDEX('Campus Enrol Disaggregation'!$P$5:$AC$65,MATCH(Export_ControlTot!$A5,'Campus Enrol Disaggregation'!$O$5:$O$65,0),MATCH(H$1,'Campus Enrol Disaggregation'!$P$4:$AC$4,0))</f>
        <v>25300</v>
      </c>
      <c r="I5" s="34">
        <f>INDEX('Campus Enrol Disaggregation'!$P$5:$AC$65,MATCH(Export_ControlTot!$A5,'Campus Enrol Disaggregation'!$O$5:$O$65,0),MATCH(I$1,'Campus Enrol Disaggregation'!$P$4:$AC$4,0))</f>
        <v>10500</v>
      </c>
      <c r="J5" s="34">
        <f>INDEX('Campus Enrol Disaggregation'!$P$5:$AC$65,MATCH(Export_ControlTot!$A5,'Campus Enrol Disaggregation'!$O$5:$O$65,0),MATCH(J$1,'Campus Enrol Disaggregation'!$P$4:$AC$4,0))</f>
        <v>0</v>
      </c>
      <c r="K5" s="34">
        <f>INDEX('Campus Enrol Disaggregation'!$P$5:$AC$65,MATCH(Export_ControlTot!$A5,'Campus Enrol Disaggregation'!$O$5:$O$65,0),MATCH(K$1,'Campus Enrol Disaggregation'!$P$4:$AC$4,0))</f>
        <v>0</v>
      </c>
      <c r="L5" s="34">
        <f>INDEX('Campus Enrol Disaggregation'!$P$5:$AC$65,MATCH(Export_ControlTot!$A5,'Campus Enrol Disaggregation'!$O$5:$O$65,0),MATCH(L$1,'Campus Enrol Disaggregation'!$P$4:$AC$4,0))</f>
        <v>0</v>
      </c>
      <c r="M5" s="34">
        <f>INDEX('Campus Enrol Disaggregation'!$P$5:$AC$65,MATCH(Export_ControlTot!$A5,'Campus Enrol Disaggregation'!$O$5:$O$65,0),MATCH(M$1,'Campus Enrol Disaggregation'!$P$4:$AC$4,0))</f>
        <v>10850</v>
      </c>
      <c r="N5" s="34">
        <f>INDEX('Campus Enrol Disaggregation'!$P$5:$AC$65,MATCH(Export_ControlTot!$A5,'Campus Enrol Disaggregation'!$O$5:$O$65,0),MATCH(N$1,'Campus Enrol Disaggregation'!$P$4:$AC$4,0))</f>
        <v>2850</v>
      </c>
      <c r="O5" s="34">
        <f>INDEX('Campus Enrol Disaggregation'!$P$5:$AC$65,MATCH(Export_ControlTot!$A5,'Campus Enrol Disaggregation'!$O$5:$O$65,0),MATCH(O$1,'Campus Enrol Disaggregation'!$P$4:$AC$4,0))</f>
        <v>0</v>
      </c>
    </row>
    <row r="6" spans="1:15" x14ac:dyDescent="0.25">
      <c r="A6" s="3">
        <v>1994</v>
      </c>
      <c r="B6" s="34">
        <f>INDEX('Campus Enrol Disaggregation'!$P$5:$AC$65,MATCH(Export_ControlTot!$A6,'Campus Enrol Disaggregation'!$O$5:$O$65,0),MATCH(B$1,'Campus Enrol Disaggregation'!$P$4:$AC$4,0))</f>
        <v>30400</v>
      </c>
      <c r="C6" s="34">
        <f>INDEX('Campus Enrol Disaggregation'!$P$5:$AC$65,MATCH(Export_ControlTot!$A6,'Campus Enrol Disaggregation'!$O$5:$O$65,0),MATCH(C$1,'Campus Enrol Disaggregation'!$P$4:$AC$4,0))</f>
        <v>0</v>
      </c>
      <c r="D6" s="34">
        <f>INDEX('Campus Enrol Disaggregation'!$P$5:$AC$65,MATCH(Export_ControlTot!$A6,'Campus Enrol Disaggregation'!$O$5:$O$65,0),MATCH(D$1,'Campus Enrol Disaggregation'!$P$4:$AC$4,0))</f>
        <v>10250</v>
      </c>
      <c r="E6" s="34">
        <f>INDEX('Campus Enrol Disaggregation'!$P$5:$AC$65,MATCH(Export_ControlTot!$A6,'Campus Enrol Disaggregation'!$O$5:$O$65,0),MATCH(E$1,'Campus Enrol Disaggregation'!$P$4:$AC$4,0))</f>
        <v>3600</v>
      </c>
      <c r="F6" s="34">
        <f>INDEX('Campus Enrol Disaggregation'!$P$5:$AC$65,MATCH(Export_ControlTot!$A6,'Campus Enrol Disaggregation'!$O$5:$O$65,0),MATCH(F$1,'Campus Enrol Disaggregation'!$P$4:$AC$4,0))</f>
        <v>900</v>
      </c>
      <c r="G6" s="34">
        <f>INDEX('Campus Enrol Disaggregation'!$P$5:$AC$65,MATCH(Export_ControlTot!$A6,'Campus Enrol Disaggregation'!$O$5:$O$65,0),MATCH(G$1,'Campus Enrol Disaggregation'!$P$4:$AC$4,0))</f>
        <v>3200</v>
      </c>
      <c r="H6" s="34">
        <f>INDEX('Campus Enrol Disaggregation'!$P$5:$AC$65,MATCH(Export_ControlTot!$A6,'Campus Enrol Disaggregation'!$O$5:$O$65,0),MATCH(H$1,'Campus Enrol Disaggregation'!$P$4:$AC$4,0))</f>
        <v>24950</v>
      </c>
      <c r="I6" s="34">
        <f>INDEX('Campus Enrol Disaggregation'!$P$5:$AC$65,MATCH(Export_ControlTot!$A6,'Campus Enrol Disaggregation'!$O$5:$O$65,0),MATCH(I$1,'Campus Enrol Disaggregation'!$P$4:$AC$4,0))</f>
        <v>13300</v>
      </c>
      <c r="J6" s="34">
        <f>INDEX('Campus Enrol Disaggregation'!$P$5:$AC$65,MATCH(Export_ControlTot!$A6,'Campus Enrol Disaggregation'!$O$5:$O$65,0),MATCH(J$1,'Campus Enrol Disaggregation'!$P$4:$AC$4,0))</f>
        <v>0</v>
      </c>
      <c r="K6" s="34">
        <f>INDEX('Campus Enrol Disaggregation'!$P$5:$AC$65,MATCH(Export_ControlTot!$A6,'Campus Enrol Disaggregation'!$O$5:$O$65,0),MATCH(K$1,'Campus Enrol Disaggregation'!$P$4:$AC$4,0))</f>
        <v>0</v>
      </c>
      <c r="L6" s="34">
        <f>INDEX('Campus Enrol Disaggregation'!$P$5:$AC$65,MATCH(Export_ControlTot!$A6,'Campus Enrol Disaggregation'!$O$5:$O$65,0),MATCH(L$1,'Campus Enrol Disaggregation'!$P$4:$AC$4,0))</f>
        <v>0</v>
      </c>
      <c r="M6" s="34">
        <f>INDEX('Campus Enrol Disaggregation'!$P$5:$AC$65,MATCH(Export_ControlTot!$A6,'Campus Enrol Disaggregation'!$O$5:$O$65,0),MATCH(M$1,'Campus Enrol Disaggregation'!$P$4:$AC$4,0))</f>
        <v>10700</v>
      </c>
      <c r="N6" s="34">
        <f>INDEX('Campus Enrol Disaggregation'!$P$5:$AC$65,MATCH(Export_ControlTot!$A6,'Campus Enrol Disaggregation'!$O$5:$O$65,0),MATCH(N$1,'Campus Enrol Disaggregation'!$P$4:$AC$4,0))</f>
        <v>2800</v>
      </c>
      <c r="O6" s="34">
        <f>INDEX('Campus Enrol Disaggregation'!$P$5:$AC$65,MATCH(Export_ControlTot!$A6,'Campus Enrol Disaggregation'!$O$5:$O$65,0),MATCH(O$1,'Campus Enrol Disaggregation'!$P$4:$AC$4,0))</f>
        <v>0</v>
      </c>
    </row>
    <row r="7" spans="1:15" x14ac:dyDescent="0.25">
      <c r="A7" s="3">
        <v>1995</v>
      </c>
      <c r="B7" s="34">
        <f>INDEX('Campus Enrol Disaggregation'!$P$5:$AC$65,MATCH(Export_ControlTot!$A7,'Campus Enrol Disaggregation'!$O$5:$O$65,0),MATCH(B$1,'Campus Enrol Disaggregation'!$P$4:$AC$4,0))</f>
        <v>30450</v>
      </c>
      <c r="C7" s="34">
        <f>INDEX('Campus Enrol Disaggregation'!$P$5:$AC$65,MATCH(Export_ControlTot!$A7,'Campus Enrol Disaggregation'!$O$5:$O$65,0),MATCH(C$1,'Campus Enrol Disaggregation'!$P$4:$AC$4,0))</f>
        <v>0</v>
      </c>
      <c r="D7" s="34">
        <f>INDEX('Campus Enrol Disaggregation'!$P$5:$AC$65,MATCH(Export_ControlTot!$A7,'Campus Enrol Disaggregation'!$O$5:$O$65,0),MATCH(D$1,'Campus Enrol Disaggregation'!$P$4:$AC$4,0))</f>
        <v>11000</v>
      </c>
      <c r="E7" s="34">
        <f>INDEX('Campus Enrol Disaggregation'!$P$5:$AC$65,MATCH(Export_ControlTot!$A7,'Campus Enrol Disaggregation'!$O$5:$O$65,0),MATCH(E$1,'Campus Enrol Disaggregation'!$P$4:$AC$4,0))</f>
        <v>3850</v>
      </c>
      <c r="F7" s="34">
        <f>INDEX('Campus Enrol Disaggregation'!$P$5:$AC$65,MATCH(Export_ControlTot!$A7,'Campus Enrol Disaggregation'!$O$5:$O$65,0),MATCH(F$1,'Campus Enrol Disaggregation'!$P$4:$AC$4,0))</f>
        <v>950</v>
      </c>
      <c r="G7" s="34">
        <f>INDEX('Campus Enrol Disaggregation'!$P$5:$AC$65,MATCH(Export_ControlTot!$A7,'Campus Enrol Disaggregation'!$O$5:$O$65,0),MATCH(G$1,'Campus Enrol Disaggregation'!$P$4:$AC$4,0))</f>
        <v>3400</v>
      </c>
      <c r="H7" s="34">
        <f>INDEX('Campus Enrol Disaggregation'!$P$5:$AC$65,MATCH(Export_ControlTot!$A7,'Campus Enrol Disaggregation'!$O$5:$O$65,0),MATCH(H$1,'Campus Enrol Disaggregation'!$P$4:$AC$4,0))</f>
        <v>26100</v>
      </c>
      <c r="I7" s="34">
        <f>INDEX('Campus Enrol Disaggregation'!$P$5:$AC$65,MATCH(Export_ControlTot!$A7,'Campus Enrol Disaggregation'!$O$5:$O$65,0),MATCH(I$1,'Campus Enrol Disaggregation'!$P$4:$AC$4,0))</f>
        <v>14050</v>
      </c>
      <c r="J7" s="34">
        <f>INDEX('Campus Enrol Disaggregation'!$P$5:$AC$65,MATCH(Export_ControlTot!$A7,'Campus Enrol Disaggregation'!$O$5:$O$65,0),MATCH(J$1,'Campus Enrol Disaggregation'!$P$4:$AC$4,0))</f>
        <v>0</v>
      </c>
      <c r="K7" s="34">
        <f>INDEX('Campus Enrol Disaggregation'!$P$5:$AC$65,MATCH(Export_ControlTot!$A7,'Campus Enrol Disaggregation'!$O$5:$O$65,0),MATCH(K$1,'Campus Enrol Disaggregation'!$P$4:$AC$4,0))</f>
        <v>0</v>
      </c>
      <c r="L7" s="34">
        <f>INDEX('Campus Enrol Disaggregation'!$P$5:$AC$65,MATCH(Export_ControlTot!$A7,'Campus Enrol Disaggregation'!$O$5:$O$65,0),MATCH(L$1,'Campus Enrol Disaggregation'!$P$4:$AC$4,0))</f>
        <v>0</v>
      </c>
      <c r="M7" s="34">
        <f>INDEX('Campus Enrol Disaggregation'!$P$5:$AC$65,MATCH(Export_ControlTot!$A7,'Campus Enrol Disaggregation'!$O$5:$O$65,0),MATCH(M$1,'Campus Enrol Disaggregation'!$P$4:$AC$4,0))</f>
        <v>10500</v>
      </c>
      <c r="N7" s="34">
        <f>INDEX('Campus Enrol Disaggregation'!$P$5:$AC$65,MATCH(Export_ControlTot!$A7,'Campus Enrol Disaggregation'!$O$5:$O$65,0),MATCH(N$1,'Campus Enrol Disaggregation'!$P$4:$AC$4,0))</f>
        <v>2750</v>
      </c>
      <c r="O7" s="34">
        <f>INDEX('Campus Enrol Disaggregation'!$P$5:$AC$65,MATCH(Export_ControlTot!$A7,'Campus Enrol Disaggregation'!$O$5:$O$65,0),MATCH(O$1,'Campus Enrol Disaggregation'!$P$4:$AC$4,0))</f>
        <v>0</v>
      </c>
    </row>
    <row r="8" spans="1:15" x14ac:dyDescent="0.25">
      <c r="A8" s="3">
        <v>1996</v>
      </c>
      <c r="B8" s="34">
        <f>INDEX('Campus Enrol Disaggregation'!$P$5:$AC$65,MATCH(Export_ControlTot!$A8,'Campus Enrol Disaggregation'!$O$5:$O$65,0),MATCH(B$1,'Campus Enrol Disaggregation'!$P$4:$AC$4,0))</f>
        <v>30550</v>
      </c>
      <c r="C8" s="34">
        <f>INDEX('Campus Enrol Disaggregation'!$P$5:$AC$65,MATCH(Export_ControlTot!$A8,'Campus Enrol Disaggregation'!$O$5:$O$65,0),MATCH(C$1,'Campus Enrol Disaggregation'!$P$4:$AC$4,0))</f>
        <v>0</v>
      </c>
      <c r="D8" s="34">
        <f>INDEX('Campus Enrol Disaggregation'!$P$5:$AC$65,MATCH(Export_ControlTot!$A8,'Campus Enrol Disaggregation'!$O$5:$O$65,0),MATCH(D$1,'Campus Enrol Disaggregation'!$P$4:$AC$4,0))</f>
        <v>11800</v>
      </c>
      <c r="E8" s="34">
        <f>INDEX('Campus Enrol Disaggregation'!$P$5:$AC$65,MATCH(Export_ControlTot!$A8,'Campus Enrol Disaggregation'!$O$5:$O$65,0),MATCH(E$1,'Campus Enrol Disaggregation'!$P$4:$AC$4,0))</f>
        <v>4150</v>
      </c>
      <c r="F8" s="34">
        <f>INDEX('Campus Enrol Disaggregation'!$P$5:$AC$65,MATCH(Export_ControlTot!$A8,'Campus Enrol Disaggregation'!$O$5:$O$65,0),MATCH(F$1,'Campus Enrol Disaggregation'!$P$4:$AC$4,0))</f>
        <v>1050</v>
      </c>
      <c r="G8" s="34">
        <f>INDEX('Campus Enrol Disaggregation'!$P$5:$AC$65,MATCH(Export_ControlTot!$A8,'Campus Enrol Disaggregation'!$O$5:$O$65,0),MATCH(G$1,'Campus Enrol Disaggregation'!$P$4:$AC$4,0))</f>
        <v>3650</v>
      </c>
      <c r="H8" s="34">
        <f>INDEX('Campus Enrol Disaggregation'!$P$5:$AC$65,MATCH(Export_ControlTot!$A8,'Campus Enrol Disaggregation'!$O$5:$O$65,0),MATCH(H$1,'Campus Enrol Disaggregation'!$P$4:$AC$4,0))</f>
        <v>25400</v>
      </c>
      <c r="I8" s="34">
        <f>INDEX('Campus Enrol Disaggregation'!$P$5:$AC$65,MATCH(Export_ControlTot!$A8,'Campus Enrol Disaggregation'!$O$5:$O$65,0),MATCH(I$1,'Campus Enrol Disaggregation'!$P$4:$AC$4,0))</f>
        <v>14750</v>
      </c>
      <c r="J8" s="34">
        <f>INDEX('Campus Enrol Disaggregation'!$P$5:$AC$65,MATCH(Export_ControlTot!$A8,'Campus Enrol Disaggregation'!$O$5:$O$65,0),MATCH(J$1,'Campus Enrol Disaggregation'!$P$4:$AC$4,0))</f>
        <v>0</v>
      </c>
      <c r="K8" s="34">
        <f>INDEX('Campus Enrol Disaggregation'!$P$5:$AC$65,MATCH(Export_ControlTot!$A8,'Campus Enrol Disaggregation'!$O$5:$O$65,0),MATCH(K$1,'Campus Enrol Disaggregation'!$P$4:$AC$4,0))</f>
        <v>0</v>
      </c>
      <c r="L8" s="34">
        <f>INDEX('Campus Enrol Disaggregation'!$P$5:$AC$65,MATCH(Export_ControlTot!$A8,'Campus Enrol Disaggregation'!$O$5:$O$65,0),MATCH(L$1,'Campus Enrol Disaggregation'!$P$4:$AC$4,0))</f>
        <v>0</v>
      </c>
      <c r="M8" s="34">
        <f>INDEX('Campus Enrol Disaggregation'!$P$5:$AC$65,MATCH(Export_ControlTot!$A8,'Campus Enrol Disaggregation'!$O$5:$O$65,0),MATCH(M$1,'Campus Enrol Disaggregation'!$P$4:$AC$4,0))</f>
        <v>10450</v>
      </c>
      <c r="N8" s="34">
        <f>INDEX('Campus Enrol Disaggregation'!$P$5:$AC$65,MATCH(Export_ControlTot!$A8,'Campus Enrol Disaggregation'!$O$5:$O$65,0),MATCH(N$1,'Campus Enrol Disaggregation'!$P$4:$AC$4,0))</f>
        <v>2750</v>
      </c>
      <c r="O8" s="34">
        <f>INDEX('Campus Enrol Disaggregation'!$P$5:$AC$65,MATCH(Export_ControlTot!$A8,'Campus Enrol Disaggregation'!$O$5:$O$65,0),MATCH(O$1,'Campus Enrol Disaggregation'!$P$4:$AC$4,0))</f>
        <v>0</v>
      </c>
    </row>
    <row r="9" spans="1:15" x14ac:dyDescent="0.25">
      <c r="A9" s="3">
        <v>1997</v>
      </c>
      <c r="B9" s="34">
        <f>INDEX('Campus Enrol Disaggregation'!$P$5:$AC$65,MATCH(Export_ControlTot!$A9,'Campus Enrol Disaggregation'!$O$5:$O$65,0),MATCH(B$1,'Campus Enrol Disaggregation'!$P$4:$AC$4,0))</f>
        <v>31250</v>
      </c>
      <c r="C9" s="34">
        <f>INDEX('Campus Enrol Disaggregation'!$P$5:$AC$65,MATCH(Export_ControlTot!$A9,'Campus Enrol Disaggregation'!$O$5:$O$65,0),MATCH(C$1,'Campus Enrol Disaggregation'!$P$4:$AC$4,0))</f>
        <v>0</v>
      </c>
      <c r="D9" s="34">
        <f>INDEX('Campus Enrol Disaggregation'!$P$5:$AC$65,MATCH(Export_ControlTot!$A9,'Campus Enrol Disaggregation'!$O$5:$O$65,0),MATCH(D$1,'Campus Enrol Disaggregation'!$P$4:$AC$4,0))</f>
        <v>12850</v>
      </c>
      <c r="E9" s="34">
        <f>INDEX('Campus Enrol Disaggregation'!$P$5:$AC$65,MATCH(Export_ControlTot!$A9,'Campus Enrol Disaggregation'!$O$5:$O$65,0),MATCH(E$1,'Campus Enrol Disaggregation'!$P$4:$AC$4,0))</f>
        <v>4500</v>
      </c>
      <c r="F9" s="34">
        <f>INDEX('Campus Enrol Disaggregation'!$P$5:$AC$65,MATCH(Export_ControlTot!$A9,'Campus Enrol Disaggregation'!$O$5:$O$65,0),MATCH(F$1,'Campus Enrol Disaggregation'!$P$4:$AC$4,0))</f>
        <v>1100</v>
      </c>
      <c r="G9" s="34">
        <f>INDEX('Campus Enrol Disaggregation'!$P$5:$AC$65,MATCH(Export_ControlTot!$A9,'Campus Enrol Disaggregation'!$O$5:$O$65,0),MATCH(G$1,'Campus Enrol Disaggregation'!$P$4:$AC$4,0))</f>
        <v>4000</v>
      </c>
      <c r="H9" s="34">
        <f>INDEX('Campus Enrol Disaggregation'!$P$5:$AC$65,MATCH(Export_ControlTot!$A9,'Campus Enrol Disaggregation'!$O$5:$O$65,0),MATCH(H$1,'Campus Enrol Disaggregation'!$P$4:$AC$4,0))</f>
        <v>25200</v>
      </c>
      <c r="I9" s="34">
        <f>INDEX('Campus Enrol Disaggregation'!$P$5:$AC$65,MATCH(Export_ControlTot!$A9,'Campus Enrol Disaggregation'!$O$5:$O$65,0),MATCH(I$1,'Campus Enrol Disaggregation'!$P$4:$AC$4,0))</f>
        <v>16000</v>
      </c>
      <c r="J9" s="34">
        <f>INDEX('Campus Enrol Disaggregation'!$P$5:$AC$65,MATCH(Export_ControlTot!$A9,'Campus Enrol Disaggregation'!$O$5:$O$65,0),MATCH(J$1,'Campus Enrol Disaggregation'!$P$4:$AC$4,0))</f>
        <v>0</v>
      </c>
      <c r="K9" s="34">
        <f>INDEX('Campus Enrol Disaggregation'!$P$5:$AC$65,MATCH(Export_ControlTot!$A9,'Campus Enrol Disaggregation'!$O$5:$O$65,0),MATCH(K$1,'Campus Enrol Disaggregation'!$P$4:$AC$4,0))</f>
        <v>0</v>
      </c>
      <c r="L9" s="34">
        <f>INDEX('Campus Enrol Disaggregation'!$P$5:$AC$65,MATCH(Export_ControlTot!$A9,'Campus Enrol Disaggregation'!$O$5:$O$65,0),MATCH(L$1,'Campus Enrol Disaggregation'!$P$4:$AC$4,0))</f>
        <v>0</v>
      </c>
      <c r="M9" s="34">
        <f>INDEX('Campus Enrol Disaggregation'!$P$5:$AC$65,MATCH(Export_ControlTot!$A9,'Campus Enrol Disaggregation'!$O$5:$O$65,0),MATCH(M$1,'Campus Enrol Disaggregation'!$P$4:$AC$4,0))</f>
        <v>11000</v>
      </c>
      <c r="N9" s="34">
        <f>INDEX('Campus Enrol Disaggregation'!$P$5:$AC$65,MATCH(Export_ControlTot!$A9,'Campus Enrol Disaggregation'!$O$5:$O$65,0),MATCH(N$1,'Campus Enrol Disaggregation'!$P$4:$AC$4,0))</f>
        <v>2900</v>
      </c>
      <c r="O9" s="34">
        <f>INDEX('Campus Enrol Disaggregation'!$P$5:$AC$65,MATCH(Export_ControlTot!$A9,'Campus Enrol Disaggregation'!$O$5:$O$65,0),MATCH(O$1,'Campus Enrol Disaggregation'!$P$4:$AC$4,0))</f>
        <v>0</v>
      </c>
    </row>
    <row r="10" spans="1:15" x14ac:dyDescent="0.25">
      <c r="A10" s="3">
        <v>1998</v>
      </c>
      <c r="B10" s="34">
        <f>INDEX('Campus Enrol Disaggregation'!$P$5:$AC$65,MATCH(Export_ControlTot!$A10,'Campus Enrol Disaggregation'!$O$5:$O$65,0),MATCH(B$1,'Campus Enrol Disaggregation'!$P$4:$AC$4,0))</f>
        <v>32200</v>
      </c>
      <c r="C10" s="34">
        <f>INDEX('Campus Enrol Disaggregation'!$P$5:$AC$65,MATCH(Export_ControlTot!$A10,'Campus Enrol Disaggregation'!$O$5:$O$65,0),MATCH(C$1,'Campus Enrol Disaggregation'!$P$4:$AC$4,0))</f>
        <v>0</v>
      </c>
      <c r="D10" s="34">
        <f>INDEX('Campus Enrol Disaggregation'!$P$5:$AC$65,MATCH(Export_ControlTot!$A10,'Campus Enrol Disaggregation'!$O$5:$O$65,0),MATCH(D$1,'Campus Enrol Disaggregation'!$P$4:$AC$4,0))</f>
        <v>10450</v>
      </c>
      <c r="E10" s="34">
        <f>INDEX('Campus Enrol Disaggregation'!$P$5:$AC$65,MATCH(Export_ControlTot!$A10,'Campus Enrol Disaggregation'!$O$5:$O$65,0),MATCH(E$1,'Campus Enrol Disaggregation'!$P$4:$AC$4,0))</f>
        <v>3650</v>
      </c>
      <c r="F10" s="34">
        <f>INDEX('Campus Enrol Disaggregation'!$P$5:$AC$65,MATCH(Export_ControlTot!$A10,'Campus Enrol Disaggregation'!$O$5:$O$65,0),MATCH(F$1,'Campus Enrol Disaggregation'!$P$4:$AC$4,0))</f>
        <v>900</v>
      </c>
      <c r="G10" s="34">
        <f>INDEX('Campus Enrol Disaggregation'!$P$5:$AC$65,MATCH(Export_ControlTot!$A10,'Campus Enrol Disaggregation'!$O$5:$O$65,0),MATCH(G$1,'Campus Enrol Disaggregation'!$P$4:$AC$4,0))</f>
        <v>3250</v>
      </c>
      <c r="H10" s="34">
        <f>INDEX('Campus Enrol Disaggregation'!$P$5:$AC$65,MATCH(Export_ControlTot!$A10,'Campus Enrol Disaggregation'!$O$5:$O$65,0),MATCH(H$1,'Campus Enrol Disaggregation'!$P$4:$AC$4,0))</f>
        <v>24350</v>
      </c>
      <c r="I10" s="34">
        <f>INDEX('Campus Enrol Disaggregation'!$P$5:$AC$65,MATCH(Export_ControlTot!$A10,'Campus Enrol Disaggregation'!$O$5:$O$65,0),MATCH(I$1,'Campus Enrol Disaggregation'!$P$4:$AC$4,0))</f>
        <v>18150</v>
      </c>
      <c r="J10" s="34">
        <f>INDEX('Campus Enrol Disaggregation'!$P$5:$AC$65,MATCH(Export_ControlTot!$A10,'Campus Enrol Disaggregation'!$O$5:$O$65,0),MATCH(J$1,'Campus Enrol Disaggregation'!$P$4:$AC$4,0))</f>
        <v>0</v>
      </c>
      <c r="K10" s="34">
        <f>INDEX('Campus Enrol Disaggregation'!$P$5:$AC$65,MATCH(Export_ControlTot!$A10,'Campus Enrol Disaggregation'!$O$5:$O$65,0),MATCH(K$1,'Campus Enrol Disaggregation'!$P$4:$AC$4,0))</f>
        <v>0</v>
      </c>
      <c r="L10" s="34">
        <f>INDEX('Campus Enrol Disaggregation'!$P$5:$AC$65,MATCH(Export_ControlTot!$A10,'Campus Enrol Disaggregation'!$O$5:$O$65,0),MATCH(L$1,'Campus Enrol Disaggregation'!$P$4:$AC$4,0))</f>
        <v>0</v>
      </c>
      <c r="M10" s="34">
        <f>INDEX('Campus Enrol Disaggregation'!$P$5:$AC$65,MATCH(Export_ControlTot!$A10,'Campus Enrol Disaggregation'!$O$5:$O$65,0),MATCH(M$1,'Campus Enrol Disaggregation'!$P$4:$AC$4,0))</f>
        <v>10450</v>
      </c>
      <c r="N10" s="34">
        <f>INDEX('Campus Enrol Disaggregation'!$P$5:$AC$65,MATCH(Export_ControlTot!$A10,'Campus Enrol Disaggregation'!$O$5:$O$65,0),MATCH(N$1,'Campus Enrol Disaggregation'!$P$4:$AC$4,0))</f>
        <v>2750</v>
      </c>
      <c r="O10" s="34">
        <f>INDEX('Campus Enrol Disaggregation'!$P$5:$AC$65,MATCH(Export_ControlTot!$A10,'Campus Enrol Disaggregation'!$O$5:$O$65,0),MATCH(O$1,'Campus Enrol Disaggregation'!$P$4:$AC$4,0))</f>
        <v>0</v>
      </c>
    </row>
    <row r="11" spans="1:15" x14ac:dyDescent="0.25">
      <c r="A11" s="3">
        <v>1999</v>
      </c>
      <c r="B11" s="34">
        <f>INDEX('Campus Enrol Disaggregation'!$P$5:$AC$65,MATCH(Export_ControlTot!$A11,'Campus Enrol Disaggregation'!$O$5:$O$65,0),MATCH(B$1,'Campus Enrol Disaggregation'!$P$4:$AC$4,0))</f>
        <v>32750</v>
      </c>
      <c r="C11" s="34">
        <f>INDEX('Campus Enrol Disaggregation'!$P$5:$AC$65,MATCH(Export_ControlTot!$A11,'Campus Enrol Disaggregation'!$O$5:$O$65,0),MATCH(C$1,'Campus Enrol Disaggregation'!$P$4:$AC$4,0))</f>
        <v>0</v>
      </c>
      <c r="D11" s="34">
        <f>INDEX('Campus Enrol Disaggregation'!$P$5:$AC$65,MATCH(Export_ControlTot!$A11,'Campus Enrol Disaggregation'!$O$5:$O$65,0),MATCH(D$1,'Campus Enrol Disaggregation'!$P$4:$AC$4,0))</f>
        <v>11250</v>
      </c>
      <c r="E11" s="34">
        <f>INDEX('Campus Enrol Disaggregation'!$P$5:$AC$65,MATCH(Export_ControlTot!$A11,'Campus Enrol Disaggregation'!$O$5:$O$65,0),MATCH(E$1,'Campus Enrol Disaggregation'!$P$4:$AC$4,0))</f>
        <v>3950</v>
      </c>
      <c r="F11" s="34">
        <f>INDEX('Campus Enrol Disaggregation'!$P$5:$AC$65,MATCH(Export_ControlTot!$A11,'Campus Enrol Disaggregation'!$O$5:$O$65,0),MATCH(F$1,'Campus Enrol Disaggregation'!$P$4:$AC$4,0))</f>
        <v>1000</v>
      </c>
      <c r="G11" s="34">
        <f>INDEX('Campus Enrol Disaggregation'!$P$5:$AC$65,MATCH(Export_ControlTot!$A11,'Campus Enrol Disaggregation'!$O$5:$O$65,0),MATCH(G$1,'Campus Enrol Disaggregation'!$P$4:$AC$4,0))</f>
        <v>3500</v>
      </c>
      <c r="H11" s="34">
        <f>INDEX('Campus Enrol Disaggregation'!$P$5:$AC$65,MATCH(Export_ControlTot!$A11,'Campus Enrol Disaggregation'!$O$5:$O$65,0),MATCH(H$1,'Campus Enrol Disaggregation'!$P$4:$AC$4,0))</f>
        <v>25100</v>
      </c>
      <c r="I11" s="34">
        <f>INDEX('Campus Enrol Disaggregation'!$P$5:$AC$65,MATCH(Export_ControlTot!$A11,'Campus Enrol Disaggregation'!$O$5:$O$65,0),MATCH(I$1,'Campus Enrol Disaggregation'!$P$4:$AC$4,0))</f>
        <v>20050</v>
      </c>
      <c r="J11" s="34">
        <f>INDEX('Campus Enrol Disaggregation'!$P$5:$AC$65,MATCH(Export_ControlTot!$A11,'Campus Enrol Disaggregation'!$O$5:$O$65,0),MATCH(J$1,'Campus Enrol Disaggregation'!$P$4:$AC$4,0))</f>
        <v>0</v>
      </c>
      <c r="K11" s="34">
        <f>INDEX('Campus Enrol Disaggregation'!$P$5:$AC$65,MATCH(Export_ControlTot!$A11,'Campus Enrol Disaggregation'!$O$5:$O$65,0),MATCH(K$1,'Campus Enrol Disaggregation'!$P$4:$AC$4,0))</f>
        <v>0</v>
      </c>
      <c r="L11" s="34">
        <f>INDEX('Campus Enrol Disaggregation'!$P$5:$AC$65,MATCH(Export_ControlTot!$A11,'Campus Enrol Disaggregation'!$O$5:$O$65,0),MATCH(L$1,'Campus Enrol Disaggregation'!$P$4:$AC$4,0))</f>
        <v>0</v>
      </c>
      <c r="M11" s="34">
        <f>INDEX('Campus Enrol Disaggregation'!$P$5:$AC$65,MATCH(Export_ControlTot!$A11,'Campus Enrol Disaggregation'!$O$5:$O$65,0),MATCH(M$1,'Campus Enrol Disaggregation'!$P$4:$AC$4,0))</f>
        <v>11250</v>
      </c>
      <c r="N11" s="34">
        <f>INDEX('Campus Enrol Disaggregation'!$P$5:$AC$65,MATCH(Export_ControlTot!$A11,'Campus Enrol Disaggregation'!$O$5:$O$65,0),MATCH(N$1,'Campus Enrol Disaggregation'!$P$4:$AC$4,0))</f>
        <v>2950</v>
      </c>
      <c r="O11" s="34">
        <f>INDEX('Campus Enrol Disaggregation'!$P$5:$AC$65,MATCH(Export_ControlTot!$A11,'Campus Enrol Disaggregation'!$O$5:$O$65,0),MATCH(O$1,'Campus Enrol Disaggregation'!$P$4:$AC$4,0))</f>
        <v>0</v>
      </c>
    </row>
    <row r="12" spans="1:15" x14ac:dyDescent="0.25">
      <c r="A12" s="3">
        <v>2000</v>
      </c>
      <c r="B12" s="34">
        <f>INDEX('Campus Enrol Disaggregation'!$P$5:$AC$65,MATCH(Export_ControlTot!$A12,'Campus Enrol Disaggregation'!$O$5:$O$65,0),MATCH(B$1,'Campus Enrol Disaggregation'!$P$4:$AC$4,0))</f>
        <v>32550</v>
      </c>
      <c r="C12" s="34">
        <f>INDEX('Campus Enrol Disaggregation'!$P$5:$AC$65,MATCH(Export_ControlTot!$A12,'Campus Enrol Disaggregation'!$O$5:$O$65,0),MATCH(C$1,'Campus Enrol Disaggregation'!$P$4:$AC$4,0))</f>
        <v>0</v>
      </c>
      <c r="D12" s="34">
        <f>INDEX('Campus Enrol Disaggregation'!$P$5:$AC$65,MATCH(Export_ControlTot!$A12,'Campus Enrol Disaggregation'!$O$5:$O$65,0),MATCH(D$1,'Campus Enrol Disaggregation'!$P$4:$AC$4,0))</f>
        <v>11650</v>
      </c>
      <c r="E12" s="34">
        <f>INDEX('Campus Enrol Disaggregation'!$P$5:$AC$65,MATCH(Export_ControlTot!$A12,'Campus Enrol Disaggregation'!$O$5:$O$65,0),MATCH(E$1,'Campus Enrol Disaggregation'!$P$4:$AC$4,0))</f>
        <v>4100</v>
      </c>
      <c r="F12" s="34">
        <f>INDEX('Campus Enrol Disaggregation'!$P$5:$AC$65,MATCH(Export_ControlTot!$A12,'Campus Enrol Disaggregation'!$O$5:$O$65,0),MATCH(F$1,'Campus Enrol Disaggregation'!$P$4:$AC$4,0))</f>
        <v>1000</v>
      </c>
      <c r="G12" s="34">
        <f>INDEX('Campus Enrol Disaggregation'!$P$5:$AC$65,MATCH(Export_ControlTot!$A12,'Campus Enrol Disaggregation'!$O$5:$O$65,0),MATCH(G$1,'Campus Enrol Disaggregation'!$P$4:$AC$4,0))</f>
        <v>3600</v>
      </c>
      <c r="H12" s="34">
        <f>INDEX('Campus Enrol Disaggregation'!$P$5:$AC$65,MATCH(Export_ControlTot!$A12,'Campus Enrol Disaggregation'!$O$5:$O$65,0),MATCH(H$1,'Campus Enrol Disaggregation'!$P$4:$AC$4,0))</f>
        <v>25450</v>
      </c>
      <c r="I12" s="34">
        <f>INDEX('Campus Enrol Disaggregation'!$P$5:$AC$65,MATCH(Export_ControlTot!$A12,'Campus Enrol Disaggregation'!$O$5:$O$65,0),MATCH(I$1,'Campus Enrol Disaggregation'!$P$4:$AC$4,0))</f>
        <v>20950</v>
      </c>
      <c r="J12" s="34">
        <f>INDEX('Campus Enrol Disaggregation'!$P$5:$AC$65,MATCH(Export_ControlTot!$A12,'Campus Enrol Disaggregation'!$O$5:$O$65,0),MATCH(J$1,'Campus Enrol Disaggregation'!$P$4:$AC$4,0))</f>
        <v>0</v>
      </c>
      <c r="K12" s="34">
        <f>INDEX('Campus Enrol Disaggregation'!$P$5:$AC$65,MATCH(Export_ControlTot!$A12,'Campus Enrol Disaggregation'!$O$5:$O$65,0),MATCH(K$1,'Campus Enrol Disaggregation'!$P$4:$AC$4,0))</f>
        <v>0</v>
      </c>
      <c r="L12" s="34">
        <f>INDEX('Campus Enrol Disaggregation'!$P$5:$AC$65,MATCH(Export_ControlTot!$A12,'Campus Enrol Disaggregation'!$O$5:$O$65,0),MATCH(L$1,'Campus Enrol Disaggregation'!$P$4:$AC$4,0))</f>
        <v>0</v>
      </c>
      <c r="M12" s="34">
        <f>INDEX('Campus Enrol Disaggregation'!$P$5:$AC$65,MATCH(Export_ControlTot!$A12,'Campus Enrol Disaggregation'!$O$5:$O$65,0),MATCH(M$1,'Campus Enrol Disaggregation'!$P$4:$AC$4,0))</f>
        <v>12050</v>
      </c>
      <c r="N12" s="34">
        <f>INDEX('Campus Enrol Disaggregation'!$P$5:$AC$65,MATCH(Export_ControlTot!$A12,'Campus Enrol Disaggregation'!$O$5:$O$65,0),MATCH(N$1,'Campus Enrol Disaggregation'!$P$4:$AC$4,0))</f>
        <v>3150</v>
      </c>
      <c r="O12" s="34">
        <f>INDEX('Campus Enrol Disaggregation'!$P$5:$AC$65,MATCH(Export_ControlTot!$A12,'Campus Enrol Disaggregation'!$O$5:$O$65,0),MATCH(O$1,'Campus Enrol Disaggregation'!$P$4:$AC$4,0))</f>
        <v>0</v>
      </c>
    </row>
    <row r="13" spans="1:15" x14ac:dyDescent="0.25">
      <c r="A13" s="3">
        <v>2001</v>
      </c>
      <c r="B13" s="34">
        <f>INDEX('Campus Enrol Disaggregation'!$P$5:$AC$65,MATCH(Export_ControlTot!$A13,'Campus Enrol Disaggregation'!$O$5:$O$65,0),MATCH(B$1,'Campus Enrol Disaggregation'!$P$4:$AC$4,0))</f>
        <v>32750</v>
      </c>
      <c r="C13" s="34">
        <f>INDEX('Campus Enrol Disaggregation'!$P$5:$AC$65,MATCH(Export_ControlTot!$A13,'Campus Enrol Disaggregation'!$O$5:$O$65,0),MATCH(C$1,'Campus Enrol Disaggregation'!$P$4:$AC$4,0))</f>
        <v>0</v>
      </c>
      <c r="D13" s="34">
        <f>INDEX('Campus Enrol Disaggregation'!$P$5:$AC$65,MATCH(Export_ControlTot!$A13,'Campus Enrol Disaggregation'!$O$5:$O$65,0),MATCH(D$1,'Campus Enrol Disaggregation'!$P$4:$AC$4,0))</f>
        <v>12800</v>
      </c>
      <c r="E13" s="34">
        <f>INDEX('Campus Enrol Disaggregation'!$P$5:$AC$65,MATCH(Export_ControlTot!$A13,'Campus Enrol Disaggregation'!$O$5:$O$65,0),MATCH(E$1,'Campus Enrol Disaggregation'!$P$4:$AC$4,0))</f>
        <v>4450</v>
      </c>
      <c r="F13" s="34">
        <f>INDEX('Campus Enrol Disaggregation'!$P$5:$AC$65,MATCH(Export_ControlTot!$A13,'Campus Enrol Disaggregation'!$O$5:$O$65,0),MATCH(F$1,'Campus Enrol Disaggregation'!$P$4:$AC$4,0))</f>
        <v>1100</v>
      </c>
      <c r="G13" s="34">
        <f>INDEX('Campus Enrol Disaggregation'!$P$5:$AC$65,MATCH(Export_ControlTot!$A13,'Campus Enrol Disaggregation'!$O$5:$O$65,0),MATCH(G$1,'Campus Enrol Disaggregation'!$P$4:$AC$4,0))</f>
        <v>3950</v>
      </c>
      <c r="H13" s="34">
        <f>INDEX('Campus Enrol Disaggregation'!$P$5:$AC$65,MATCH(Export_ControlTot!$A13,'Campus Enrol Disaggregation'!$O$5:$O$65,0),MATCH(H$1,'Campus Enrol Disaggregation'!$P$4:$AC$4,0))</f>
        <v>26950</v>
      </c>
      <c r="I13" s="34">
        <f>INDEX('Campus Enrol Disaggregation'!$P$5:$AC$65,MATCH(Export_ControlTot!$A13,'Campus Enrol Disaggregation'!$O$5:$O$65,0),MATCH(I$1,'Campus Enrol Disaggregation'!$P$4:$AC$4,0))</f>
        <v>22600</v>
      </c>
      <c r="J13" s="34">
        <f>INDEX('Campus Enrol Disaggregation'!$P$5:$AC$65,MATCH(Export_ControlTot!$A13,'Campus Enrol Disaggregation'!$O$5:$O$65,0),MATCH(J$1,'Campus Enrol Disaggregation'!$P$4:$AC$4,0))</f>
        <v>0</v>
      </c>
      <c r="K13" s="34">
        <f>INDEX('Campus Enrol Disaggregation'!$P$5:$AC$65,MATCH(Export_ControlTot!$A13,'Campus Enrol Disaggregation'!$O$5:$O$65,0),MATCH(K$1,'Campus Enrol Disaggregation'!$P$4:$AC$4,0))</f>
        <v>0</v>
      </c>
      <c r="L13" s="34">
        <f>INDEX('Campus Enrol Disaggregation'!$P$5:$AC$65,MATCH(Export_ControlTot!$A13,'Campus Enrol Disaggregation'!$O$5:$O$65,0),MATCH(L$1,'Campus Enrol Disaggregation'!$P$4:$AC$4,0))</f>
        <v>0</v>
      </c>
      <c r="M13" s="34">
        <f>INDEX('Campus Enrol Disaggregation'!$P$5:$AC$65,MATCH(Export_ControlTot!$A13,'Campus Enrol Disaggregation'!$O$5:$O$65,0),MATCH(M$1,'Campus Enrol Disaggregation'!$P$4:$AC$4,0))</f>
        <v>12700</v>
      </c>
      <c r="N13" s="34">
        <f>INDEX('Campus Enrol Disaggregation'!$P$5:$AC$65,MATCH(Export_ControlTot!$A13,'Campus Enrol Disaggregation'!$O$5:$O$65,0),MATCH(N$1,'Campus Enrol Disaggregation'!$P$4:$AC$4,0))</f>
        <v>3350</v>
      </c>
      <c r="O13" s="34">
        <f>INDEX('Campus Enrol Disaggregation'!$P$5:$AC$65,MATCH(Export_ControlTot!$A13,'Campus Enrol Disaggregation'!$O$5:$O$65,0),MATCH(O$1,'Campus Enrol Disaggregation'!$P$4:$AC$4,0))</f>
        <v>0</v>
      </c>
    </row>
    <row r="14" spans="1:15" x14ac:dyDescent="0.25">
      <c r="A14" s="3">
        <v>2002</v>
      </c>
      <c r="B14" s="34">
        <f>INDEX('Campus Enrol Disaggregation'!$P$5:$AC$65,MATCH(Export_ControlTot!$A14,'Campus Enrol Disaggregation'!$O$5:$O$65,0),MATCH(B$1,'Campus Enrol Disaggregation'!$P$4:$AC$4,0))</f>
        <v>32400</v>
      </c>
      <c r="C14" s="34">
        <f>INDEX('Campus Enrol Disaggregation'!$P$5:$AC$65,MATCH(Export_ControlTot!$A14,'Campus Enrol Disaggregation'!$O$5:$O$65,0),MATCH(C$1,'Campus Enrol Disaggregation'!$P$4:$AC$4,0))</f>
        <v>0</v>
      </c>
      <c r="D14" s="34">
        <f>INDEX('Campus Enrol Disaggregation'!$P$5:$AC$65,MATCH(Export_ControlTot!$A14,'Campus Enrol Disaggregation'!$O$5:$O$65,0),MATCH(D$1,'Campus Enrol Disaggregation'!$P$4:$AC$4,0))</f>
        <v>12600</v>
      </c>
      <c r="E14" s="34">
        <f>INDEX('Campus Enrol Disaggregation'!$P$5:$AC$65,MATCH(Export_ControlTot!$A14,'Campus Enrol Disaggregation'!$O$5:$O$65,0),MATCH(E$1,'Campus Enrol Disaggregation'!$P$4:$AC$4,0))</f>
        <v>4400</v>
      </c>
      <c r="F14" s="34">
        <f>INDEX('Campus Enrol Disaggregation'!$P$5:$AC$65,MATCH(Export_ControlTot!$A14,'Campus Enrol Disaggregation'!$O$5:$O$65,0),MATCH(F$1,'Campus Enrol Disaggregation'!$P$4:$AC$4,0))</f>
        <v>1100</v>
      </c>
      <c r="G14" s="34">
        <f>INDEX('Campus Enrol Disaggregation'!$P$5:$AC$65,MATCH(Export_ControlTot!$A14,'Campus Enrol Disaggregation'!$O$5:$O$65,0),MATCH(G$1,'Campus Enrol Disaggregation'!$P$4:$AC$4,0))</f>
        <v>3900</v>
      </c>
      <c r="H14" s="34">
        <f>INDEX('Campus Enrol Disaggregation'!$P$5:$AC$65,MATCH(Export_ControlTot!$A14,'Campus Enrol Disaggregation'!$O$5:$O$65,0),MATCH(H$1,'Campus Enrol Disaggregation'!$P$4:$AC$4,0))</f>
        <v>27600</v>
      </c>
      <c r="I14" s="34">
        <f>INDEX('Campus Enrol Disaggregation'!$P$5:$AC$65,MATCH(Export_ControlTot!$A14,'Campus Enrol Disaggregation'!$O$5:$O$65,0),MATCH(I$1,'Campus Enrol Disaggregation'!$P$4:$AC$4,0))</f>
        <v>23600</v>
      </c>
      <c r="J14" s="34">
        <f>INDEX('Campus Enrol Disaggregation'!$P$5:$AC$65,MATCH(Export_ControlTot!$A14,'Campus Enrol Disaggregation'!$O$5:$O$65,0),MATCH(J$1,'Campus Enrol Disaggregation'!$P$4:$AC$4,0))</f>
        <v>0</v>
      </c>
      <c r="K14" s="34">
        <f>INDEX('Campus Enrol Disaggregation'!$P$5:$AC$65,MATCH(Export_ControlTot!$A14,'Campus Enrol Disaggregation'!$O$5:$O$65,0),MATCH(K$1,'Campus Enrol Disaggregation'!$P$4:$AC$4,0))</f>
        <v>0</v>
      </c>
      <c r="L14" s="34">
        <f>INDEX('Campus Enrol Disaggregation'!$P$5:$AC$65,MATCH(Export_ControlTot!$A14,'Campus Enrol Disaggregation'!$O$5:$O$65,0),MATCH(L$1,'Campus Enrol Disaggregation'!$P$4:$AC$4,0))</f>
        <v>0</v>
      </c>
      <c r="M14" s="34">
        <f>INDEX('Campus Enrol Disaggregation'!$P$5:$AC$65,MATCH(Export_ControlTot!$A14,'Campus Enrol Disaggregation'!$O$5:$O$65,0),MATCH(M$1,'Campus Enrol Disaggregation'!$P$4:$AC$4,0))</f>
        <v>13600</v>
      </c>
      <c r="N14" s="34">
        <f>INDEX('Campus Enrol Disaggregation'!$P$5:$AC$65,MATCH(Export_ControlTot!$A14,'Campus Enrol Disaggregation'!$O$5:$O$65,0),MATCH(N$1,'Campus Enrol Disaggregation'!$P$4:$AC$4,0))</f>
        <v>3550</v>
      </c>
      <c r="O14" s="34">
        <f>INDEX('Campus Enrol Disaggregation'!$P$5:$AC$65,MATCH(Export_ControlTot!$A14,'Campus Enrol Disaggregation'!$O$5:$O$65,0),MATCH(O$1,'Campus Enrol Disaggregation'!$P$4:$AC$4,0))</f>
        <v>0</v>
      </c>
    </row>
    <row r="15" spans="1:15" x14ac:dyDescent="0.25">
      <c r="A15" s="3">
        <v>2003</v>
      </c>
      <c r="B15" s="34">
        <f>INDEX('Campus Enrol Disaggregation'!$P$5:$AC$65,MATCH(Export_ControlTot!$A15,'Campus Enrol Disaggregation'!$O$5:$O$65,0),MATCH(B$1,'Campus Enrol Disaggregation'!$P$4:$AC$4,0))</f>
        <v>33000</v>
      </c>
      <c r="C15" s="34">
        <f>INDEX('Campus Enrol Disaggregation'!$P$5:$AC$65,MATCH(Export_ControlTot!$A15,'Campus Enrol Disaggregation'!$O$5:$O$65,0),MATCH(C$1,'Campus Enrol Disaggregation'!$P$4:$AC$4,0))</f>
        <v>1300</v>
      </c>
      <c r="D15" s="34">
        <f>INDEX('Campus Enrol Disaggregation'!$P$5:$AC$65,MATCH(Export_ControlTot!$A15,'Campus Enrol Disaggregation'!$O$5:$O$65,0),MATCH(D$1,'Campus Enrol Disaggregation'!$P$4:$AC$4,0))</f>
        <v>12750</v>
      </c>
      <c r="E15" s="34">
        <f>INDEX('Campus Enrol Disaggregation'!$P$5:$AC$65,MATCH(Export_ControlTot!$A15,'Campus Enrol Disaggregation'!$O$5:$O$65,0),MATCH(E$1,'Campus Enrol Disaggregation'!$P$4:$AC$4,0))</f>
        <v>4450</v>
      </c>
      <c r="F15" s="34">
        <f>INDEX('Campus Enrol Disaggregation'!$P$5:$AC$65,MATCH(Export_ControlTot!$A15,'Campus Enrol Disaggregation'!$O$5:$O$65,0),MATCH(F$1,'Campus Enrol Disaggregation'!$P$4:$AC$4,0))</f>
        <v>1100</v>
      </c>
      <c r="G15" s="34">
        <f>INDEX('Campus Enrol Disaggregation'!$P$5:$AC$65,MATCH(Export_ControlTot!$A15,'Campus Enrol Disaggregation'!$O$5:$O$65,0),MATCH(G$1,'Campus Enrol Disaggregation'!$P$4:$AC$4,0))</f>
        <v>3950</v>
      </c>
      <c r="H15" s="34">
        <f>INDEX('Campus Enrol Disaggregation'!$P$5:$AC$65,MATCH(Export_ControlTot!$A15,'Campus Enrol Disaggregation'!$O$5:$O$65,0),MATCH(H$1,'Campus Enrol Disaggregation'!$P$4:$AC$4,0))</f>
        <v>27700</v>
      </c>
      <c r="I15" s="34">
        <f>INDEX('Campus Enrol Disaggregation'!$P$5:$AC$65,MATCH(Export_ControlTot!$A15,'Campus Enrol Disaggregation'!$O$5:$O$65,0),MATCH(I$1,'Campus Enrol Disaggregation'!$P$4:$AC$4,0))</f>
        <v>23800</v>
      </c>
      <c r="J15" s="34">
        <f>INDEX('Campus Enrol Disaggregation'!$P$5:$AC$65,MATCH(Export_ControlTot!$A15,'Campus Enrol Disaggregation'!$O$5:$O$65,0),MATCH(J$1,'Campus Enrol Disaggregation'!$P$4:$AC$4,0))</f>
        <v>0</v>
      </c>
      <c r="K15" s="34">
        <f>INDEX('Campus Enrol Disaggregation'!$P$5:$AC$65,MATCH(Export_ControlTot!$A15,'Campus Enrol Disaggregation'!$O$5:$O$65,0),MATCH(K$1,'Campus Enrol Disaggregation'!$P$4:$AC$4,0))</f>
        <v>0</v>
      </c>
      <c r="L15" s="34">
        <f>INDEX('Campus Enrol Disaggregation'!$P$5:$AC$65,MATCH(Export_ControlTot!$A15,'Campus Enrol Disaggregation'!$O$5:$O$65,0),MATCH(L$1,'Campus Enrol Disaggregation'!$P$4:$AC$4,0))</f>
        <v>0</v>
      </c>
      <c r="M15" s="34">
        <f>INDEX('Campus Enrol Disaggregation'!$P$5:$AC$65,MATCH(Export_ControlTot!$A15,'Campus Enrol Disaggregation'!$O$5:$O$65,0),MATCH(M$1,'Campus Enrol Disaggregation'!$P$4:$AC$4,0))</f>
        <v>14150</v>
      </c>
      <c r="N15" s="34">
        <f>INDEX('Campus Enrol Disaggregation'!$P$5:$AC$65,MATCH(Export_ControlTot!$A15,'Campus Enrol Disaggregation'!$O$5:$O$65,0),MATCH(N$1,'Campus Enrol Disaggregation'!$P$4:$AC$4,0))</f>
        <v>3700</v>
      </c>
      <c r="O15" s="34">
        <f>INDEX('Campus Enrol Disaggregation'!$P$5:$AC$65,MATCH(Export_ControlTot!$A15,'Campus Enrol Disaggregation'!$O$5:$O$65,0),MATCH(O$1,'Campus Enrol Disaggregation'!$P$4:$AC$4,0))</f>
        <v>0</v>
      </c>
    </row>
    <row r="16" spans="1:15" x14ac:dyDescent="0.25">
      <c r="A16" s="3">
        <v>2004</v>
      </c>
      <c r="B16" s="34">
        <f>INDEX('Campus Enrol Disaggregation'!$P$5:$AC$65,MATCH(Export_ControlTot!$A16,'Campus Enrol Disaggregation'!$O$5:$O$65,0),MATCH(B$1,'Campus Enrol Disaggregation'!$P$4:$AC$4,0))</f>
        <v>33450</v>
      </c>
      <c r="C16" s="34">
        <f>INDEX('Campus Enrol Disaggregation'!$P$5:$AC$65,MATCH(Export_ControlTot!$A16,'Campus Enrol Disaggregation'!$O$5:$O$65,0),MATCH(C$1,'Campus Enrol Disaggregation'!$P$4:$AC$4,0))</f>
        <v>1400</v>
      </c>
      <c r="D16" s="34">
        <f>INDEX('Campus Enrol Disaggregation'!$P$5:$AC$65,MATCH(Export_ControlTot!$A16,'Campus Enrol Disaggregation'!$O$5:$O$65,0),MATCH(D$1,'Campus Enrol Disaggregation'!$P$4:$AC$4,0))</f>
        <v>13550</v>
      </c>
      <c r="E16" s="34">
        <f>INDEX('Campus Enrol Disaggregation'!$P$5:$AC$65,MATCH(Export_ControlTot!$A16,'Campus Enrol Disaggregation'!$O$5:$O$65,0),MATCH(E$1,'Campus Enrol Disaggregation'!$P$4:$AC$4,0))</f>
        <v>4750</v>
      </c>
      <c r="F16" s="34">
        <f>INDEX('Campus Enrol Disaggregation'!$P$5:$AC$65,MATCH(Export_ControlTot!$A16,'Campus Enrol Disaggregation'!$O$5:$O$65,0),MATCH(F$1,'Campus Enrol Disaggregation'!$P$4:$AC$4,0))</f>
        <v>1200</v>
      </c>
      <c r="G16" s="34">
        <f>INDEX('Campus Enrol Disaggregation'!$P$5:$AC$65,MATCH(Export_ControlTot!$A16,'Campus Enrol Disaggregation'!$O$5:$O$65,0),MATCH(G$1,'Campus Enrol Disaggregation'!$P$4:$AC$4,0))</f>
        <v>4200</v>
      </c>
      <c r="H16" s="34">
        <f>INDEX('Campus Enrol Disaggregation'!$P$5:$AC$65,MATCH(Export_ControlTot!$A16,'Campus Enrol Disaggregation'!$O$5:$O$65,0),MATCH(H$1,'Campus Enrol Disaggregation'!$P$4:$AC$4,0))</f>
        <v>28150</v>
      </c>
      <c r="I16" s="34">
        <f>INDEX('Campus Enrol Disaggregation'!$P$5:$AC$65,MATCH(Export_ControlTot!$A16,'Campus Enrol Disaggregation'!$O$5:$O$65,0),MATCH(I$1,'Campus Enrol Disaggregation'!$P$4:$AC$4,0))</f>
        <v>24150</v>
      </c>
      <c r="J16" s="34">
        <f>INDEX('Campus Enrol Disaggregation'!$P$5:$AC$65,MATCH(Export_ControlTot!$A16,'Campus Enrol Disaggregation'!$O$5:$O$65,0),MATCH(J$1,'Campus Enrol Disaggregation'!$P$4:$AC$4,0))</f>
        <v>0</v>
      </c>
      <c r="K16" s="34">
        <f>INDEX('Campus Enrol Disaggregation'!$P$5:$AC$65,MATCH(Export_ControlTot!$A16,'Campus Enrol Disaggregation'!$O$5:$O$65,0),MATCH(K$1,'Campus Enrol Disaggregation'!$P$4:$AC$4,0))</f>
        <v>0</v>
      </c>
      <c r="L16" s="34">
        <f>INDEX('Campus Enrol Disaggregation'!$P$5:$AC$65,MATCH(Export_ControlTot!$A16,'Campus Enrol Disaggregation'!$O$5:$O$65,0),MATCH(L$1,'Campus Enrol Disaggregation'!$P$4:$AC$4,0))</f>
        <v>0</v>
      </c>
      <c r="M16" s="34">
        <f>INDEX('Campus Enrol Disaggregation'!$P$5:$AC$65,MATCH(Export_ControlTot!$A16,'Campus Enrol Disaggregation'!$O$5:$O$65,0),MATCH(M$1,'Campus Enrol Disaggregation'!$P$4:$AC$4,0))</f>
        <v>13900</v>
      </c>
      <c r="N16" s="34">
        <f>INDEX('Campus Enrol Disaggregation'!$P$5:$AC$65,MATCH(Export_ControlTot!$A16,'Campus Enrol Disaggregation'!$O$5:$O$65,0),MATCH(N$1,'Campus Enrol Disaggregation'!$P$4:$AC$4,0))</f>
        <v>3650</v>
      </c>
      <c r="O16" s="34">
        <f>INDEX('Campus Enrol Disaggregation'!$P$5:$AC$65,MATCH(Export_ControlTot!$A16,'Campus Enrol Disaggregation'!$O$5:$O$65,0),MATCH(O$1,'Campus Enrol Disaggregation'!$P$4:$AC$4,0))</f>
        <v>0</v>
      </c>
    </row>
    <row r="17" spans="1:15" x14ac:dyDescent="0.25">
      <c r="A17" s="3">
        <v>2005</v>
      </c>
      <c r="B17" s="34">
        <f>INDEX('Campus Enrol Disaggregation'!$P$5:$AC$65,MATCH(Export_ControlTot!$A17,'Campus Enrol Disaggregation'!$O$5:$O$65,0),MATCH(B$1,'Campus Enrol Disaggregation'!$P$4:$AC$4,0))</f>
        <v>32900</v>
      </c>
      <c r="C17" s="34">
        <f>INDEX('Campus Enrol Disaggregation'!$P$5:$AC$65,MATCH(Export_ControlTot!$A17,'Campus Enrol Disaggregation'!$O$5:$O$65,0),MATCH(C$1,'Campus Enrol Disaggregation'!$P$4:$AC$4,0))</f>
        <v>1500</v>
      </c>
      <c r="D17" s="34">
        <f>INDEX('Campus Enrol Disaggregation'!$P$5:$AC$65,MATCH(Export_ControlTot!$A17,'Campus Enrol Disaggregation'!$O$5:$O$65,0),MATCH(D$1,'Campus Enrol Disaggregation'!$P$4:$AC$4,0))</f>
        <v>13500</v>
      </c>
      <c r="E17" s="34">
        <f>INDEX('Campus Enrol Disaggregation'!$P$5:$AC$65,MATCH(Export_ControlTot!$A17,'Campus Enrol Disaggregation'!$O$5:$O$65,0),MATCH(E$1,'Campus Enrol Disaggregation'!$P$4:$AC$4,0))</f>
        <v>4700</v>
      </c>
      <c r="F17" s="34">
        <f>INDEX('Campus Enrol Disaggregation'!$P$5:$AC$65,MATCH(Export_ControlTot!$A17,'Campus Enrol Disaggregation'!$O$5:$O$65,0),MATCH(F$1,'Campus Enrol Disaggregation'!$P$4:$AC$4,0))</f>
        <v>1200</v>
      </c>
      <c r="G17" s="34">
        <f>INDEX('Campus Enrol Disaggregation'!$P$5:$AC$65,MATCH(Export_ControlTot!$A17,'Campus Enrol Disaggregation'!$O$5:$O$65,0),MATCH(G$1,'Campus Enrol Disaggregation'!$P$4:$AC$4,0))</f>
        <v>4200</v>
      </c>
      <c r="H17" s="34">
        <f>INDEX('Campus Enrol Disaggregation'!$P$5:$AC$65,MATCH(Export_ControlTot!$A17,'Campus Enrol Disaggregation'!$O$5:$O$65,0),MATCH(H$1,'Campus Enrol Disaggregation'!$P$4:$AC$4,0))</f>
        <v>28250</v>
      </c>
      <c r="I17" s="34">
        <f>INDEX('Campus Enrol Disaggregation'!$P$5:$AC$65,MATCH(Export_ControlTot!$A17,'Campus Enrol Disaggregation'!$O$5:$O$65,0),MATCH(I$1,'Campus Enrol Disaggregation'!$P$4:$AC$4,0))</f>
        <v>24500</v>
      </c>
      <c r="J17" s="34">
        <f>INDEX('Campus Enrol Disaggregation'!$P$5:$AC$65,MATCH(Export_ControlTot!$A17,'Campus Enrol Disaggregation'!$O$5:$O$65,0),MATCH(J$1,'Campus Enrol Disaggregation'!$P$4:$AC$4,0))</f>
        <v>0</v>
      </c>
      <c r="K17" s="34">
        <f>INDEX('Campus Enrol Disaggregation'!$P$5:$AC$65,MATCH(Export_ControlTot!$A17,'Campus Enrol Disaggregation'!$O$5:$O$65,0),MATCH(K$1,'Campus Enrol Disaggregation'!$P$4:$AC$4,0))</f>
        <v>0</v>
      </c>
      <c r="L17" s="34">
        <f>INDEX('Campus Enrol Disaggregation'!$P$5:$AC$65,MATCH(Export_ControlTot!$A17,'Campus Enrol Disaggregation'!$O$5:$O$65,0),MATCH(L$1,'Campus Enrol Disaggregation'!$P$4:$AC$4,0))</f>
        <v>0</v>
      </c>
      <c r="M17" s="34">
        <f>INDEX('Campus Enrol Disaggregation'!$P$5:$AC$65,MATCH(Export_ControlTot!$A17,'Campus Enrol Disaggregation'!$O$5:$O$65,0),MATCH(M$1,'Campus Enrol Disaggregation'!$P$4:$AC$4,0))</f>
        <v>13650</v>
      </c>
      <c r="N17" s="34">
        <f>INDEX('Campus Enrol Disaggregation'!$P$5:$AC$65,MATCH(Export_ControlTot!$A17,'Campus Enrol Disaggregation'!$O$5:$O$65,0),MATCH(N$1,'Campus Enrol Disaggregation'!$P$4:$AC$4,0))</f>
        <v>3600</v>
      </c>
      <c r="O17" s="34">
        <f>INDEX('Campus Enrol Disaggregation'!$P$5:$AC$65,MATCH(Export_ControlTot!$A17,'Campus Enrol Disaggregation'!$O$5:$O$65,0),MATCH(O$1,'Campus Enrol Disaggregation'!$P$4:$AC$4,0))</f>
        <v>0</v>
      </c>
    </row>
    <row r="18" spans="1:15" x14ac:dyDescent="0.25">
      <c r="A18" s="3">
        <v>2006</v>
      </c>
      <c r="B18" s="34">
        <f>INDEX('Campus Enrol Disaggregation'!$P$5:$AC$65,MATCH(Export_ControlTot!$A18,'Campus Enrol Disaggregation'!$O$5:$O$65,0),MATCH(B$1,'Campus Enrol Disaggregation'!$P$4:$AC$4,0))</f>
        <v>32700</v>
      </c>
      <c r="C18" s="34">
        <f>INDEX('Campus Enrol Disaggregation'!$P$5:$AC$65,MATCH(Export_ControlTot!$A18,'Campus Enrol Disaggregation'!$O$5:$O$65,0),MATCH(C$1,'Campus Enrol Disaggregation'!$P$4:$AC$4,0))</f>
        <v>1600</v>
      </c>
      <c r="D18" s="34">
        <f>INDEX('Campus Enrol Disaggregation'!$P$5:$AC$65,MATCH(Export_ControlTot!$A18,'Campus Enrol Disaggregation'!$O$5:$O$65,0),MATCH(D$1,'Campus Enrol Disaggregation'!$P$4:$AC$4,0))</f>
        <v>13250</v>
      </c>
      <c r="E18" s="34">
        <f>INDEX('Campus Enrol Disaggregation'!$P$5:$AC$65,MATCH(Export_ControlTot!$A18,'Campus Enrol Disaggregation'!$O$5:$O$65,0),MATCH(E$1,'Campus Enrol Disaggregation'!$P$4:$AC$4,0))</f>
        <v>4650</v>
      </c>
      <c r="F18" s="34">
        <f>INDEX('Campus Enrol Disaggregation'!$P$5:$AC$65,MATCH(Export_ControlTot!$A18,'Campus Enrol Disaggregation'!$O$5:$O$65,0),MATCH(F$1,'Campus Enrol Disaggregation'!$P$4:$AC$4,0))</f>
        <v>1150</v>
      </c>
      <c r="G18" s="34">
        <f>INDEX('Campus Enrol Disaggregation'!$P$5:$AC$65,MATCH(Export_ControlTot!$A18,'Campus Enrol Disaggregation'!$O$5:$O$65,0),MATCH(G$1,'Campus Enrol Disaggregation'!$P$4:$AC$4,0))</f>
        <v>4100</v>
      </c>
      <c r="H18" s="34">
        <f>INDEX('Campus Enrol Disaggregation'!$P$5:$AC$65,MATCH(Export_ControlTot!$A18,'Campus Enrol Disaggregation'!$O$5:$O$65,0),MATCH(H$1,'Campus Enrol Disaggregation'!$P$4:$AC$4,0))</f>
        <v>27850</v>
      </c>
      <c r="I18" s="34">
        <f>INDEX('Campus Enrol Disaggregation'!$P$5:$AC$65,MATCH(Export_ControlTot!$A18,'Campus Enrol Disaggregation'!$O$5:$O$65,0),MATCH(I$1,'Campus Enrol Disaggregation'!$P$4:$AC$4,0))</f>
        <v>23300</v>
      </c>
      <c r="J18" s="34">
        <f>INDEX('Campus Enrol Disaggregation'!$P$5:$AC$65,MATCH(Export_ControlTot!$A18,'Campus Enrol Disaggregation'!$O$5:$O$65,0),MATCH(J$1,'Campus Enrol Disaggregation'!$P$4:$AC$4,0))</f>
        <v>0</v>
      </c>
      <c r="K18" s="34">
        <f>INDEX('Campus Enrol Disaggregation'!$P$5:$AC$65,MATCH(Export_ControlTot!$A18,'Campus Enrol Disaggregation'!$O$5:$O$65,0),MATCH(K$1,'Campus Enrol Disaggregation'!$P$4:$AC$4,0))</f>
        <v>0</v>
      </c>
      <c r="L18" s="34">
        <f>INDEX('Campus Enrol Disaggregation'!$P$5:$AC$65,MATCH(Export_ControlTot!$A18,'Campus Enrol Disaggregation'!$O$5:$O$65,0),MATCH(L$1,'Campus Enrol Disaggregation'!$P$4:$AC$4,0))</f>
        <v>0</v>
      </c>
      <c r="M18" s="34">
        <f>INDEX('Campus Enrol Disaggregation'!$P$5:$AC$65,MATCH(Export_ControlTot!$A18,'Campus Enrol Disaggregation'!$O$5:$O$65,0),MATCH(M$1,'Campus Enrol Disaggregation'!$P$4:$AC$4,0))</f>
        <v>13750</v>
      </c>
      <c r="N18" s="34">
        <f>INDEX('Campus Enrol Disaggregation'!$P$5:$AC$65,MATCH(Export_ControlTot!$A18,'Campus Enrol Disaggregation'!$O$5:$O$65,0),MATCH(N$1,'Campus Enrol Disaggregation'!$P$4:$AC$4,0))</f>
        <v>3600</v>
      </c>
      <c r="O18" s="34">
        <f>INDEX('Campus Enrol Disaggregation'!$P$5:$AC$65,MATCH(Export_ControlTot!$A18,'Campus Enrol Disaggregation'!$O$5:$O$65,0),MATCH(O$1,'Campus Enrol Disaggregation'!$P$4:$AC$4,0))</f>
        <v>2500</v>
      </c>
    </row>
    <row r="19" spans="1:15" x14ac:dyDescent="0.25">
      <c r="A19" s="3">
        <v>2007</v>
      </c>
      <c r="B19" s="34">
        <f>INDEX('Campus Enrol Disaggregation'!$P$5:$AC$65,MATCH(Export_ControlTot!$A19,'Campus Enrol Disaggregation'!$O$5:$O$65,0),MATCH(B$1,'Campus Enrol Disaggregation'!$P$4:$AC$4,0))</f>
        <v>32950</v>
      </c>
      <c r="C19" s="34">
        <f>INDEX('Campus Enrol Disaggregation'!$P$5:$AC$65,MATCH(Export_ControlTot!$A19,'Campus Enrol Disaggregation'!$O$5:$O$65,0),MATCH(C$1,'Campus Enrol Disaggregation'!$P$4:$AC$4,0))</f>
        <v>1700</v>
      </c>
      <c r="D19" s="34">
        <f>INDEX('Campus Enrol Disaggregation'!$P$5:$AC$65,MATCH(Export_ControlTot!$A19,'Campus Enrol Disaggregation'!$O$5:$O$65,0),MATCH(D$1,'Campus Enrol Disaggregation'!$P$4:$AC$4,0))</f>
        <v>13250</v>
      </c>
      <c r="E19" s="34">
        <f>INDEX('Campus Enrol Disaggregation'!$P$5:$AC$65,MATCH(Export_ControlTot!$A19,'Campus Enrol Disaggregation'!$O$5:$O$65,0),MATCH(E$1,'Campus Enrol Disaggregation'!$P$4:$AC$4,0))</f>
        <v>4650</v>
      </c>
      <c r="F19" s="34">
        <f>INDEX('Campus Enrol Disaggregation'!$P$5:$AC$65,MATCH(Export_ControlTot!$A19,'Campus Enrol Disaggregation'!$O$5:$O$65,0),MATCH(F$1,'Campus Enrol Disaggregation'!$P$4:$AC$4,0))</f>
        <v>1150</v>
      </c>
      <c r="G19" s="34">
        <f>INDEX('Campus Enrol Disaggregation'!$P$5:$AC$65,MATCH(Export_ControlTot!$A19,'Campus Enrol Disaggregation'!$O$5:$O$65,0),MATCH(G$1,'Campus Enrol Disaggregation'!$P$4:$AC$4,0))</f>
        <v>4100</v>
      </c>
      <c r="H19" s="34">
        <f>INDEX('Campus Enrol Disaggregation'!$P$5:$AC$65,MATCH(Export_ControlTot!$A19,'Campus Enrol Disaggregation'!$O$5:$O$65,0),MATCH(H$1,'Campus Enrol Disaggregation'!$P$4:$AC$4,0))</f>
        <v>27300</v>
      </c>
      <c r="I19" s="34">
        <f>INDEX('Campus Enrol Disaggregation'!$P$5:$AC$65,MATCH(Export_ControlTot!$A19,'Campus Enrol Disaggregation'!$O$5:$O$65,0),MATCH(I$1,'Campus Enrol Disaggregation'!$P$4:$AC$4,0))</f>
        <v>23850</v>
      </c>
      <c r="J19" s="34">
        <f>INDEX('Campus Enrol Disaggregation'!$P$5:$AC$65,MATCH(Export_ControlTot!$A19,'Campus Enrol Disaggregation'!$O$5:$O$65,0),MATCH(J$1,'Campus Enrol Disaggregation'!$P$4:$AC$4,0))</f>
        <v>0</v>
      </c>
      <c r="K19" s="34">
        <f>INDEX('Campus Enrol Disaggregation'!$P$5:$AC$65,MATCH(Export_ControlTot!$A19,'Campus Enrol Disaggregation'!$O$5:$O$65,0),MATCH(K$1,'Campus Enrol Disaggregation'!$P$4:$AC$4,0))</f>
        <v>0</v>
      </c>
      <c r="L19" s="34">
        <f>INDEX('Campus Enrol Disaggregation'!$P$5:$AC$65,MATCH(Export_ControlTot!$A19,'Campus Enrol Disaggregation'!$O$5:$O$65,0),MATCH(L$1,'Campus Enrol Disaggregation'!$P$4:$AC$4,0))</f>
        <v>0</v>
      </c>
      <c r="M19" s="34">
        <f>INDEX('Campus Enrol Disaggregation'!$P$5:$AC$65,MATCH(Export_ControlTot!$A19,'Campus Enrol Disaggregation'!$O$5:$O$65,0),MATCH(M$1,'Campus Enrol Disaggregation'!$P$4:$AC$4,0))</f>
        <v>13600</v>
      </c>
      <c r="N19" s="34">
        <f>INDEX('Campus Enrol Disaggregation'!$P$5:$AC$65,MATCH(Export_ControlTot!$A19,'Campus Enrol Disaggregation'!$O$5:$O$65,0),MATCH(N$1,'Campus Enrol Disaggregation'!$P$4:$AC$4,0))</f>
        <v>3550</v>
      </c>
      <c r="O19" s="34">
        <f>INDEX('Campus Enrol Disaggregation'!$P$5:$AC$65,MATCH(Export_ControlTot!$A19,'Campus Enrol Disaggregation'!$O$5:$O$65,0),MATCH(O$1,'Campus Enrol Disaggregation'!$P$4:$AC$4,0))</f>
        <v>2650</v>
      </c>
    </row>
    <row r="20" spans="1:15" x14ac:dyDescent="0.25">
      <c r="A20" s="3">
        <v>2008</v>
      </c>
      <c r="B20" s="34">
        <f>INDEX('Campus Enrol Disaggregation'!$P$5:$AC$65,MATCH(Export_ControlTot!$A20,'Campus Enrol Disaggregation'!$O$5:$O$65,0),MATCH(B$1,'Campus Enrol Disaggregation'!$P$4:$AC$4,0))</f>
        <v>33000</v>
      </c>
      <c r="C20" s="34">
        <f>INDEX('Campus Enrol Disaggregation'!$P$5:$AC$65,MATCH(Export_ControlTot!$A20,'Campus Enrol Disaggregation'!$O$5:$O$65,0),MATCH(C$1,'Campus Enrol Disaggregation'!$P$4:$AC$4,0))</f>
        <v>1800</v>
      </c>
      <c r="D20" s="34">
        <f>INDEX('Campus Enrol Disaggregation'!$P$5:$AC$65,MATCH(Export_ControlTot!$A20,'Campus Enrol Disaggregation'!$O$5:$O$65,0),MATCH(D$1,'Campus Enrol Disaggregation'!$P$4:$AC$4,0))</f>
        <v>15750</v>
      </c>
      <c r="E20" s="34">
        <f>INDEX('Campus Enrol Disaggregation'!$P$5:$AC$65,MATCH(Export_ControlTot!$A20,'Campus Enrol Disaggregation'!$O$5:$O$65,0),MATCH(E$1,'Campus Enrol Disaggregation'!$P$4:$AC$4,0))</f>
        <v>5500</v>
      </c>
      <c r="F20" s="34">
        <f>INDEX('Campus Enrol Disaggregation'!$P$5:$AC$65,MATCH(Export_ControlTot!$A20,'Campus Enrol Disaggregation'!$O$5:$O$65,0),MATCH(F$1,'Campus Enrol Disaggregation'!$P$4:$AC$4,0))</f>
        <v>1350</v>
      </c>
      <c r="G20" s="34">
        <f>INDEX('Campus Enrol Disaggregation'!$P$5:$AC$65,MATCH(Export_ControlTot!$A20,'Campus Enrol Disaggregation'!$O$5:$O$65,0),MATCH(G$1,'Campus Enrol Disaggregation'!$P$4:$AC$4,0))</f>
        <v>4900</v>
      </c>
      <c r="H20" s="34">
        <f>INDEX('Campus Enrol Disaggregation'!$P$5:$AC$65,MATCH(Export_ControlTot!$A20,'Campus Enrol Disaggregation'!$O$5:$O$65,0),MATCH(H$1,'Campus Enrol Disaggregation'!$P$4:$AC$4,0))</f>
        <v>27450</v>
      </c>
      <c r="I20" s="34">
        <f>INDEX('Campus Enrol Disaggregation'!$P$5:$AC$65,MATCH(Export_ControlTot!$A20,'Campus Enrol Disaggregation'!$O$5:$O$65,0),MATCH(I$1,'Campus Enrol Disaggregation'!$P$4:$AC$4,0))</f>
        <v>27050</v>
      </c>
      <c r="J20" s="34">
        <f>INDEX('Campus Enrol Disaggregation'!$P$5:$AC$65,MATCH(Export_ControlTot!$A20,'Campus Enrol Disaggregation'!$O$5:$O$65,0),MATCH(J$1,'Campus Enrol Disaggregation'!$P$4:$AC$4,0))</f>
        <v>0</v>
      </c>
      <c r="K20" s="34">
        <f>INDEX('Campus Enrol Disaggregation'!$P$5:$AC$65,MATCH(Export_ControlTot!$A20,'Campus Enrol Disaggregation'!$O$5:$O$65,0),MATCH(K$1,'Campus Enrol Disaggregation'!$P$4:$AC$4,0))</f>
        <v>0</v>
      </c>
      <c r="L20" s="34">
        <f>INDEX('Campus Enrol Disaggregation'!$P$5:$AC$65,MATCH(Export_ControlTot!$A20,'Campus Enrol Disaggregation'!$O$5:$O$65,0),MATCH(L$1,'Campus Enrol Disaggregation'!$P$4:$AC$4,0))</f>
        <v>0</v>
      </c>
      <c r="M20" s="34">
        <f>INDEX('Campus Enrol Disaggregation'!$P$5:$AC$65,MATCH(Export_ControlTot!$A20,'Campus Enrol Disaggregation'!$O$5:$O$65,0),MATCH(M$1,'Campus Enrol Disaggregation'!$P$4:$AC$4,0))</f>
        <v>16100</v>
      </c>
      <c r="N20" s="34">
        <f>INDEX('Campus Enrol Disaggregation'!$P$5:$AC$65,MATCH(Export_ControlTot!$A20,'Campus Enrol Disaggregation'!$O$5:$O$65,0),MATCH(N$1,'Campus Enrol Disaggregation'!$P$4:$AC$4,0))</f>
        <v>4250</v>
      </c>
      <c r="O20" s="34">
        <f>INDEX('Campus Enrol Disaggregation'!$P$5:$AC$65,MATCH(Export_ControlTot!$A20,'Campus Enrol Disaggregation'!$O$5:$O$65,0),MATCH(O$1,'Campus Enrol Disaggregation'!$P$4:$AC$4,0))</f>
        <v>2850</v>
      </c>
    </row>
    <row r="21" spans="1:15" x14ac:dyDescent="0.25">
      <c r="A21" s="3">
        <v>2009</v>
      </c>
      <c r="B21" s="34">
        <f>INDEX('Campus Enrol Disaggregation'!$P$5:$AC$65,MATCH(Export_ControlTot!$A21,'Campus Enrol Disaggregation'!$O$5:$O$65,0),MATCH(B$1,'Campus Enrol Disaggregation'!$P$4:$AC$4,0))</f>
        <v>32950</v>
      </c>
      <c r="C21" s="34">
        <f>INDEX('Campus Enrol Disaggregation'!$P$5:$AC$65,MATCH(Export_ControlTot!$A21,'Campus Enrol Disaggregation'!$O$5:$O$65,0),MATCH(C$1,'Campus Enrol Disaggregation'!$P$4:$AC$4,0))</f>
        <v>1900</v>
      </c>
      <c r="D21" s="34">
        <f>INDEX('Campus Enrol Disaggregation'!$P$5:$AC$65,MATCH(Export_ControlTot!$A21,'Campus Enrol Disaggregation'!$O$5:$O$65,0),MATCH(D$1,'Campus Enrol Disaggregation'!$P$4:$AC$4,0))</f>
        <v>21050</v>
      </c>
      <c r="E21" s="34">
        <f>INDEX('Campus Enrol Disaggregation'!$P$5:$AC$65,MATCH(Export_ControlTot!$A21,'Campus Enrol Disaggregation'!$O$5:$O$65,0),MATCH(E$1,'Campus Enrol Disaggregation'!$P$4:$AC$4,0))</f>
        <v>7350</v>
      </c>
      <c r="F21" s="34">
        <f>INDEX('Campus Enrol Disaggregation'!$P$5:$AC$65,MATCH(Export_ControlTot!$A21,'Campus Enrol Disaggregation'!$O$5:$O$65,0),MATCH(F$1,'Campus Enrol Disaggregation'!$P$4:$AC$4,0))</f>
        <v>1850</v>
      </c>
      <c r="G21" s="34">
        <f>INDEX('Campus Enrol Disaggregation'!$P$5:$AC$65,MATCH(Export_ControlTot!$A21,'Campus Enrol Disaggregation'!$O$5:$O$65,0),MATCH(G$1,'Campus Enrol Disaggregation'!$P$4:$AC$4,0))</f>
        <v>6550</v>
      </c>
      <c r="H21" s="34">
        <f>INDEX('Campus Enrol Disaggregation'!$P$5:$AC$65,MATCH(Export_ControlTot!$A21,'Campus Enrol Disaggregation'!$O$5:$O$65,0),MATCH(H$1,'Campus Enrol Disaggregation'!$P$4:$AC$4,0))</f>
        <v>29300</v>
      </c>
      <c r="I21" s="34">
        <f>INDEX('Campus Enrol Disaggregation'!$P$5:$AC$65,MATCH(Export_ControlTot!$A21,'Campus Enrol Disaggregation'!$O$5:$O$65,0),MATCH(I$1,'Campus Enrol Disaggregation'!$P$4:$AC$4,0))</f>
        <v>29050</v>
      </c>
      <c r="J21" s="34">
        <f>INDEX('Campus Enrol Disaggregation'!$P$5:$AC$65,MATCH(Export_ControlTot!$A21,'Campus Enrol Disaggregation'!$O$5:$O$65,0),MATCH(J$1,'Campus Enrol Disaggregation'!$P$4:$AC$4,0))</f>
        <v>0</v>
      </c>
      <c r="K21" s="34">
        <f>INDEX('Campus Enrol Disaggregation'!$P$5:$AC$65,MATCH(Export_ControlTot!$A21,'Campus Enrol Disaggregation'!$O$5:$O$65,0),MATCH(K$1,'Campus Enrol Disaggregation'!$P$4:$AC$4,0))</f>
        <v>0</v>
      </c>
      <c r="L21" s="34">
        <f>INDEX('Campus Enrol Disaggregation'!$P$5:$AC$65,MATCH(Export_ControlTot!$A21,'Campus Enrol Disaggregation'!$O$5:$O$65,0),MATCH(L$1,'Campus Enrol Disaggregation'!$P$4:$AC$4,0))</f>
        <v>0</v>
      </c>
      <c r="M21" s="34">
        <f>INDEX('Campus Enrol Disaggregation'!$P$5:$AC$65,MATCH(Export_ControlTot!$A21,'Campus Enrol Disaggregation'!$O$5:$O$65,0),MATCH(M$1,'Campus Enrol Disaggregation'!$P$4:$AC$4,0))</f>
        <v>17900</v>
      </c>
      <c r="N21" s="34">
        <f>INDEX('Campus Enrol Disaggregation'!$P$5:$AC$65,MATCH(Export_ControlTot!$A21,'Campus Enrol Disaggregation'!$O$5:$O$65,0),MATCH(N$1,'Campus Enrol Disaggregation'!$P$4:$AC$4,0))</f>
        <v>4700</v>
      </c>
      <c r="O21" s="34">
        <f>INDEX('Campus Enrol Disaggregation'!$P$5:$AC$65,MATCH(Export_ControlTot!$A21,'Campus Enrol Disaggregation'!$O$5:$O$65,0),MATCH(O$1,'Campus Enrol Disaggregation'!$P$4:$AC$4,0))</f>
        <v>3050</v>
      </c>
    </row>
    <row r="22" spans="1:15" x14ac:dyDescent="0.25">
      <c r="A22" s="3">
        <v>2010</v>
      </c>
      <c r="B22" s="34">
        <f>INDEX('Campus Enrol Disaggregation'!$P$5:$AC$65,MATCH(Export_ControlTot!$A22,'Campus Enrol Disaggregation'!$O$5:$O$65,0),MATCH(B$1,'Campus Enrol Disaggregation'!$P$4:$AC$4,0))</f>
        <v>32950</v>
      </c>
      <c r="C22" s="34">
        <f>INDEX('Campus Enrol Disaggregation'!$P$5:$AC$65,MATCH(Export_ControlTot!$A22,'Campus Enrol Disaggregation'!$O$5:$O$65,0),MATCH(C$1,'Campus Enrol Disaggregation'!$P$4:$AC$4,0))</f>
        <v>2000</v>
      </c>
      <c r="D22" s="34">
        <f>INDEX('Campus Enrol Disaggregation'!$P$5:$AC$65,MATCH(Export_ControlTot!$A22,'Campus Enrol Disaggregation'!$O$5:$O$65,0),MATCH(D$1,'Campus Enrol Disaggregation'!$P$4:$AC$4,0))</f>
        <v>20200</v>
      </c>
      <c r="E22" s="34">
        <f>INDEX('Campus Enrol Disaggregation'!$P$5:$AC$65,MATCH(Export_ControlTot!$A22,'Campus Enrol Disaggregation'!$O$5:$O$65,0),MATCH(E$1,'Campus Enrol Disaggregation'!$P$4:$AC$4,0))</f>
        <v>7050</v>
      </c>
      <c r="F22" s="34">
        <f>INDEX('Campus Enrol Disaggregation'!$P$5:$AC$65,MATCH(Export_ControlTot!$A22,'Campus Enrol Disaggregation'!$O$5:$O$65,0),MATCH(F$1,'Campus Enrol Disaggregation'!$P$4:$AC$4,0))</f>
        <v>1750</v>
      </c>
      <c r="G22" s="34">
        <f>INDEX('Campus Enrol Disaggregation'!$P$5:$AC$65,MATCH(Export_ControlTot!$A22,'Campus Enrol Disaggregation'!$O$5:$O$65,0),MATCH(G$1,'Campus Enrol Disaggregation'!$P$4:$AC$4,0))</f>
        <v>6250</v>
      </c>
      <c r="H22" s="34">
        <f>INDEX('Campus Enrol Disaggregation'!$P$5:$AC$65,MATCH(Export_ControlTot!$A22,'Campus Enrol Disaggregation'!$O$5:$O$65,0),MATCH(H$1,'Campus Enrol Disaggregation'!$P$4:$AC$4,0))</f>
        <v>30800</v>
      </c>
      <c r="I22" s="34">
        <f>INDEX('Campus Enrol Disaggregation'!$P$5:$AC$65,MATCH(Export_ControlTot!$A22,'Campus Enrol Disaggregation'!$O$5:$O$65,0),MATCH(I$1,'Campus Enrol Disaggregation'!$P$4:$AC$4,0))</f>
        <v>31750</v>
      </c>
      <c r="J22" s="34">
        <f>INDEX('Campus Enrol Disaggregation'!$P$5:$AC$65,MATCH(Export_ControlTot!$A22,'Campus Enrol Disaggregation'!$O$5:$O$65,0),MATCH(J$1,'Campus Enrol Disaggregation'!$P$4:$AC$4,0))</f>
        <v>0</v>
      </c>
      <c r="K22" s="34">
        <f>INDEX('Campus Enrol Disaggregation'!$P$5:$AC$65,MATCH(Export_ControlTot!$A22,'Campus Enrol Disaggregation'!$O$5:$O$65,0),MATCH(K$1,'Campus Enrol Disaggregation'!$P$4:$AC$4,0))</f>
        <v>0</v>
      </c>
      <c r="L22" s="34">
        <f>INDEX('Campus Enrol Disaggregation'!$P$5:$AC$65,MATCH(Export_ControlTot!$A22,'Campus Enrol Disaggregation'!$O$5:$O$65,0),MATCH(L$1,'Campus Enrol Disaggregation'!$P$4:$AC$4,0))</f>
        <v>0</v>
      </c>
      <c r="M22" s="34">
        <f>INDEX('Campus Enrol Disaggregation'!$P$5:$AC$65,MATCH(Export_ControlTot!$A22,'Campus Enrol Disaggregation'!$O$5:$O$65,0),MATCH(M$1,'Campus Enrol Disaggregation'!$P$4:$AC$4,0))</f>
        <v>18400</v>
      </c>
      <c r="N22" s="34">
        <f>INDEX('Campus Enrol Disaggregation'!$P$5:$AC$65,MATCH(Export_ControlTot!$A22,'Campus Enrol Disaggregation'!$O$5:$O$65,0),MATCH(N$1,'Campus Enrol Disaggregation'!$P$4:$AC$4,0))</f>
        <v>4850</v>
      </c>
      <c r="O22" s="34">
        <f>INDEX('Campus Enrol Disaggregation'!$P$5:$AC$65,MATCH(Export_ControlTot!$A22,'Campus Enrol Disaggregation'!$O$5:$O$65,0),MATCH(O$1,'Campus Enrol Disaggregation'!$P$4:$AC$4,0))</f>
        <v>3150</v>
      </c>
    </row>
    <row r="23" spans="1:15" x14ac:dyDescent="0.25">
      <c r="A23" s="3">
        <v>2011</v>
      </c>
      <c r="B23" s="34">
        <f>INDEX('Campus Enrol Disaggregation'!$P$5:$AC$65,MATCH(Export_ControlTot!$A23,'Campus Enrol Disaggregation'!$O$5:$O$65,0),MATCH(B$1,'Campus Enrol Disaggregation'!$P$4:$AC$4,0))</f>
        <v>33000</v>
      </c>
      <c r="C23" s="34">
        <f>INDEX('Campus Enrol Disaggregation'!$P$5:$AC$65,MATCH(Export_ControlTot!$A23,'Campus Enrol Disaggregation'!$O$5:$O$65,0),MATCH(C$1,'Campus Enrol Disaggregation'!$P$4:$AC$4,0))</f>
        <v>2100</v>
      </c>
      <c r="D23" s="34">
        <f>INDEX('Campus Enrol Disaggregation'!$P$5:$AC$65,MATCH(Export_ControlTot!$A23,'Campus Enrol Disaggregation'!$O$5:$O$65,0),MATCH(D$1,'Campus Enrol Disaggregation'!$P$4:$AC$4,0))</f>
        <v>19400</v>
      </c>
      <c r="E23" s="34">
        <f>INDEX('Campus Enrol Disaggregation'!$P$5:$AC$65,MATCH(Export_ControlTot!$A23,'Campus Enrol Disaggregation'!$O$5:$O$65,0),MATCH(E$1,'Campus Enrol Disaggregation'!$P$4:$AC$4,0))</f>
        <v>6800</v>
      </c>
      <c r="F23" s="34">
        <f>INDEX('Campus Enrol Disaggregation'!$P$5:$AC$65,MATCH(Export_ControlTot!$A23,'Campus Enrol Disaggregation'!$O$5:$O$65,0),MATCH(F$1,'Campus Enrol Disaggregation'!$P$4:$AC$4,0))</f>
        <v>1700</v>
      </c>
      <c r="G23" s="34">
        <f>INDEX('Campus Enrol Disaggregation'!$P$5:$AC$65,MATCH(Export_ControlTot!$A23,'Campus Enrol Disaggregation'!$O$5:$O$65,0),MATCH(G$1,'Campus Enrol Disaggregation'!$P$4:$AC$4,0))</f>
        <v>6000</v>
      </c>
      <c r="H23" s="34">
        <f>INDEX('Campus Enrol Disaggregation'!$P$5:$AC$65,MATCH(Export_ControlTot!$A23,'Campus Enrol Disaggregation'!$O$5:$O$65,0),MATCH(H$1,'Campus Enrol Disaggregation'!$P$4:$AC$4,0))</f>
        <v>31850</v>
      </c>
      <c r="I23" s="34">
        <f>INDEX('Campus Enrol Disaggregation'!$P$5:$AC$65,MATCH(Export_ControlTot!$A23,'Campus Enrol Disaggregation'!$O$5:$O$65,0),MATCH(I$1,'Campus Enrol Disaggregation'!$P$4:$AC$4,0))</f>
        <v>32750</v>
      </c>
      <c r="J23" s="34">
        <f>INDEX('Campus Enrol Disaggregation'!$P$5:$AC$65,MATCH(Export_ControlTot!$A23,'Campus Enrol Disaggregation'!$O$5:$O$65,0),MATCH(J$1,'Campus Enrol Disaggregation'!$P$4:$AC$4,0))</f>
        <v>0</v>
      </c>
      <c r="K23" s="34">
        <f>INDEX('Campus Enrol Disaggregation'!$P$5:$AC$65,MATCH(Export_ControlTot!$A23,'Campus Enrol Disaggregation'!$O$5:$O$65,0),MATCH(K$1,'Campus Enrol Disaggregation'!$P$4:$AC$4,0))</f>
        <v>0</v>
      </c>
      <c r="L23" s="34">
        <f>INDEX('Campus Enrol Disaggregation'!$P$5:$AC$65,MATCH(Export_ControlTot!$A23,'Campus Enrol Disaggregation'!$O$5:$O$65,0),MATCH(L$1,'Campus Enrol Disaggregation'!$P$4:$AC$4,0))</f>
        <v>0</v>
      </c>
      <c r="M23" s="34">
        <f>INDEX('Campus Enrol Disaggregation'!$P$5:$AC$65,MATCH(Export_ControlTot!$A23,'Campus Enrol Disaggregation'!$O$5:$O$65,0),MATCH(M$1,'Campus Enrol Disaggregation'!$P$4:$AC$4,0))</f>
        <v>19750</v>
      </c>
      <c r="N23" s="34">
        <f>INDEX('Campus Enrol Disaggregation'!$P$5:$AC$65,MATCH(Export_ControlTot!$A23,'Campus Enrol Disaggregation'!$O$5:$O$65,0),MATCH(N$1,'Campus Enrol Disaggregation'!$P$4:$AC$4,0))</f>
        <v>5200</v>
      </c>
      <c r="O23" s="34">
        <f>INDEX('Campus Enrol Disaggregation'!$P$5:$AC$65,MATCH(Export_ControlTot!$A23,'Campus Enrol Disaggregation'!$O$5:$O$65,0),MATCH(O$1,'Campus Enrol Disaggregation'!$P$4:$AC$4,0))</f>
        <v>3350</v>
      </c>
    </row>
    <row r="24" spans="1:15" x14ac:dyDescent="0.25">
      <c r="A24" s="3">
        <v>2012</v>
      </c>
      <c r="B24" s="34">
        <f>INDEX('Campus Enrol Disaggregation'!$P$5:$AC$65,MATCH(Export_ControlTot!$A24,'Campus Enrol Disaggregation'!$O$5:$O$65,0),MATCH(B$1,'Campus Enrol Disaggregation'!$P$4:$AC$4,0))</f>
        <v>34400</v>
      </c>
      <c r="C24" s="34">
        <f>INDEX('Campus Enrol Disaggregation'!$P$5:$AC$65,MATCH(Export_ControlTot!$A24,'Campus Enrol Disaggregation'!$O$5:$O$65,0),MATCH(C$1,'Campus Enrol Disaggregation'!$P$4:$AC$4,0))</f>
        <v>2200</v>
      </c>
      <c r="D24" s="34">
        <f>INDEX('Campus Enrol Disaggregation'!$P$5:$AC$65,MATCH(Export_ControlTot!$A24,'Campus Enrol Disaggregation'!$O$5:$O$65,0),MATCH(D$1,'Campus Enrol Disaggregation'!$P$4:$AC$4,0))</f>
        <v>18900</v>
      </c>
      <c r="E24" s="34">
        <f>INDEX('Campus Enrol Disaggregation'!$P$5:$AC$65,MATCH(Export_ControlTot!$A24,'Campus Enrol Disaggregation'!$O$5:$O$65,0),MATCH(E$1,'Campus Enrol Disaggregation'!$P$4:$AC$4,0))</f>
        <v>6600</v>
      </c>
      <c r="F24" s="34">
        <f>INDEX('Campus Enrol Disaggregation'!$P$5:$AC$65,MATCH(Export_ControlTot!$A24,'Campus Enrol Disaggregation'!$O$5:$O$65,0),MATCH(F$1,'Campus Enrol Disaggregation'!$P$4:$AC$4,0))</f>
        <v>1650</v>
      </c>
      <c r="G24" s="34">
        <f>INDEX('Campus Enrol Disaggregation'!$P$5:$AC$65,MATCH(Export_ControlTot!$A24,'Campus Enrol Disaggregation'!$O$5:$O$65,0),MATCH(G$1,'Campus Enrol Disaggregation'!$P$4:$AC$4,0))</f>
        <v>5850</v>
      </c>
      <c r="H24" s="34">
        <f>INDEX('Campus Enrol Disaggregation'!$P$5:$AC$65,MATCH(Export_ControlTot!$A24,'Campus Enrol Disaggregation'!$O$5:$O$65,0),MATCH(H$1,'Campus Enrol Disaggregation'!$P$4:$AC$4,0))</f>
        <v>32400</v>
      </c>
      <c r="I24" s="34">
        <f>INDEX('Campus Enrol Disaggregation'!$P$5:$AC$65,MATCH(Export_ControlTot!$A24,'Campus Enrol Disaggregation'!$O$5:$O$65,0),MATCH(I$1,'Campus Enrol Disaggregation'!$P$4:$AC$4,0))</f>
        <v>31800</v>
      </c>
      <c r="J24" s="34">
        <f>INDEX('Campus Enrol Disaggregation'!$P$5:$AC$65,MATCH(Export_ControlTot!$A24,'Campus Enrol Disaggregation'!$O$5:$O$65,0),MATCH(J$1,'Campus Enrol Disaggregation'!$P$4:$AC$4,0))</f>
        <v>0</v>
      </c>
      <c r="K24" s="34">
        <f>INDEX('Campus Enrol Disaggregation'!$P$5:$AC$65,MATCH(Export_ControlTot!$A24,'Campus Enrol Disaggregation'!$O$5:$O$65,0),MATCH(K$1,'Campus Enrol Disaggregation'!$P$4:$AC$4,0))</f>
        <v>0</v>
      </c>
      <c r="L24" s="34">
        <f>INDEX('Campus Enrol Disaggregation'!$P$5:$AC$65,MATCH(Export_ControlTot!$A24,'Campus Enrol Disaggregation'!$O$5:$O$65,0),MATCH(L$1,'Campus Enrol Disaggregation'!$P$4:$AC$4,0))</f>
        <v>0</v>
      </c>
      <c r="M24" s="34">
        <f>INDEX('Campus Enrol Disaggregation'!$P$5:$AC$65,MATCH(Export_ControlTot!$A24,'Campus Enrol Disaggregation'!$O$5:$O$65,0),MATCH(M$1,'Campus Enrol Disaggregation'!$P$4:$AC$4,0))</f>
        <v>20600</v>
      </c>
      <c r="N24" s="34">
        <f>INDEX('Campus Enrol Disaggregation'!$P$5:$AC$65,MATCH(Export_ControlTot!$A24,'Campus Enrol Disaggregation'!$O$5:$O$65,0),MATCH(N$1,'Campus Enrol Disaggregation'!$P$4:$AC$4,0))</f>
        <v>5400</v>
      </c>
      <c r="O24" s="34">
        <f>INDEX('Campus Enrol Disaggregation'!$P$5:$AC$65,MATCH(Export_ControlTot!$A24,'Campus Enrol Disaggregation'!$O$5:$O$65,0),MATCH(O$1,'Campus Enrol Disaggregation'!$P$4:$AC$4,0))</f>
        <v>3300</v>
      </c>
    </row>
    <row r="25" spans="1:15" x14ac:dyDescent="0.25">
      <c r="A25" s="3">
        <v>2013</v>
      </c>
      <c r="B25" s="34">
        <f>INDEX('Campus Enrol Disaggregation'!$P$5:$AC$65,MATCH(Export_ControlTot!$A25,'Campus Enrol Disaggregation'!$O$5:$O$65,0),MATCH(B$1,'Campus Enrol Disaggregation'!$P$4:$AC$4,0))</f>
        <v>31100</v>
      </c>
      <c r="C25" s="34">
        <f>INDEX('Campus Enrol Disaggregation'!$P$5:$AC$65,MATCH(Export_ControlTot!$A25,'Campus Enrol Disaggregation'!$O$5:$O$65,0),MATCH(C$1,'Campus Enrol Disaggregation'!$P$4:$AC$4,0))</f>
        <v>2200</v>
      </c>
      <c r="D25" s="34">
        <f>INDEX('Campus Enrol Disaggregation'!$P$5:$AC$65,MATCH(Export_ControlTot!$A25,'Campus Enrol Disaggregation'!$O$5:$O$65,0),MATCH(D$1,'Campus Enrol Disaggregation'!$P$4:$AC$4,0))</f>
        <v>18500</v>
      </c>
      <c r="E25" s="34">
        <f>INDEX('Campus Enrol Disaggregation'!$P$5:$AC$65,MATCH(Export_ControlTot!$A25,'Campus Enrol Disaggregation'!$O$5:$O$65,0),MATCH(E$1,'Campus Enrol Disaggregation'!$P$4:$AC$4,0))</f>
        <v>6450</v>
      </c>
      <c r="F25" s="34">
        <f>INDEX('Campus Enrol Disaggregation'!$P$5:$AC$65,MATCH(Export_ControlTot!$A25,'Campus Enrol Disaggregation'!$O$5:$O$65,0),MATCH(F$1,'Campus Enrol Disaggregation'!$P$4:$AC$4,0))</f>
        <v>1600</v>
      </c>
      <c r="G25" s="34">
        <f>INDEX('Campus Enrol Disaggregation'!$P$5:$AC$65,MATCH(Export_ControlTot!$A25,'Campus Enrol Disaggregation'!$O$5:$O$65,0),MATCH(G$1,'Campus Enrol Disaggregation'!$P$4:$AC$4,0))</f>
        <v>5750</v>
      </c>
      <c r="H25" s="34">
        <f>INDEX('Campus Enrol Disaggregation'!$P$5:$AC$65,MATCH(Export_ControlTot!$A25,'Campus Enrol Disaggregation'!$O$5:$O$65,0),MATCH(H$1,'Campus Enrol Disaggregation'!$P$4:$AC$4,0))</f>
        <v>35250</v>
      </c>
      <c r="I25" s="34">
        <f>INDEX('Campus Enrol Disaggregation'!$P$5:$AC$65,MATCH(Export_ControlTot!$A25,'Campus Enrol Disaggregation'!$O$5:$O$65,0),MATCH(I$1,'Campus Enrol Disaggregation'!$P$4:$AC$4,0))</f>
        <v>30900</v>
      </c>
      <c r="J25" s="34">
        <f>INDEX('Campus Enrol Disaggregation'!$P$5:$AC$65,MATCH(Export_ControlTot!$A25,'Campus Enrol Disaggregation'!$O$5:$O$65,0),MATCH(J$1,'Campus Enrol Disaggregation'!$P$4:$AC$4,0))</f>
        <v>0</v>
      </c>
      <c r="K25" s="34">
        <f>INDEX('Campus Enrol Disaggregation'!$P$5:$AC$65,MATCH(Export_ControlTot!$A25,'Campus Enrol Disaggregation'!$O$5:$O$65,0),MATCH(K$1,'Campus Enrol Disaggregation'!$P$4:$AC$4,0))</f>
        <v>0</v>
      </c>
      <c r="L25" s="34">
        <f>INDEX('Campus Enrol Disaggregation'!$P$5:$AC$65,MATCH(Export_ControlTot!$A25,'Campus Enrol Disaggregation'!$O$5:$O$65,0),MATCH(L$1,'Campus Enrol Disaggregation'!$P$4:$AC$4,0))</f>
        <v>0</v>
      </c>
      <c r="M25" s="34">
        <f>INDEX('Campus Enrol Disaggregation'!$P$5:$AC$65,MATCH(Export_ControlTot!$A25,'Campus Enrol Disaggregation'!$O$5:$O$65,0),MATCH(M$1,'Campus Enrol Disaggregation'!$P$4:$AC$4,0))</f>
        <v>19450</v>
      </c>
      <c r="N25" s="34">
        <f>INDEX('Campus Enrol Disaggregation'!$P$5:$AC$65,MATCH(Export_ControlTot!$A25,'Campus Enrol Disaggregation'!$O$5:$O$65,0),MATCH(N$1,'Campus Enrol Disaggregation'!$P$4:$AC$4,0))</f>
        <v>5100</v>
      </c>
      <c r="O25" s="34">
        <f>INDEX('Campus Enrol Disaggregation'!$P$5:$AC$65,MATCH(Export_ControlTot!$A25,'Campus Enrol Disaggregation'!$O$5:$O$65,0),MATCH(O$1,'Campus Enrol Disaggregation'!$P$4:$AC$4,0))</f>
        <v>3100</v>
      </c>
    </row>
    <row r="26" spans="1:15" x14ac:dyDescent="0.25">
      <c r="A26" s="3">
        <v>2014</v>
      </c>
      <c r="B26" s="34">
        <f>INDEX('Campus Enrol Disaggregation'!$P$5:$AC$65,MATCH(Export_ControlTot!$A26,'Campus Enrol Disaggregation'!$O$5:$O$65,0),MATCH(B$1,'Campus Enrol Disaggregation'!$P$4:$AC$4,0))</f>
        <v>30500</v>
      </c>
      <c r="C26" s="34">
        <f>INDEX('Campus Enrol Disaggregation'!$P$5:$AC$65,MATCH(Export_ControlTot!$A26,'Campus Enrol Disaggregation'!$O$5:$O$65,0),MATCH(C$1,'Campus Enrol Disaggregation'!$P$4:$AC$4,0))</f>
        <v>2150</v>
      </c>
      <c r="D26" s="34">
        <f>INDEX('Campus Enrol Disaggregation'!$P$5:$AC$65,MATCH(Export_ControlTot!$A26,'Campus Enrol Disaggregation'!$O$5:$O$65,0),MATCH(D$1,'Campus Enrol Disaggregation'!$P$4:$AC$4,0))</f>
        <v>17650</v>
      </c>
      <c r="E26" s="34">
        <f>INDEX('Campus Enrol Disaggregation'!$P$5:$AC$65,MATCH(Export_ControlTot!$A26,'Campus Enrol Disaggregation'!$O$5:$O$65,0),MATCH(E$1,'Campus Enrol Disaggregation'!$P$4:$AC$4,0))</f>
        <v>6200</v>
      </c>
      <c r="F26" s="34">
        <f>INDEX('Campus Enrol Disaggregation'!$P$5:$AC$65,MATCH(Export_ControlTot!$A26,'Campus Enrol Disaggregation'!$O$5:$O$65,0),MATCH(F$1,'Campus Enrol Disaggregation'!$P$4:$AC$4,0))</f>
        <v>1550</v>
      </c>
      <c r="G26" s="34">
        <f>INDEX('Campus Enrol Disaggregation'!$P$5:$AC$65,MATCH(Export_ControlTot!$A26,'Campus Enrol Disaggregation'!$O$5:$O$65,0),MATCH(G$1,'Campus Enrol Disaggregation'!$P$4:$AC$4,0))</f>
        <v>5500</v>
      </c>
      <c r="H26" s="34">
        <f>INDEX('Campus Enrol Disaggregation'!$P$5:$AC$65,MATCH(Export_ControlTot!$A26,'Campus Enrol Disaggregation'!$O$5:$O$65,0),MATCH(H$1,'Campus Enrol Disaggregation'!$P$4:$AC$4,0))</f>
        <v>31150</v>
      </c>
      <c r="I26" s="34">
        <f>INDEX('Campus Enrol Disaggregation'!$P$5:$AC$65,MATCH(Export_ControlTot!$A26,'Campus Enrol Disaggregation'!$O$5:$O$65,0),MATCH(I$1,'Campus Enrol Disaggregation'!$P$4:$AC$4,0))</f>
        <v>31600</v>
      </c>
      <c r="J26" s="34">
        <f>INDEX('Campus Enrol Disaggregation'!$P$5:$AC$65,MATCH(Export_ControlTot!$A26,'Campus Enrol Disaggregation'!$O$5:$O$65,0),MATCH(J$1,'Campus Enrol Disaggregation'!$P$4:$AC$4,0))</f>
        <v>0</v>
      </c>
      <c r="K26" s="34">
        <f>INDEX('Campus Enrol Disaggregation'!$P$5:$AC$65,MATCH(Export_ControlTot!$A26,'Campus Enrol Disaggregation'!$O$5:$O$65,0),MATCH(K$1,'Campus Enrol Disaggregation'!$P$4:$AC$4,0))</f>
        <v>0</v>
      </c>
      <c r="L26" s="34">
        <f>INDEX('Campus Enrol Disaggregation'!$P$5:$AC$65,MATCH(Export_ControlTot!$A26,'Campus Enrol Disaggregation'!$O$5:$O$65,0),MATCH(L$1,'Campus Enrol Disaggregation'!$P$4:$AC$4,0))</f>
        <v>0</v>
      </c>
      <c r="M26" s="34">
        <f>INDEX('Campus Enrol Disaggregation'!$P$5:$AC$65,MATCH(Export_ControlTot!$A26,'Campus Enrol Disaggregation'!$O$5:$O$65,0),MATCH(M$1,'Campus Enrol Disaggregation'!$P$4:$AC$4,0))</f>
        <v>20250</v>
      </c>
      <c r="N26" s="34">
        <f>INDEX('Campus Enrol Disaggregation'!$P$5:$AC$65,MATCH(Export_ControlTot!$A26,'Campus Enrol Disaggregation'!$O$5:$O$65,0),MATCH(N$1,'Campus Enrol Disaggregation'!$P$4:$AC$4,0))</f>
        <v>5300</v>
      </c>
      <c r="O26" s="34">
        <f>INDEX('Campus Enrol Disaggregation'!$P$5:$AC$65,MATCH(Export_ControlTot!$A26,'Campus Enrol Disaggregation'!$O$5:$O$65,0),MATCH(O$1,'Campus Enrol Disaggregation'!$P$4:$AC$4,0))</f>
        <v>3000</v>
      </c>
    </row>
    <row r="27" spans="1:15" x14ac:dyDescent="0.25">
      <c r="A27" s="3">
        <v>2015</v>
      </c>
      <c r="B27" s="34">
        <f>INDEX('Campus Enrol Disaggregation'!$P$5:$AC$65,MATCH(Export_ControlTot!$A27,'Campus Enrol Disaggregation'!$O$5:$O$65,0),MATCH(B$1,'Campus Enrol Disaggregation'!$P$4:$AC$4,0))</f>
        <v>33450</v>
      </c>
      <c r="C27" s="34">
        <f>INDEX('Campus Enrol Disaggregation'!$P$5:$AC$65,MATCH(Export_ControlTot!$A27,'Campus Enrol Disaggregation'!$O$5:$O$65,0),MATCH(C$1,'Campus Enrol Disaggregation'!$P$4:$AC$4,0))</f>
        <v>2150</v>
      </c>
      <c r="D27" s="34">
        <f>INDEX('Campus Enrol Disaggregation'!$P$5:$AC$65,MATCH(Export_ControlTot!$A27,'Campus Enrol Disaggregation'!$O$5:$O$65,0),MATCH(D$1,'Campus Enrol Disaggregation'!$P$4:$AC$4,0))</f>
        <v>16450</v>
      </c>
      <c r="E27" s="34">
        <f>INDEX('Campus Enrol Disaggregation'!$P$5:$AC$65,MATCH(Export_ControlTot!$A27,'Campus Enrol Disaggregation'!$O$5:$O$65,0),MATCH(E$1,'Campus Enrol Disaggregation'!$P$4:$AC$4,0))</f>
        <v>5750</v>
      </c>
      <c r="F27" s="34">
        <f>INDEX('Campus Enrol Disaggregation'!$P$5:$AC$65,MATCH(Export_ControlTot!$A27,'Campus Enrol Disaggregation'!$O$5:$O$65,0),MATCH(F$1,'Campus Enrol Disaggregation'!$P$4:$AC$4,0))</f>
        <v>1450</v>
      </c>
      <c r="G27" s="34">
        <f>INDEX('Campus Enrol Disaggregation'!$P$5:$AC$65,MATCH(Export_ControlTot!$A27,'Campus Enrol Disaggregation'!$O$5:$O$65,0),MATCH(G$1,'Campus Enrol Disaggregation'!$P$4:$AC$4,0))</f>
        <v>5100</v>
      </c>
      <c r="H27" s="34">
        <f>INDEX('Campus Enrol Disaggregation'!$P$5:$AC$65,MATCH(Export_ControlTot!$A27,'Campus Enrol Disaggregation'!$O$5:$O$65,0),MATCH(H$1,'Campus Enrol Disaggregation'!$P$4:$AC$4,0))</f>
        <v>31300</v>
      </c>
      <c r="I27" s="34">
        <f>INDEX('Campus Enrol Disaggregation'!$P$5:$AC$65,MATCH(Export_ControlTot!$A27,'Campus Enrol Disaggregation'!$O$5:$O$65,0),MATCH(I$1,'Campus Enrol Disaggregation'!$P$4:$AC$4,0))</f>
        <v>33550</v>
      </c>
      <c r="J27" s="34">
        <f>INDEX('Campus Enrol Disaggregation'!$P$5:$AC$65,MATCH(Export_ControlTot!$A27,'Campus Enrol Disaggregation'!$O$5:$O$65,0),MATCH(J$1,'Campus Enrol Disaggregation'!$P$4:$AC$4,0))</f>
        <v>0</v>
      </c>
      <c r="K27" s="34">
        <f>INDEX('Campus Enrol Disaggregation'!$P$5:$AC$65,MATCH(Export_ControlTot!$A27,'Campus Enrol Disaggregation'!$O$5:$O$65,0),MATCH(K$1,'Campus Enrol Disaggregation'!$P$4:$AC$4,0))</f>
        <v>0</v>
      </c>
      <c r="L27" s="34">
        <f>INDEX('Campus Enrol Disaggregation'!$P$5:$AC$65,MATCH(Export_ControlTot!$A27,'Campus Enrol Disaggregation'!$O$5:$O$65,0),MATCH(L$1,'Campus Enrol Disaggregation'!$P$4:$AC$4,0))</f>
        <v>0</v>
      </c>
      <c r="M27" s="34">
        <f>INDEX('Campus Enrol Disaggregation'!$P$5:$AC$65,MATCH(Export_ControlTot!$A27,'Campus Enrol Disaggregation'!$O$5:$O$65,0),MATCH(M$1,'Campus Enrol Disaggregation'!$P$4:$AC$4,0))</f>
        <v>19750</v>
      </c>
      <c r="N27" s="34">
        <f>INDEX('Campus Enrol Disaggregation'!$P$5:$AC$65,MATCH(Export_ControlTot!$A27,'Campus Enrol Disaggregation'!$O$5:$O$65,0),MATCH(N$1,'Campus Enrol Disaggregation'!$P$4:$AC$4,0))</f>
        <v>5200</v>
      </c>
      <c r="O27" s="34">
        <f>INDEX('Campus Enrol Disaggregation'!$P$5:$AC$65,MATCH(Export_ControlTot!$A27,'Campus Enrol Disaggregation'!$O$5:$O$65,0),MATCH(O$1,'Campus Enrol Disaggregation'!$P$4:$AC$4,0))</f>
        <v>2800</v>
      </c>
    </row>
    <row r="28" spans="1:15" x14ac:dyDescent="0.25">
      <c r="A28" s="3">
        <v>2016</v>
      </c>
      <c r="B28" s="34">
        <f>INDEX('Campus Enrol Disaggregation'!$P$5:$AC$65,MATCH(Export_ControlTot!$A28,'Campus Enrol Disaggregation'!$O$5:$O$65,0),MATCH(B$1,'Campus Enrol Disaggregation'!$P$4:$AC$4,0))</f>
        <v>34250</v>
      </c>
      <c r="C28" s="34">
        <f>INDEX('Campus Enrol Disaggregation'!$P$5:$AC$65,MATCH(Export_ControlTot!$A28,'Campus Enrol Disaggregation'!$O$5:$O$65,0),MATCH(C$1,'Campus Enrol Disaggregation'!$P$4:$AC$4,0))</f>
        <v>2100</v>
      </c>
      <c r="D28" s="34">
        <f>INDEX('Campus Enrol Disaggregation'!$P$5:$AC$65,MATCH(Export_ControlTot!$A28,'Campus Enrol Disaggregation'!$O$5:$O$65,0),MATCH(D$1,'Campus Enrol Disaggregation'!$P$4:$AC$4,0))</f>
        <v>16950</v>
      </c>
      <c r="E28" s="34">
        <f>INDEX('Campus Enrol Disaggregation'!$P$5:$AC$65,MATCH(Export_ControlTot!$A28,'Campus Enrol Disaggregation'!$O$5:$O$65,0),MATCH(E$1,'Campus Enrol Disaggregation'!$P$4:$AC$4,0))</f>
        <v>5950</v>
      </c>
      <c r="F28" s="34">
        <f>INDEX('Campus Enrol Disaggregation'!$P$5:$AC$65,MATCH(Export_ControlTot!$A28,'Campus Enrol Disaggregation'!$O$5:$O$65,0),MATCH(F$1,'Campus Enrol Disaggregation'!$P$4:$AC$4,0))</f>
        <v>1500</v>
      </c>
      <c r="G28" s="34">
        <f>INDEX('Campus Enrol Disaggregation'!$P$5:$AC$65,MATCH(Export_ControlTot!$A28,'Campus Enrol Disaggregation'!$O$5:$O$65,0),MATCH(G$1,'Campus Enrol Disaggregation'!$P$4:$AC$4,0))</f>
        <v>5250</v>
      </c>
      <c r="H28" s="34">
        <f>INDEX('Campus Enrol Disaggregation'!$P$5:$AC$65,MATCH(Export_ControlTot!$A28,'Campus Enrol Disaggregation'!$O$5:$O$65,0),MATCH(H$1,'Campus Enrol Disaggregation'!$P$4:$AC$4,0))</f>
        <v>31600</v>
      </c>
      <c r="I28" s="34">
        <f>INDEX('Campus Enrol Disaggregation'!$P$5:$AC$65,MATCH(Export_ControlTot!$A28,'Campus Enrol Disaggregation'!$O$5:$O$65,0),MATCH(I$1,'Campus Enrol Disaggregation'!$P$4:$AC$4,0))</f>
        <v>35150</v>
      </c>
      <c r="J28" s="34">
        <f>INDEX('Campus Enrol Disaggregation'!$P$5:$AC$65,MATCH(Export_ControlTot!$A28,'Campus Enrol Disaggregation'!$O$5:$O$65,0),MATCH(J$1,'Campus Enrol Disaggregation'!$P$4:$AC$4,0))</f>
        <v>0</v>
      </c>
      <c r="K28" s="34">
        <f>INDEX('Campus Enrol Disaggregation'!$P$5:$AC$65,MATCH(Export_ControlTot!$A28,'Campus Enrol Disaggregation'!$O$5:$O$65,0),MATCH(K$1,'Campus Enrol Disaggregation'!$P$4:$AC$4,0))</f>
        <v>0</v>
      </c>
      <c r="L28" s="34">
        <f>INDEX('Campus Enrol Disaggregation'!$P$5:$AC$65,MATCH(Export_ControlTot!$A28,'Campus Enrol Disaggregation'!$O$5:$O$65,0),MATCH(L$1,'Campus Enrol Disaggregation'!$P$4:$AC$4,0))</f>
        <v>0</v>
      </c>
      <c r="M28" s="34">
        <f>INDEX('Campus Enrol Disaggregation'!$P$5:$AC$65,MATCH(Export_ControlTot!$A28,'Campus Enrol Disaggregation'!$O$5:$O$65,0),MATCH(M$1,'Campus Enrol Disaggregation'!$P$4:$AC$4,0))</f>
        <v>20500</v>
      </c>
      <c r="N28" s="34">
        <f>INDEX('Campus Enrol Disaggregation'!$P$5:$AC$65,MATCH(Export_ControlTot!$A28,'Campus Enrol Disaggregation'!$O$5:$O$65,0),MATCH(N$1,'Campus Enrol Disaggregation'!$P$4:$AC$4,0))</f>
        <v>5400</v>
      </c>
      <c r="O28" s="34">
        <f>INDEX('Campus Enrol Disaggregation'!$P$5:$AC$65,MATCH(Export_ControlTot!$A28,'Campus Enrol Disaggregation'!$O$5:$O$65,0),MATCH(O$1,'Campus Enrol Disaggregation'!$P$4:$AC$4,0))</f>
        <v>2700</v>
      </c>
    </row>
    <row r="29" spans="1:15" x14ac:dyDescent="0.25">
      <c r="A29" s="3">
        <v>2017</v>
      </c>
      <c r="B29" s="34">
        <f>INDEX('Campus Enrol Disaggregation'!$P$5:$AC$65,MATCH(Export_ControlTot!$A29,'Campus Enrol Disaggregation'!$O$5:$O$65,0),MATCH(B$1,'Campus Enrol Disaggregation'!$P$4:$AC$4,0))</f>
        <v>34350</v>
      </c>
      <c r="C29" s="34">
        <f>INDEX('Campus Enrol Disaggregation'!$P$5:$AC$65,MATCH(Export_ControlTot!$A29,'Campus Enrol Disaggregation'!$O$5:$O$65,0),MATCH(C$1,'Campus Enrol Disaggregation'!$P$4:$AC$4,0))</f>
        <v>2050</v>
      </c>
      <c r="D29" s="34">
        <f>INDEX('Campus Enrol Disaggregation'!$P$5:$AC$65,MATCH(Export_ControlTot!$A29,'Campus Enrol Disaggregation'!$O$5:$O$65,0),MATCH(D$1,'Campus Enrol Disaggregation'!$P$4:$AC$4,0))</f>
        <v>17050</v>
      </c>
      <c r="E29" s="34">
        <f>INDEX('Campus Enrol Disaggregation'!$P$5:$AC$65,MATCH(Export_ControlTot!$A29,'Campus Enrol Disaggregation'!$O$5:$O$65,0),MATCH(E$1,'Campus Enrol Disaggregation'!$P$4:$AC$4,0))</f>
        <v>5950</v>
      </c>
      <c r="F29" s="34">
        <f>INDEX('Campus Enrol Disaggregation'!$P$5:$AC$65,MATCH(Export_ControlTot!$A29,'Campus Enrol Disaggregation'!$O$5:$O$65,0),MATCH(F$1,'Campus Enrol Disaggregation'!$P$4:$AC$4,0))</f>
        <v>1500</v>
      </c>
      <c r="G29" s="34">
        <f>INDEX('Campus Enrol Disaggregation'!$P$5:$AC$65,MATCH(Export_ControlTot!$A29,'Campus Enrol Disaggregation'!$O$5:$O$65,0),MATCH(G$1,'Campus Enrol Disaggregation'!$P$4:$AC$4,0))</f>
        <v>5300</v>
      </c>
      <c r="H29" s="34">
        <f>INDEX('Campus Enrol Disaggregation'!$P$5:$AC$65,MATCH(Export_ControlTot!$A29,'Campus Enrol Disaggregation'!$O$5:$O$65,0),MATCH(H$1,'Campus Enrol Disaggregation'!$P$4:$AC$4,0))</f>
        <v>32300</v>
      </c>
      <c r="I29" s="34">
        <f>INDEX('Campus Enrol Disaggregation'!$P$5:$AC$65,MATCH(Export_ControlTot!$A29,'Campus Enrol Disaggregation'!$O$5:$O$65,0),MATCH(I$1,'Campus Enrol Disaggregation'!$P$4:$AC$4,0))</f>
        <v>37800</v>
      </c>
      <c r="J29" s="34">
        <f>INDEX('Campus Enrol Disaggregation'!$P$5:$AC$65,MATCH(Export_ControlTot!$A29,'Campus Enrol Disaggregation'!$O$5:$O$65,0),MATCH(J$1,'Campus Enrol Disaggregation'!$P$4:$AC$4,0))</f>
        <v>0</v>
      </c>
      <c r="K29" s="34">
        <f>INDEX('Campus Enrol Disaggregation'!$P$5:$AC$65,MATCH(Export_ControlTot!$A29,'Campus Enrol Disaggregation'!$O$5:$O$65,0),MATCH(K$1,'Campus Enrol Disaggregation'!$P$4:$AC$4,0))</f>
        <v>0</v>
      </c>
      <c r="L29" s="34">
        <f>INDEX('Campus Enrol Disaggregation'!$P$5:$AC$65,MATCH(Export_ControlTot!$A29,'Campus Enrol Disaggregation'!$O$5:$O$65,0),MATCH(L$1,'Campus Enrol Disaggregation'!$P$4:$AC$4,0))</f>
        <v>0</v>
      </c>
      <c r="M29" s="34">
        <f>INDEX('Campus Enrol Disaggregation'!$P$5:$AC$65,MATCH(Export_ControlTot!$A29,'Campus Enrol Disaggregation'!$O$5:$O$65,0),MATCH(M$1,'Campus Enrol Disaggregation'!$P$4:$AC$4,0))</f>
        <v>21350</v>
      </c>
      <c r="N29" s="34">
        <f>INDEX('Campus Enrol Disaggregation'!$P$5:$AC$65,MATCH(Export_ControlTot!$A29,'Campus Enrol Disaggregation'!$O$5:$O$65,0),MATCH(N$1,'Campus Enrol Disaggregation'!$P$4:$AC$4,0))</f>
        <v>5600</v>
      </c>
      <c r="O29" s="34">
        <f>INDEX('Campus Enrol Disaggregation'!$P$5:$AC$65,MATCH(Export_ControlTot!$A29,'Campus Enrol Disaggregation'!$O$5:$O$65,0),MATCH(O$1,'Campus Enrol Disaggregation'!$P$4:$AC$4,0))</f>
        <v>2550</v>
      </c>
    </row>
    <row r="30" spans="1:15" x14ac:dyDescent="0.25">
      <c r="A30" s="3">
        <v>2018</v>
      </c>
      <c r="B30" s="34">
        <f>INDEX('Campus Enrol Disaggregation'!$P$5:$AC$65,MATCH(Export_ControlTot!$A30,'Campus Enrol Disaggregation'!$O$5:$O$65,0),MATCH(B$1,'Campus Enrol Disaggregation'!$P$4:$AC$4,0))</f>
        <v>34500</v>
      </c>
      <c r="C30" s="34">
        <f>INDEX('Campus Enrol Disaggregation'!$P$5:$AC$65,MATCH(Export_ControlTot!$A30,'Campus Enrol Disaggregation'!$O$5:$O$65,0),MATCH(C$1,'Campus Enrol Disaggregation'!$P$4:$AC$4,0))</f>
        <v>2000</v>
      </c>
      <c r="D30" s="34">
        <f>INDEX('Campus Enrol Disaggregation'!$P$5:$AC$65,MATCH(Export_ControlTot!$A30,'Campus Enrol Disaggregation'!$O$5:$O$65,0),MATCH(D$1,'Campus Enrol Disaggregation'!$P$4:$AC$4,0))</f>
        <v>15400</v>
      </c>
      <c r="E30" s="34">
        <f>INDEX('Campus Enrol Disaggregation'!$P$5:$AC$65,MATCH(Export_ControlTot!$A30,'Campus Enrol Disaggregation'!$O$5:$O$65,0),MATCH(E$1,'Campus Enrol Disaggregation'!$P$4:$AC$4,0))</f>
        <v>5400</v>
      </c>
      <c r="F30" s="34">
        <f>INDEX('Campus Enrol Disaggregation'!$P$5:$AC$65,MATCH(Export_ControlTot!$A30,'Campus Enrol Disaggregation'!$O$5:$O$65,0),MATCH(F$1,'Campus Enrol Disaggregation'!$P$4:$AC$4,0))</f>
        <v>1350</v>
      </c>
      <c r="G30" s="34">
        <f>INDEX('Campus Enrol Disaggregation'!$P$5:$AC$65,MATCH(Export_ControlTot!$A30,'Campus Enrol Disaggregation'!$O$5:$O$65,0),MATCH(G$1,'Campus Enrol Disaggregation'!$P$4:$AC$4,0))</f>
        <v>4750</v>
      </c>
      <c r="H30" s="34">
        <f>INDEX('Campus Enrol Disaggregation'!$P$5:$AC$65,MATCH(Export_ControlTot!$A30,'Campus Enrol Disaggregation'!$O$5:$O$65,0),MATCH(H$1,'Campus Enrol Disaggregation'!$P$4:$AC$4,0))</f>
        <v>32150</v>
      </c>
      <c r="I30" s="34">
        <f>INDEX('Campus Enrol Disaggregation'!$P$5:$AC$65,MATCH(Export_ControlTot!$A30,'Campus Enrol Disaggregation'!$O$5:$O$65,0),MATCH(I$1,'Campus Enrol Disaggregation'!$P$4:$AC$4,0))</f>
        <v>39950</v>
      </c>
      <c r="J30" s="34">
        <f>INDEX('Campus Enrol Disaggregation'!$P$5:$AC$65,MATCH(Export_ControlTot!$A30,'Campus Enrol Disaggregation'!$O$5:$O$65,0),MATCH(J$1,'Campus Enrol Disaggregation'!$P$4:$AC$4,0))</f>
        <v>0</v>
      </c>
      <c r="K30" s="34">
        <f>INDEX('Campus Enrol Disaggregation'!$P$5:$AC$65,MATCH(Export_ControlTot!$A30,'Campus Enrol Disaggregation'!$O$5:$O$65,0),MATCH(K$1,'Campus Enrol Disaggregation'!$P$4:$AC$4,0))</f>
        <v>0</v>
      </c>
      <c r="L30" s="34">
        <f>INDEX('Campus Enrol Disaggregation'!$P$5:$AC$65,MATCH(Export_ControlTot!$A30,'Campus Enrol Disaggregation'!$O$5:$O$65,0),MATCH(L$1,'Campus Enrol Disaggregation'!$P$4:$AC$4,0))</f>
        <v>0</v>
      </c>
      <c r="M30" s="34">
        <f>INDEX('Campus Enrol Disaggregation'!$P$5:$AC$65,MATCH(Export_ControlTot!$A30,'Campus Enrol Disaggregation'!$O$5:$O$65,0),MATCH(M$1,'Campus Enrol Disaggregation'!$P$4:$AC$4,0))</f>
        <v>21250</v>
      </c>
      <c r="N30" s="34">
        <f>INDEX('Campus Enrol Disaggregation'!$P$5:$AC$65,MATCH(Export_ControlTot!$A30,'Campus Enrol Disaggregation'!$O$5:$O$65,0),MATCH(N$1,'Campus Enrol Disaggregation'!$P$4:$AC$4,0))</f>
        <v>5600</v>
      </c>
      <c r="O30" s="34">
        <f>INDEX('Campus Enrol Disaggregation'!$P$5:$AC$65,MATCH(Export_ControlTot!$A30,'Campus Enrol Disaggregation'!$O$5:$O$65,0),MATCH(O$1,'Campus Enrol Disaggregation'!$P$4:$AC$4,0))</f>
        <v>2500</v>
      </c>
    </row>
    <row r="31" spans="1:15" x14ac:dyDescent="0.25">
      <c r="A31" s="3">
        <v>2019</v>
      </c>
      <c r="B31" s="34">
        <f>INDEX('Campus Enrol Disaggregation'!$P$5:$AC$65,MATCH(Export_ControlTot!$A31,'Campus Enrol Disaggregation'!$O$5:$O$65,0),MATCH(B$1,'Campus Enrol Disaggregation'!$P$4:$AC$4,0))</f>
        <v>34300</v>
      </c>
      <c r="C31" s="34">
        <f>INDEX('Campus Enrol Disaggregation'!$P$5:$AC$65,MATCH(Export_ControlTot!$A31,'Campus Enrol Disaggregation'!$O$5:$O$65,0),MATCH(C$1,'Campus Enrol Disaggregation'!$P$4:$AC$4,0))</f>
        <v>1950</v>
      </c>
      <c r="D31" s="34">
        <f>INDEX('Campus Enrol Disaggregation'!$P$5:$AC$65,MATCH(Export_ControlTot!$A31,'Campus Enrol Disaggregation'!$O$5:$O$65,0),MATCH(D$1,'Campus Enrol Disaggregation'!$P$4:$AC$4,0))</f>
        <v>15600</v>
      </c>
      <c r="E31" s="34">
        <f>INDEX('Campus Enrol Disaggregation'!$P$5:$AC$65,MATCH(Export_ControlTot!$A31,'Campus Enrol Disaggregation'!$O$5:$O$65,0),MATCH(E$1,'Campus Enrol Disaggregation'!$P$4:$AC$4,0))</f>
        <v>5450</v>
      </c>
      <c r="F31" s="34">
        <f>INDEX('Campus Enrol Disaggregation'!$P$5:$AC$65,MATCH(Export_ControlTot!$A31,'Campus Enrol Disaggregation'!$O$5:$O$65,0),MATCH(F$1,'Campus Enrol Disaggregation'!$P$4:$AC$4,0))</f>
        <v>1350</v>
      </c>
      <c r="G31" s="34">
        <f>INDEX('Campus Enrol Disaggregation'!$P$5:$AC$65,MATCH(Export_ControlTot!$A31,'Campus Enrol Disaggregation'!$O$5:$O$65,0),MATCH(G$1,'Campus Enrol Disaggregation'!$P$4:$AC$4,0))</f>
        <v>4850</v>
      </c>
      <c r="H31" s="34">
        <f>INDEX('Campus Enrol Disaggregation'!$P$5:$AC$65,MATCH(Export_ControlTot!$A31,'Campus Enrol Disaggregation'!$O$5:$O$65,0),MATCH(H$1,'Campus Enrol Disaggregation'!$P$4:$AC$4,0))</f>
        <v>32000</v>
      </c>
      <c r="I31" s="34">
        <f>INDEX('Campus Enrol Disaggregation'!$P$5:$AC$65,MATCH(Export_ControlTot!$A31,'Campus Enrol Disaggregation'!$O$5:$O$65,0),MATCH(I$1,'Campus Enrol Disaggregation'!$P$4:$AC$4,0))</f>
        <v>40300</v>
      </c>
      <c r="J31" s="34">
        <f>INDEX('Campus Enrol Disaggregation'!$P$5:$AC$65,MATCH(Export_ControlTot!$A31,'Campus Enrol Disaggregation'!$O$5:$O$65,0),MATCH(J$1,'Campus Enrol Disaggregation'!$P$4:$AC$4,0))</f>
        <v>1300</v>
      </c>
      <c r="K31" s="34">
        <f>INDEX('Campus Enrol Disaggregation'!$P$5:$AC$65,MATCH(Export_ControlTot!$A31,'Campus Enrol Disaggregation'!$O$5:$O$65,0),MATCH(K$1,'Campus Enrol Disaggregation'!$P$4:$AC$4,0))</f>
        <v>0</v>
      </c>
      <c r="L31" s="34">
        <f>INDEX('Campus Enrol Disaggregation'!$P$5:$AC$65,MATCH(Export_ControlTot!$A31,'Campus Enrol Disaggregation'!$O$5:$O$65,0),MATCH(L$1,'Campus Enrol Disaggregation'!$P$4:$AC$4,0))</f>
        <v>0</v>
      </c>
      <c r="M31" s="34">
        <f>INDEX('Campus Enrol Disaggregation'!$P$5:$AC$65,MATCH(Export_ControlTot!$A31,'Campus Enrol Disaggregation'!$O$5:$O$65,0),MATCH(M$1,'Campus Enrol Disaggregation'!$P$4:$AC$4,0))</f>
        <v>22300</v>
      </c>
      <c r="N31" s="34">
        <f>INDEX('Campus Enrol Disaggregation'!$P$5:$AC$65,MATCH(Export_ControlTot!$A31,'Campus Enrol Disaggregation'!$O$5:$O$65,0),MATCH(N$1,'Campus Enrol Disaggregation'!$P$4:$AC$4,0))</f>
        <v>5850</v>
      </c>
      <c r="O31" s="34">
        <f>INDEX('Campus Enrol Disaggregation'!$P$5:$AC$65,MATCH(Export_ControlTot!$A31,'Campus Enrol Disaggregation'!$O$5:$O$65,0),MATCH(O$1,'Campus Enrol Disaggregation'!$P$4:$AC$4,0))</f>
        <v>2200</v>
      </c>
    </row>
    <row r="32" spans="1:15" x14ac:dyDescent="0.25">
      <c r="A32" s="3">
        <v>2020</v>
      </c>
      <c r="B32" s="34">
        <f>INDEX('Campus Enrol Disaggregation'!$P$5:$AC$65,MATCH(Export_ControlTot!$A32,'Campus Enrol Disaggregation'!$O$5:$O$65,0),MATCH(B$1,'Campus Enrol Disaggregation'!$P$4:$AC$4,0))</f>
        <v>36450</v>
      </c>
      <c r="C32" s="34">
        <f>INDEX('Campus Enrol Disaggregation'!$P$5:$AC$65,MATCH(Export_ControlTot!$A32,'Campus Enrol Disaggregation'!$O$5:$O$65,0),MATCH(C$1,'Campus Enrol Disaggregation'!$P$4:$AC$4,0))</f>
        <v>2000</v>
      </c>
      <c r="D32" s="34">
        <f>INDEX('Campus Enrol Disaggregation'!$P$5:$AC$65,MATCH(Export_ControlTot!$A32,'Campus Enrol Disaggregation'!$O$5:$O$65,0),MATCH(D$1,'Campus Enrol Disaggregation'!$P$4:$AC$4,0))</f>
        <v>14400</v>
      </c>
      <c r="E32" s="34">
        <f>INDEX('Campus Enrol Disaggregation'!$P$5:$AC$65,MATCH(Export_ControlTot!$A32,'Campus Enrol Disaggregation'!$O$5:$O$65,0),MATCH(E$1,'Campus Enrol Disaggregation'!$P$4:$AC$4,0))</f>
        <v>5050</v>
      </c>
      <c r="F32" s="34">
        <f>INDEX('Campus Enrol Disaggregation'!$P$5:$AC$65,MATCH(Export_ControlTot!$A32,'Campus Enrol Disaggregation'!$O$5:$O$65,0),MATCH(F$1,'Campus Enrol Disaggregation'!$P$4:$AC$4,0))</f>
        <v>1250</v>
      </c>
      <c r="G32" s="34">
        <f>INDEX('Campus Enrol Disaggregation'!$P$5:$AC$65,MATCH(Export_ControlTot!$A32,'Campus Enrol Disaggregation'!$O$5:$O$65,0),MATCH(G$1,'Campus Enrol Disaggregation'!$P$4:$AC$4,0))</f>
        <v>4450</v>
      </c>
      <c r="H32" s="34">
        <f>INDEX('Campus Enrol Disaggregation'!$P$5:$AC$65,MATCH(Export_ControlTot!$A32,'Campus Enrol Disaggregation'!$O$5:$O$65,0),MATCH(H$1,'Campus Enrol Disaggregation'!$P$4:$AC$4,0))</f>
        <v>32200</v>
      </c>
      <c r="I32" s="34">
        <f>INDEX('Campus Enrol Disaggregation'!$P$5:$AC$65,MATCH(Export_ControlTot!$A32,'Campus Enrol Disaggregation'!$O$5:$O$65,0),MATCH(I$1,'Campus Enrol Disaggregation'!$P$4:$AC$4,0))</f>
        <v>39450</v>
      </c>
      <c r="J32" s="34">
        <f>INDEX('Campus Enrol Disaggregation'!$P$5:$AC$65,MATCH(Export_ControlTot!$A32,'Campus Enrol Disaggregation'!$O$5:$O$65,0),MATCH(J$1,'Campus Enrol Disaggregation'!$P$4:$AC$4,0))</f>
        <v>1350</v>
      </c>
      <c r="K32" s="34">
        <f>INDEX('Campus Enrol Disaggregation'!$P$5:$AC$65,MATCH(Export_ControlTot!$A32,'Campus Enrol Disaggregation'!$O$5:$O$65,0),MATCH(K$1,'Campus Enrol Disaggregation'!$P$4:$AC$4,0))</f>
        <v>0</v>
      </c>
      <c r="L32" s="34">
        <f>INDEX('Campus Enrol Disaggregation'!$P$5:$AC$65,MATCH(Export_ControlTot!$A32,'Campus Enrol Disaggregation'!$O$5:$O$65,0),MATCH(L$1,'Campus Enrol Disaggregation'!$P$4:$AC$4,0))</f>
        <v>0</v>
      </c>
      <c r="M32" s="34">
        <f>INDEX('Campus Enrol Disaggregation'!$P$5:$AC$65,MATCH(Export_ControlTot!$A32,'Campus Enrol Disaggregation'!$O$5:$O$65,0),MATCH(M$1,'Campus Enrol Disaggregation'!$P$4:$AC$4,0))</f>
        <v>22250</v>
      </c>
      <c r="N32" s="34">
        <f>INDEX('Campus Enrol Disaggregation'!$P$5:$AC$65,MATCH(Export_ControlTot!$A32,'Campus Enrol Disaggregation'!$O$5:$O$65,0),MATCH(N$1,'Campus Enrol Disaggregation'!$P$4:$AC$4,0))</f>
        <v>5850</v>
      </c>
      <c r="O32" s="34">
        <f>INDEX('Campus Enrol Disaggregation'!$P$5:$AC$65,MATCH(Export_ControlTot!$A32,'Campus Enrol Disaggregation'!$O$5:$O$65,0),MATCH(O$1,'Campus Enrol Disaggregation'!$P$4:$AC$4,0))</f>
        <v>1850</v>
      </c>
    </row>
    <row r="33" spans="1:15" x14ac:dyDescent="0.25">
      <c r="A33" s="3">
        <v>2021</v>
      </c>
      <c r="B33" s="34">
        <f>INDEX('Campus Enrol Disaggregation'!$P$5:$AC$65,MATCH(Export_ControlTot!$A33,'Campus Enrol Disaggregation'!$O$5:$O$65,0),MATCH(B$1,'Campus Enrol Disaggregation'!$P$4:$AC$4,0))</f>
        <v>35600</v>
      </c>
      <c r="C33" s="34">
        <f>INDEX('Campus Enrol Disaggregation'!$P$5:$AC$65,MATCH(Export_ControlTot!$A33,'Campus Enrol Disaggregation'!$O$5:$O$65,0),MATCH(C$1,'Campus Enrol Disaggregation'!$P$4:$AC$4,0))</f>
        <v>2000</v>
      </c>
      <c r="D33" s="34">
        <f>INDEX('Campus Enrol Disaggregation'!$P$5:$AC$65,MATCH(Export_ControlTot!$A33,'Campus Enrol Disaggregation'!$O$5:$O$65,0),MATCH(D$1,'Campus Enrol Disaggregation'!$P$4:$AC$4,0))</f>
        <v>14350</v>
      </c>
      <c r="E33" s="34">
        <f>INDEX('Campus Enrol Disaggregation'!$P$5:$AC$65,MATCH(Export_ControlTot!$A33,'Campus Enrol Disaggregation'!$O$5:$O$65,0),MATCH(E$1,'Campus Enrol Disaggregation'!$P$4:$AC$4,0))</f>
        <v>5050</v>
      </c>
      <c r="F33" s="34">
        <f>INDEX('Campus Enrol Disaggregation'!$P$5:$AC$65,MATCH(Export_ControlTot!$A33,'Campus Enrol Disaggregation'!$O$5:$O$65,0),MATCH(F$1,'Campus Enrol Disaggregation'!$P$4:$AC$4,0))</f>
        <v>1250</v>
      </c>
      <c r="G33" s="34">
        <f>INDEX('Campus Enrol Disaggregation'!$P$5:$AC$65,MATCH(Export_ControlTot!$A33,'Campus Enrol Disaggregation'!$O$5:$O$65,0),MATCH(G$1,'Campus Enrol Disaggregation'!$P$4:$AC$4,0))</f>
        <v>4450</v>
      </c>
      <c r="H33" s="34">
        <f>INDEX('Campus Enrol Disaggregation'!$P$5:$AC$65,MATCH(Export_ControlTot!$A33,'Campus Enrol Disaggregation'!$O$5:$O$65,0),MATCH(H$1,'Campus Enrol Disaggregation'!$P$4:$AC$4,0))</f>
        <v>33550</v>
      </c>
      <c r="I33" s="34">
        <f>INDEX('Campus Enrol Disaggregation'!$P$5:$AC$65,MATCH(Export_ControlTot!$A33,'Campus Enrol Disaggregation'!$O$5:$O$65,0),MATCH(I$1,'Campus Enrol Disaggregation'!$P$4:$AC$4,0))</f>
        <v>39700</v>
      </c>
      <c r="J33" s="34">
        <f>INDEX('Campus Enrol Disaggregation'!$P$5:$AC$65,MATCH(Export_ControlTot!$A33,'Campus Enrol Disaggregation'!$O$5:$O$65,0),MATCH(J$1,'Campus Enrol Disaggregation'!$P$4:$AC$4,0))</f>
        <v>1400</v>
      </c>
      <c r="K33" s="34">
        <f>INDEX('Campus Enrol Disaggregation'!$P$5:$AC$65,MATCH(Export_ControlTot!$A33,'Campus Enrol Disaggregation'!$O$5:$O$65,0),MATCH(K$1,'Campus Enrol Disaggregation'!$P$4:$AC$4,0))</f>
        <v>0</v>
      </c>
      <c r="L33" s="34">
        <f>INDEX('Campus Enrol Disaggregation'!$P$5:$AC$65,MATCH(Export_ControlTot!$A33,'Campus Enrol Disaggregation'!$O$5:$O$65,0),MATCH(L$1,'Campus Enrol Disaggregation'!$P$4:$AC$4,0))</f>
        <v>0</v>
      </c>
      <c r="M33" s="34">
        <f>INDEX('Campus Enrol Disaggregation'!$P$5:$AC$65,MATCH(Export_ControlTot!$A33,'Campus Enrol Disaggregation'!$O$5:$O$65,0),MATCH(M$1,'Campus Enrol Disaggregation'!$P$4:$AC$4,0))</f>
        <v>22400</v>
      </c>
      <c r="N33" s="34">
        <f>INDEX('Campus Enrol Disaggregation'!$P$5:$AC$65,MATCH(Export_ControlTot!$A33,'Campus Enrol Disaggregation'!$O$5:$O$65,0),MATCH(N$1,'Campus Enrol Disaggregation'!$P$4:$AC$4,0))</f>
        <v>5900</v>
      </c>
      <c r="O33" s="34">
        <f>INDEX('Campus Enrol Disaggregation'!$P$5:$AC$65,MATCH(Export_ControlTot!$A33,'Campus Enrol Disaggregation'!$O$5:$O$65,0),MATCH(O$1,'Campus Enrol Disaggregation'!$P$4:$AC$4,0))</f>
        <v>1550</v>
      </c>
    </row>
    <row r="34" spans="1:15" x14ac:dyDescent="0.25">
      <c r="A34" s="3">
        <v>2022</v>
      </c>
      <c r="B34" s="34">
        <f>INDEX('Campus Enrol Disaggregation'!$P$5:$AC$65,MATCH(Export_ControlTot!$A34,'Campus Enrol Disaggregation'!$O$5:$O$65,0),MATCH(B$1,'Campus Enrol Disaggregation'!$P$4:$AC$4,0))</f>
        <v>34750</v>
      </c>
      <c r="C34" s="34">
        <f>INDEX('Campus Enrol Disaggregation'!$P$5:$AC$65,MATCH(Export_ControlTot!$A34,'Campus Enrol Disaggregation'!$O$5:$O$65,0),MATCH(C$1,'Campus Enrol Disaggregation'!$P$4:$AC$4,0))</f>
        <v>2000</v>
      </c>
      <c r="D34" s="34">
        <f>INDEX('Campus Enrol Disaggregation'!$P$5:$AC$65,MATCH(Export_ControlTot!$A34,'Campus Enrol Disaggregation'!$O$5:$O$65,0),MATCH(D$1,'Campus Enrol Disaggregation'!$P$4:$AC$4,0))</f>
        <v>13900</v>
      </c>
      <c r="E34" s="34">
        <f>INDEX('Campus Enrol Disaggregation'!$P$5:$AC$65,MATCH(Export_ControlTot!$A34,'Campus Enrol Disaggregation'!$O$5:$O$65,0),MATCH(E$1,'Campus Enrol Disaggregation'!$P$4:$AC$4,0))</f>
        <v>4850</v>
      </c>
      <c r="F34" s="34">
        <f>INDEX('Campus Enrol Disaggregation'!$P$5:$AC$65,MATCH(Export_ControlTot!$A34,'Campus Enrol Disaggregation'!$O$5:$O$65,0),MATCH(F$1,'Campus Enrol Disaggregation'!$P$4:$AC$4,0))</f>
        <v>1200</v>
      </c>
      <c r="G34" s="34">
        <f>INDEX('Campus Enrol Disaggregation'!$P$5:$AC$65,MATCH(Export_ControlTot!$A34,'Campus Enrol Disaggregation'!$O$5:$O$65,0),MATCH(G$1,'Campus Enrol Disaggregation'!$P$4:$AC$4,0))</f>
        <v>4300</v>
      </c>
      <c r="H34" s="34">
        <f>INDEX('Campus Enrol Disaggregation'!$P$5:$AC$65,MATCH(Export_ControlTot!$A34,'Campus Enrol Disaggregation'!$O$5:$O$65,0),MATCH(H$1,'Campus Enrol Disaggregation'!$P$4:$AC$4,0))</f>
        <v>33800</v>
      </c>
      <c r="I34" s="34">
        <f>INDEX('Campus Enrol Disaggregation'!$P$5:$AC$65,MATCH(Export_ControlTot!$A34,'Campus Enrol Disaggregation'!$O$5:$O$65,0),MATCH(I$1,'Campus Enrol Disaggregation'!$P$4:$AC$4,0))</f>
        <v>41500</v>
      </c>
      <c r="J34" s="34">
        <f>INDEX('Campus Enrol Disaggregation'!$P$5:$AC$65,MATCH(Export_ControlTot!$A34,'Campus Enrol Disaggregation'!$O$5:$O$65,0),MATCH(J$1,'Campus Enrol Disaggregation'!$P$4:$AC$4,0))</f>
        <v>1450</v>
      </c>
      <c r="K34" s="34">
        <f>INDEX('Campus Enrol Disaggregation'!$P$5:$AC$65,MATCH(Export_ControlTot!$A34,'Campus Enrol Disaggregation'!$O$5:$O$65,0),MATCH(K$1,'Campus Enrol Disaggregation'!$P$4:$AC$4,0))</f>
        <v>0</v>
      </c>
      <c r="L34" s="34">
        <f>INDEX('Campus Enrol Disaggregation'!$P$5:$AC$65,MATCH(Export_ControlTot!$A34,'Campus Enrol Disaggregation'!$O$5:$O$65,0),MATCH(L$1,'Campus Enrol Disaggregation'!$P$4:$AC$4,0))</f>
        <v>0</v>
      </c>
      <c r="M34" s="34">
        <f>INDEX('Campus Enrol Disaggregation'!$P$5:$AC$65,MATCH(Export_ControlTot!$A34,'Campus Enrol Disaggregation'!$O$5:$O$65,0),MATCH(M$1,'Campus Enrol Disaggregation'!$P$4:$AC$4,0))</f>
        <v>22500</v>
      </c>
      <c r="N34" s="34">
        <f>INDEX('Campus Enrol Disaggregation'!$P$5:$AC$65,MATCH(Export_ControlTot!$A34,'Campus Enrol Disaggregation'!$O$5:$O$65,0),MATCH(N$1,'Campus Enrol Disaggregation'!$P$4:$AC$4,0))</f>
        <v>5900</v>
      </c>
      <c r="O34" s="34">
        <f>INDEX('Campus Enrol Disaggregation'!$P$5:$AC$65,MATCH(Export_ControlTot!$A34,'Campus Enrol Disaggregation'!$O$5:$O$65,0),MATCH(O$1,'Campus Enrol Disaggregation'!$P$4:$AC$4,0))</f>
        <v>2500</v>
      </c>
    </row>
    <row r="35" spans="1:15" x14ac:dyDescent="0.25">
      <c r="A35" s="3">
        <v>2023</v>
      </c>
      <c r="B35" s="34">
        <f>INDEX('Campus Enrol Disaggregation'!$P$5:$AC$65,MATCH(Export_ControlTot!$A35,'Campus Enrol Disaggregation'!$O$5:$O$65,0),MATCH(B$1,'Campus Enrol Disaggregation'!$P$4:$AC$4,0))</f>
        <v>36400</v>
      </c>
      <c r="C35" s="34">
        <f>INDEX('Campus Enrol Disaggregation'!$P$5:$AC$65,MATCH(Export_ControlTot!$A35,'Campus Enrol Disaggregation'!$O$5:$O$65,0),MATCH(C$1,'Campus Enrol Disaggregation'!$P$4:$AC$4,0))</f>
        <v>2000</v>
      </c>
      <c r="D35" s="34">
        <f>INDEX('Campus Enrol Disaggregation'!$P$5:$AC$65,MATCH(Export_ControlTot!$A35,'Campus Enrol Disaggregation'!$O$5:$O$65,0),MATCH(D$1,'Campus Enrol Disaggregation'!$P$4:$AC$4,0))</f>
        <v>17150</v>
      </c>
      <c r="E35" s="34">
        <f>INDEX('Campus Enrol Disaggregation'!$P$5:$AC$65,MATCH(Export_ControlTot!$A35,'Campus Enrol Disaggregation'!$O$5:$O$65,0),MATCH(E$1,'Campus Enrol Disaggregation'!$P$4:$AC$4,0))</f>
        <v>6000</v>
      </c>
      <c r="F35" s="34">
        <f>INDEX('Campus Enrol Disaggregation'!$P$5:$AC$65,MATCH(Export_ControlTot!$A35,'Campus Enrol Disaggregation'!$O$5:$O$65,0),MATCH(F$1,'Campus Enrol Disaggregation'!$P$4:$AC$4,0))</f>
        <v>1500</v>
      </c>
      <c r="G35" s="34">
        <f>INDEX('Campus Enrol Disaggregation'!$P$5:$AC$65,MATCH(Export_ControlTot!$A35,'Campus Enrol Disaggregation'!$O$5:$O$65,0),MATCH(G$1,'Campus Enrol Disaggregation'!$P$4:$AC$4,0))</f>
        <v>5300</v>
      </c>
      <c r="H35" s="34">
        <f>INDEX('Campus Enrol Disaggregation'!$P$5:$AC$65,MATCH(Export_ControlTot!$A35,'Campus Enrol Disaggregation'!$O$5:$O$65,0),MATCH(H$1,'Campus Enrol Disaggregation'!$P$4:$AC$4,0))</f>
        <v>35100</v>
      </c>
      <c r="I35" s="34">
        <f>INDEX('Campus Enrol Disaggregation'!$P$5:$AC$65,MATCH(Export_ControlTot!$A35,'Campus Enrol Disaggregation'!$O$5:$O$65,0),MATCH(I$1,'Campus Enrol Disaggregation'!$P$4:$AC$4,0))</f>
        <v>43100</v>
      </c>
      <c r="J35" s="34">
        <f>INDEX('Campus Enrol Disaggregation'!$P$5:$AC$65,MATCH(Export_ControlTot!$A35,'Campus Enrol Disaggregation'!$O$5:$O$65,0),MATCH(J$1,'Campus Enrol Disaggregation'!$P$4:$AC$4,0))</f>
        <v>1450</v>
      </c>
      <c r="K35" s="34">
        <f>INDEX('Campus Enrol Disaggregation'!$P$5:$AC$65,MATCH(Export_ControlTot!$A35,'Campus Enrol Disaggregation'!$O$5:$O$65,0),MATCH(K$1,'Campus Enrol Disaggregation'!$P$4:$AC$4,0))</f>
        <v>0</v>
      </c>
      <c r="L35" s="34">
        <f>INDEX('Campus Enrol Disaggregation'!$P$5:$AC$65,MATCH(Export_ControlTot!$A35,'Campus Enrol Disaggregation'!$O$5:$O$65,0),MATCH(L$1,'Campus Enrol Disaggregation'!$P$4:$AC$4,0))</f>
        <v>0</v>
      </c>
      <c r="M35" s="34">
        <f>INDEX('Campus Enrol Disaggregation'!$P$5:$AC$65,MATCH(Export_ControlTot!$A35,'Campus Enrol Disaggregation'!$O$5:$O$65,0),MATCH(M$1,'Campus Enrol Disaggregation'!$P$4:$AC$4,0))</f>
        <v>23650</v>
      </c>
      <c r="N35" s="34">
        <f>INDEX('Campus Enrol Disaggregation'!$P$5:$AC$65,MATCH(Export_ControlTot!$A35,'Campus Enrol Disaggregation'!$O$5:$O$65,0),MATCH(N$1,'Campus Enrol Disaggregation'!$P$4:$AC$4,0))</f>
        <v>6200</v>
      </c>
      <c r="O35" s="34">
        <f>INDEX('Campus Enrol Disaggregation'!$P$5:$AC$65,MATCH(Export_ControlTot!$A35,'Campus Enrol Disaggregation'!$O$5:$O$65,0),MATCH(O$1,'Campus Enrol Disaggregation'!$P$4:$AC$4,0))</f>
        <v>2500</v>
      </c>
    </row>
    <row r="36" spans="1:15" x14ac:dyDescent="0.25">
      <c r="A36" s="3">
        <v>2024</v>
      </c>
      <c r="B36" s="34">
        <f>INDEX('Campus Enrol Disaggregation'!$P$5:$AC$65,MATCH(Export_ControlTot!$A36,'Campus Enrol Disaggregation'!$O$5:$O$65,0),MATCH(B$1,'Campus Enrol Disaggregation'!$P$4:$AC$4,0))</f>
        <v>36900</v>
      </c>
      <c r="C36" s="34">
        <f>INDEX('Campus Enrol Disaggregation'!$P$5:$AC$65,MATCH(Export_ControlTot!$A36,'Campus Enrol Disaggregation'!$O$5:$O$65,0),MATCH(C$1,'Campus Enrol Disaggregation'!$P$4:$AC$4,0))</f>
        <v>2000</v>
      </c>
      <c r="D36" s="34">
        <f>INDEX('Campus Enrol Disaggregation'!$P$5:$AC$65,MATCH(Export_ControlTot!$A36,'Campus Enrol Disaggregation'!$O$5:$O$65,0),MATCH(D$1,'Campus Enrol Disaggregation'!$P$4:$AC$4,0))</f>
        <v>17200</v>
      </c>
      <c r="E36" s="34">
        <f>INDEX('Campus Enrol Disaggregation'!$P$5:$AC$65,MATCH(Export_ControlTot!$A36,'Campus Enrol Disaggregation'!$O$5:$O$65,0),MATCH(E$1,'Campus Enrol Disaggregation'!$P$4:$AC$4,0))</f>
        <v>6000</v>
      </c>
      <c r="F36" s="34">
        <f>INDEX('Campus Enrol Disaggregation'!$P$5:$AC$65,MATCH(Export_ControlTot!$A36,'Campus Enrol Disaggregation'!$O$5:$O$65,0),MATCH(F$1,'Campus Enrol Disaggregation'!$P$4:$AC$4,0))</f>
        <v>1500</v>
      </c>
      <c r="G36" s="34">
        <f>INDEX('Campus Enrol Disaggregation'!$P$5:$AC$65,MATCH(Export_ControlTot!$A36,'Campus Enrol Disaggregation'!$O$5:$O$65,0),MATCH(G$1,'Campus Enrol Disaggregation'!$P$4:$AC$4,0))</f>
        <v>5350</v>
      </c>
      <c r="H36" s="34">
        <f>INDEX('Campus Enrol Disaggregation'!$P$5:$AC$65,MATCH(Export_ControlTot!$A36,'Campus Enrol Disaggregation'!$O$5:$O$65,0),MATCH(H$1,'Campus Enrol Disaggregation'!$P$4:$AC$4,0))</f>
        <v>35600</v>
      </c>
      <c r="I36" s="34">
        <f>INDEX('Campus Enrol Disaggregation'!$P$5:$AC$65,MATCH(Export_ControlTot!$A36,'Campus Enrol Disaggregation'!$O$5:$O$65,0),MATCH(I$1,'Campus Enrol Disaggregation'!$P$4:$AC$4,0))</f>
        <v>44700</v>
      </c>
      <c r="J36" s="34">
        <f>INDEX('Campus Enrol Disaggregation'!$P$5:$AC$65,MATCH(Export_ControlTot!$A36,'Campus Enrol Disaggregation'!$O$5:$O$65,0),MATCH(J$1,'Campus Enrol Disaggregation'!$P$4:$AC$4,0))</f>
        <v>1500</v>
      </c>
      <c r="K36" s="34">
        <f>INDEX('Campus Enrol Disaggregation'!$P$5:$AC$65,MATCH(Export_ControlTot!$A36,'Campus Enrol Disaggregation'!$O$5:$O$65,0),MATCH(K$1,'Campus Enrol Disaggregation'!$P$4:$AC$4,0))</f>
        <v>0</v>
      </c>
      <c r="L36" s="34">
        <f>INDEX('Campus Enrol Disaggregation'!$P$5:$AC$65,MATCH(Export_ControlTot!$A36,'Campus Enrol Disaggregation'!$O$5:$O$65,0),MATCH(L$1,'Campus Enrol Disaggregation'!$P$4:$AC$4,0))</f>
        <v>0</v>
      </c>
      <c r="M36" s="34">
        <f>INDEX('Campus Enrol Disaggregation'!$P$5:$AC$65,MATCH(Export_ControlTot!$A36,'Campus Enrol Disaggregation'!$O$5:$O$65,0),MATCH(M$1,'Campus Enrol Disaggregation'!$P$4:$AC$4,0))</f>
        <v>23900</v>
      </c>
      <c r="N36" s="34">
        <f>INDEX('Campus Enrol Disaggregation'!$P$5:$AC$65,MATCH(Export_ControlTot!$A36,'Campus Enrol Disaggregation'!$O$5:$O$65,0),MATCH(N$1,'Campus Enrol Disaggregation'!$P$4:$AC$4,0))</f>
        <v>6300</v>
      </c>
      <c r="O36" s="34">
        <f>INDEX('Campus Enrol Disaggregation'!$P$5:$AC$65,MATCH(Export_ControlTot!$A36,'Campus Enrol Disaggregation'!$O$5:$O$65,0),MATCH(O$1,'Campus Enrol Disaggregation'!$P$4:$AC$4,0))</f>
        <v>2500</v>
      </c>
    </row>
    <row r="37" spans="1:15" x14ac:dyDescent="0.25">
      <c r="A37" s="3">
        <v>2025</v>
      </c>
      <c r="B37" s="34">
        <f>INDEX('Campus Enrol Disaggregation'!$P$5:$AC$65,MATCH(Export_ControlTot!$A37,'Campus Enrol Disaggregation'!$O$5:$O$65,0),MATCH(B$1,'Campus Enrol Disaggregation'!$P$4:$AC$4,0))</f>
        <v>37500</v>
      </c>
      <c r="C37" s="34">
        <f>INDEX('Campus Enrol Disaggregation'!$P$5:$AC$65,MATCH(Export_ControlTot!$A37,'Campus Enrol Disaggregation'!$O$5:$O$65,0),MATCH(C$1,'Campus Enrol Disaggregation'!$P$4:$AC$4,0))</f>
        <v>2000</v>
      </c>
      <c r="D37" s="34">
        <f>INDEX('Campus Enrol Disaggregation'!$P$5:$AC$65,MATCH(Export_ControlTot!$A37,'Campus Enrol Disaggregation'!$O$5:$O$65,0),MATCH(D$1,'Campus Enrol Disaggregation'!$P$4:$AC$4,0))</f>
        <v>17200</v>
      </c>
      <c r="E37" s="34">
        <f>INDEX('Campus Enrol Disaggregation'!$P$5:$AC$65,MATCH(Export_ControlTot!$A37,'Campus Enrol Disaggregation'!$O$5:$O$65,0),MATCH(E$1,'Campus Enrol Disaggregation'!$P$4:$AC$4,0))</f>
        <v>6000</v>
      </c>
      <c r="F37" s="34">
        <f>INDEX('Campus Enrol Disaggregation'!$P$5:$AC$65,MATCH(Export_ControlTot!$A37,'Campus Enrol Disaggregation'!$O$5:$O$65,0),MATCH(F$1,'Campus Enrol Disaggregation'!$P$4:$AC$4,0))</f>
        <v>1500</v>
      </c>
      <c r="G37" s="34">
        <f>INDEX('Campus Enrol Disaggregation'!$P$5:$AC$65,MATCH(Export_ControlTot!$A37,'Campus Enrol Disaggregation'!$O$5:$O$65,0),MATCH(G$1,'Campus Enrol Disaggregation'!$P$4:$AC$4,0))</f>
        <v>5350</v>
      </c>
      <c r="H37" s="34">
        <f>INDEX('Campus Enrol Disaggregation'!$P$5:$AC$65,MATCH(Export_ControlTot!$A37,'Campus Enrol Disaggregation'!$O$5:$O$65,0),MATCH(H$1,'Campus Enrol Disaggregation'!$P$4:$AC$4,0))</f>
        <v>35900</v>
      </c>
      <c r="I37" s="34">
        <f>INDEX('Campus Enrol Disaggregation'!$P$5:$AC$65,MATCH(Export_ControlTot!$A37,'Campus Enrol Disaggregation'!$O$5:$O$65,0),MATCH(I$1,'Campus Enrol Disaggregation'!$P$4:$AC$4,0))</f>
        <v>46400</v>
      </c>
      <c r="J37" s="34">
        <f>INDEX('Campus Enrol Disaggregation'!$P$5:$AC$65,MATCH(Export_ControlTot!$A37,'Campus Enrol Disaggregation'!$O$5:$O$65,0),MATCH(J$1,'Campus Enrol Disaggregation'!$P$4:$AC$4,0))</f>
        <v>1550</v>
      </c>
      <c r="K37" s="34">
        <f>INDEX('Campus Enrol Disaggregation'!$P$5:$AC$65,MATCH(Export_ControlTot!$A37,'Campus Enrol Disaggregation'!$O$5:$O$65,0),MATCH(K$1,'Campus Enrol Disaggregation'!$P$4:$AC$4,0))</f>
        <v>0</v>
      </c>
      <c r="L37" s="34">
        <f>INDEX('Campus Enrol Disaggregation'!$P$5:$AC$65,MATCH(Export_ControlTot!$A37,'Campus Enrol Disaggregation'!$O$5:$O$65,0),MATCH(L$1,'Campus Enrol Disaggregation'!$P$4:$AC$4,0))</f>
        <v>0</v>
      </c>
      <c r="M37" s="34">
        <f>INDEX('Campus Enrol Disaggregation'!$P$5:$AC$65,MATCH(Export_ControlTot!$A37,'Campus Enrol Disaggregation'!$O$5:$O$65,0),MATCH(M$1,'Campus Enrol Disaggregation'!$P$4:$AC$4,0))</f>
        <v>24100</v>
      </c>
      <c r="N37" s="34">
        <f>INDEX('Campus Enrol Disaggregation'!$P$5:$AC$65,MATCH(Export_ControlTot!$A37,'Campus Enrol Disaggregation'!$O$5:$O$65,0),MATCH(N$1,'Campus Enrol Disaggregation'!$P$4:$AC$4,0))</f>
        <v>6350</v>
      </c>
      <c r="O37" s="34">
        <f>INDEX('Campus Enrol Disaggregation'!$P$5:$AC$65,MATCH(Export_ControlTot!$A37,'Campus Enrol Disaggregation'!$O$5:$O$65,0),MATCH(O$1,'Campus Enrol Disaggregation'!$P$4:$AC$4,0))</f>
        <v>2500</v>
      </c>
    </row>
    <row r="38" spans="1:15" x14ac:dyDescent="0.25">
      <c r="A38" s="3">
        <v>2026</v>
      </c>
      <c r="B38" s="34">
        <f>INDEX('Campus Enrol Disaggregation'!$P$5:$AC$65,MATCH(Export_ControlTot!$A38,'Campus Enrol Disaggregation'!$O$5:$O$65,0),MATCH(B$1,'Campus Enrol Disaggregation'!$P$4:$AC$4,0))</f>
        <v>37500</v>
      </c>
      <c r="C38" s="34">
        <f>INDEX('Campus Enrol Disaggregation'!$P$5:$AC$65,MATCH(Export_ControlTot!$A38,'Campus Enrol Disaggregation'!$O$5:$O$65,0),MATCH(C$1,'Campus Enrol Disaggregation'!$P$4:$AC$4,0))</f>
        <v>2000</v>
      </c>
      <c r="D38" s="34">
        <f>INDEX('Campus Enrol Disaggregation'!$P$5:$AC$65,MATCH(Export_ControlTot!$A38,'Campus Enrol Disaggregation'!$O$5:$O$65,0),MATCH(D$1,'Campus Enrol Disaggregation'!$P$4:$AC$4,0))</f>
        <v>17150</v>
      </c>
      <c r="E38" s="34">
        <f>INDEX('Campus Enrol Disaggregation'!$P$5:$AC$65,MATCH(Export_ControlTot!$A38,'Campus Enrol Disaggregation'!$O$5:$O$65,0),MATCH(E$1,'Campus Enrol Disaggregation'!$P$4:$AC$4,0))</f>
        <v>6000</v>
      </c>
      <c r="F38" s="34">
        <f>INDEX('Campus Enrol Disaggregation'!$P$5:$AC$65,MATCH(Export_ControlTot!$A38,'Campus Enrol Disaggregation'!$O$5:$O$65,0),MATCH(F$1,'Campus Enrol Disaggregation'!$P$4:$AC$4,0))</f>
        <v>1500</v>
      </c>
      <c r="G38" s="34">
        <f>INDEX('Campus Enrol Disaggregation'!$P$5:$AC$65,MATCH(Export_ControlTot!$A38,'Campus Enrol Disaggregation'!$O$5:$O$65,0),MATCH(G$1,'Campus Enrol Disaggregation'!$P$4:$AC$4,0))</f>
        <v>5300</v>
      </c>
      <c r="H38" s="34">
        <f>INDEX('Campus Enrol Disaggregation'!$P$5:$AC$65,MATCH(Export_ControlTot!$A38,'Campus Enrol Disaggregation'!$O$5:$O$65,0),MATCH(H$1,'Campus Enrol Disaggregation'!$P$4:$AC$4,0))</f>
        <v>36100</v>
      </c>
      <c r="I38" s="34">
        <f>INDEX('Campus Enrol Disaggregation'!$P$5:$AC$65,MATCH(Export_ControlTot!$A38,'Campus Enrol Disaggregation'!$O$5:$O$65,0),MATCH(I$1,'Campus Enrol Disaggregation'!$P$4:$AC$4,0))</f>
        <v>47150</v>
      </c>
      <c r="J38" s="34">
        <f>INDEX('Campus Enrol Disaggregation'!$P$5:$AC$65,MATCH(Export_ControlTot!$A38,'Campus Enrol Disaggregation'!$O$5:$O$65,0),MATCH(J$1,'Campus Enrol Disaggregation'!$P$4:$AC$4,0))</f>
        <v>1600</v>
      </c>
      <c r="K38" s="34">
        <f>INDEX('Campus Enrol Disaggregation'!$P$5:$AC$65,MATCH(Export_ControlTot!$A38,'Campus Enrol Disaggregation'!$O$5:$O$65,0),MATCH(K$1,'Campus Enrol Disaggregation'!$P$4:$AC$4,0))</f>
        <v>0</v>
      </c>
      <c r="L38" s="34">
        <f>INDEX('Campus Enrol Disaggregation'!$P$5:$AC$65,MATCH(Export_ControlTot!$A38,'Campus Enrol Disaggregation'!$O$5:$O$65,0),MATCH(L$1,'Campus Enrol Disaggregation'!$P$4:$AC$4,0))</f>
        <v>550</v>
      </c>
      <c r="M38" s="34">
        <f>INDEX('Campus Enrol Disaggregation'!$P$5:$AC$65,MATCH(Export_ControlTot!$A38,'Campus Enrol Disaggregation'!$O$5:$O$65,0),MATCH(M$1,'Campus Enrol Disaggregation'!$P$4:$AC$4,0))</f>
        <v>24350</v>
      </c>
      <c r="N38" s="34">
        <f>INDEX('Campus Enrol Disaggregation'!$P$5:$AC$65,MATCH(Export_ControlTot!$A38,'Campus Enrol Disaggregation'!$O$5:$O$65,0),MATCH(N$1,'Campus Enrol Disaggregation'!$P$4:$AC$4,0))</f>
        <v>6400</v>
      </c>
      <c r="O38" s="34">
        <f>INDEX('Campus Enrol Disaggregation'!$P$5:$AC$65,MATCH(Export_ControlTot!$A38,'Campus Enrol Disaggregation'!$O$5:$O$65,0),MATCH(O$1,'Campus Enrol Disaggregation'!$P$4:$AC$4,0))</f>
        <v>2500</v>
      </c>
    </row>
    <row r="39" spans="1:15" x14ac:dyDescent="0.25">
      <c r="A39" s="3">
        <v>2027</v>
      </c>
      <c r="B39" s="34">
        <f>INDEX('Campus Enrol Disaggregation'!$P$5:$AC$65,MATCH(Export_ControlTot!$A39,'Campus Enrol Disaggregation'!$O$5:$O$65,0),MATCH(B$1,'Campus Enrol Disaggregation'!$P$4:$AC$4,0))</f>
        <v>37550</v>
      </c>
      <c r="C39" s="34">
        <f>INDEX('Campus Enrol Disaggregation'!$P$5:$AC$65,MATCH(Export_ControlTot!$A39,'Campus Enrol Disaggregation'!$O$5:$O$65,0),MATCH(C$1,'Campus Enrol Disaggregation'!$P$4:$AC$4,0))</f>
        <v>2000</v>
      </c>
      <c r="D39" s="34">
        <f>INDEX('Campus Enrol Disaggregation'!$P$5:$AC$65,MATCH(Export_ControlTot!$A39,'Campus Enrol Disaggregation'!$O$5:$O$65,0),MATCH(D$1,'Campus Enrol Disaggregation'!$P$4:$AC$4,0))</f>
        <v>17100</v>
      </c>
      <c r="E39" s="34">
        <f>INDEX('Campus Enrol Disaggregation'!$P$5:$AC$65,MATCH(Export_ControlTot!$A39,'Campus Enrol Disaggregation'!$O$5:$O$65,0),MATCH(E$1,'Campus Enrol Disaggregation'!$P$4:$AC$4,0))</f>
        <v>6000</v>
      </c>
      <c r="F39" s="34">
        <f>INDEX('Campus Enrol Disaggregation'!$P$5:$AC$65,MATCH(Export_ControlTot!$A39,'Campus Enrol Disaggregation'!$O$5:$O$65,0),MATCH(F$1,'Campus Enrol Disaggregation'!$P$4:$AC$4,0))</f>
        <v>1500</v>
      </c>
      <c r="G39" s="34">
        <f>INDEX('Campus Enrol Disaggregation'!$P$5:$AC$65,MATCH(Export_ControlTot!$A39,'Campus Enrol Disaggregation'!$O$5:$O$65,0),MATCH(G$1,'Campus Enrol Disaggregation'!$P$4:$AC$4,0))</f>
        <v>5300</v>
      </c>
      <c r="H39" s="34">
        <f>INDEX('Campus Enrol Disaggregation'!$P$5:$AC$65,MATCH(Export_ControlTot!$A39,'Campus Enrol Disaggregation'!$O$5:$O$65,0),MATCH(H$1,'Campus Enrol Disaggregation'!$P$4:$AC$4,0))</f>
        <v>36300</v>
      </c>
      <c r="I39" s="34">
        <f>INDEX('Campus Enrol Disaggregation'!$P$5:$AC$65,MATCH(Export_ControlTot!$A39,'Campus Enrol Disaggregation'!$O$5:$O$65,0),MATCH(I$1,'Campus Enrol Disaggregation'!$P$4:$AC$4,0))</f>
        <v>48100</v>
      </c>
      <c r="J39" s="34">
        <f>INDEX('Campus Enrol Disaggregation'!$P$5:$AC$65,MATCH(Export_ControlTot!$A39,'Campus Enrol Disaggregation'!$O$5:$O$65,0),MATCH(J$1,'Campus Enrol Disaggregation'!$P$4:$AC$4,0))</f>
        <v>1650</v>
      </c>
      <c r="K39" s="34">
        <f>INDEX('Campus Enrol Disaggregation'!$P$5:$AC$65,MATCH(Export_ControlTot!$A39,'Campus Enrol Disaggregation'!$O$5:$O$65,0),MATCH(K$1,'Campus Enrol Disaggregation'!$P$4:$AC$4,0))</f>
        <v>0</v>
      </c>
      <c r="L39" s="34">
        <f>INDEX('Campus Enrol Disaggregation'!$P$5:$AC$65,MATCH(Export_ControlTot!$A39,'Campus Enrol Disaggregation'!$O$5:$O$65,0),MATCH(L$1,'Campus Enrol Disaggregation'!$P$4:$AC$4,0))</f>
        <v>750</v>
      </c>
      <c r="M39" s="34">
        <f>INDEX('Campus Enrol Disaggregation'!$P$5:$AC$65,MATCH(Export_ControlTot!$A39,'Campus Enrol Disaggregation'!$O$5:$O$65,0),MATCH(M$1,'Campus Enrol Disaggregation'!$P$4:$AC$4,0))</f>
        <v>24600</v>
      </c>
      <c r="N39" s="34">
        <f>INDEX('Campus Enrol Disaggregation'!$P$5:$AC$65,MATCH(Export_ControlTot!$A39,'Campus Enrol Disaggregation'!$O$5:$O$65,0),MATCH(N$1,'Campus Enrol Disaggregation'!$P$4:$AC$4,0))</f>
        <v>6450</v>
      </c>
      <c r="O39" s="34">
        <f>INDEX('Campus Enrol Disaggregation'!$P$5:$AC$65,MATCH(Export_ControlTot!$A39,'Campus Enrol Disaggregation'!$O$5:$O$65,0),MATCH(O$1,'Campus Enrol Disaggregation'!$P$4:$AC$4,0))</f>
        <v>2500</v>
      </c>
    </row>
    <row r="40" spans="1:15" x14ac:dyDescent="0.25">
      <c r="A40" s="3">
        <v>2028</v>
      </c>
      <c r="B40" s="34">
        <f>INDEX('Campus Enrol Disaggregation'!$P$5:$AC$65,MATCH(Export_ControlTot!$A40,'Campus Enrol Disaggregation'!$O$5:$O$65,0),MATCH(B$1,'Campus Enrol Disaggregation'!$P$4:$AC$4,0))</f>
        <v>37600</v>
      </c>
      <c r="C40" s="34">
        <f>INDEX('Campus Enrol Disaggregation'!$P$5:$AC$65,MATCH(Export_ControlTot!$A40,'Campus Enrol Disaggregation'!$O$5:$O$65,0),MATCH(C$1,'Campus Enrol Disaggregation'!$P$4:$AC$4,0))</f>
        <v>2000</v>
      </c>
      <c r="D40" s="34">
        <f>INDEX('Campus Enrol Disaggregation'!$P$5:$AC$65,MATCH(Export_ControlTot!$A40,'Campus Enrol Disaggregation'!$O$5:$O$65,0),MATCH(D$1,'Campus Enrol Disaggregation'!$P$4:$AC$4,0))</f>
        <v>17000</v>
      </c>
      <c r="E40" s="34">
        <f>INDEX('Campus Enrol Disaggregation'!$P$5:$AC$65,MATCH(Export_ControlTot!$A40,'Campus Enrol Disaggregation'!$O$5:$O$65,0),MATCH(E$1,'Campus Enrol Disaggregation'!$P$4:$AC$4,0))</f>
        <v>5950</v>
      </c>
      <c r="F40" s="34">
        <f>INDEX('Campus Enrol Disaggregation'!$P$5:$AC$65,MATCH(Export_ControlTot!$A40,'Campus Enrol Disaggregation'!$O$5:$O$65,0),MATCH(F$1,'Campus Enrol Disaggregation'!$P$4:$AC$4,0))</f>
        <v>1500</v>
      </c>
      <c r="G40" s="34">
        <f>INDEX('Campus Enrol Disaggregation'!$P$5:$AC$65,MATCH(Export_ControlTot!$A40,'Campus Enrol Disaggregation'!$O$5:$O$65,0),MATCH(G$1,'Campus Enrol Disaggregation'!$P$4:$AC$4,0))</f>
        <v>5300</v>
      </c>
      <c r="H40" s="34">
        <f>INDEX('Campus Enrol Disaggregation'!$P$5:$AC$65,MATCH(Export_ControlTot!$A40,'Campus Enrol Disaggregation'!$O$5:$O$65,0),MATCH(H$1,'Campus Enrol Disaggregation'!$P$4:$AC$4,0))</f>
        <v>36350</v>
      </c>
      <c r="I40" s="34">
        <f>INDEX('Campus Enrol Disaggregation'!$P$5:$AC$65,MATCH(Export_ControlTot!$A40,'Campus Enrol Disaggregation'!$O$5:$O$65,0),MATCH(I$1,'Campus Enrol Disaggregation'!$P$4:$AC$4,0))</f>
        <v>48850</v>
      </c>
      <c r="J40" s="34">
        <f>INDEX('Campus Enrol Disaggregation'!$P$5:$AC$65,MATCH(Export_ControlTot!$A40,'Campus Enrol Disaggregation'!$O$5:$O$65,0),MATCH(J$1,'Campus Enrol Disaggregation'!$P$4:$AC$4,0))</f>
        <v>1700</v>
      </c>
      <c r="K40" s="34">
        <f>INDEX('Campus Enrol Disaggregation'!$P$5:$AC$65,MATCH(Export_ControlTot!$A40,'Campus Enrol Disaggregation'!$O$5:$O$65,0),MATCH(K$1,'Campus Enrol Disaggregation'!$P$4:$AC$4,0))</f>
        <v>0</v>
      </c>
      <c r="L40" s="34">
        <f>INDEX('Campus Enrol Disaggregation'!$P$5:$AC$65,MATCH(Export_ControlTot!$A40,'Campus Enrol Disaggregation'!$O$5:$O$65,0),MATCH(L$1,'Campus Enrol Disaggregation'!$P$4:$AC$4,0))</f>
        <v>900</v>
      </c>
      <c r="M40" s="34">
        <f>INDEX('Campus Enrol Disaggregation'!$P$5:$AC$65,MATCH(Export_ControlTot!$A40,'Campus Enrol Disaggregation'!$O$5:$O$65,0),MATCH(M$1,'Campus Enrol Disaggregation'!$P$4:$AC$4,0))</f>
        <v>24850</v>
      </c>
      <c r="N40" s="34">
        <f>INDEX('Campus Enrol Disaggregation'!$P$5:$AC$65,MATCH(Export_ControlTot!$A40,'Campus Enrol Disaggregation'!$O$5:$O$65,0),MATCH(N$1,'Campus Enrol Disaggregation'!$P$4:$AC$4,0))</f>
        <v>6550</v>
      </c>
      <c r="O40" s="34">
        <f>INDEX('Campus Enrol Disaggregation'!$P$5:$AC$65,MATCH(Export_ControlTot!$A40,'Campus Enrol Disaggregation'!$O$5:$O$65,0),MATCH(O$1,'Campus Enrol Disaggregation'!$P$4:$AC$4,0))</f>
        <v>2500</v>
      </c>
    </row>
    <row r="41" spans="1:15" x14ac:dyDescent="0.25">
      <c r="A41" s="3">
        <v>2029</v>
      </c>
      <c r="B41" s="34">
        <f>INDEX('Campus Enrol Disaggregation'!$P$5:$AC$65,MATCH(Export_ControlTot!$A41,'Campus Enrol Disaggregation'!$O$5:$O$65,0),MATCH(B$1,'Campus Enrol Disaggregation'!$P$4:$AC$4,0))</f>
        <v>37650</v>
      </c>
      <c r="C41" s="34">
        <f>INDEX('Campus Enrol Disaggregation'!$P$5:$AC$65,MATCH(Export_ControlTot!$A41,'Campus Enrol Disaggregation'!$O$5:$O$65,0),MATCH(C$1,'Campus Enrol Disaggregation'!$P$4:$AC$4,0))</f>
        <v>2000</v>
      </c>
      <c r="D41" s="34">
        <f>INDEX('Campus Enrol Disaggregation'!$P$5:$AC$65,MATCH(Export_ControlTot!$A41,'Campus Enrol Disaggregation'!$O$5:$O$65,0),MATCH(D$1,'Campus Enrol Disaggregation'!$P$4:$AC$4,0))</f>
        <v>17200</v>
      </c>
      <c r="E41" s="34">
        <f>INDEX('Campus Enrol Disaggregation'!$P$5:$AC$65,MATCH(Export_ControlTot!$A41,'Campus Enrol Disaggregation'!$O$5:$O$65,0),MATCH(E$1,'Campus Enrol Disaggregation'!$P$4:$AC$4,0))</f>
        <v>6000</v>
      </c>
      <c r="F41" s="34">
        <f>INDEX('Campus Enrol Disaggregation'!$P$5:$AC$65,MATCH(Export_ControlTot!$A41,'Campus Enrol Disaggregation'!$O$5:$O$65,0),MATCH(F$1,'Campus Enrol Disaggregation'!$P$4:$AC$4,0))</f>
        <v>1500</v>
      </c>
      <c r="G41" s="34">
        <f>INDEX('Campus Enrol Disaggregation'!$P$5:$AC$65,MATCH(Export_ControlTot!$A41,'Campus Enrol Disaggregation'!$O$5:$O$65,0),MATCH(G$1,'Campus Enrol Disaggregation'!$P$4:$AC$4,0))</f>
        <v>5350</v>
      </c>
      <c r="H41" s="34">
        <f>INDEX('Campus Enrol Disaggregation'!$P$5:$AC$65,MATCH(Export_ControlTot!$A41,'Campus Enrol Disaggregation'!$O$5:$O$65,0),MATCH(H$1,'Campus Enrol Disaggregation'!$P$4:$AC$4,0))</f>
        <v>36600</v>
      </c>
      <c r="I41" s="34">
        <f>INDEX('Campus Enrol Disaggregation'!$P$5:$AC$65,MATCH(Export_ControlTot!$A41,'Campus Enrol Disaggregation'!$O$5:$O$65,0),MATCH(I$1,'Campus Enrol Disaggregation'!$P$4:$AC$4,0))</f>
        <v>48850</v>
      </c>
      <c r="J41" s="34">
        <f>INDEX('Campus Enrol Disaggregation'!$P$5:$AC$65,MATCH(Export_ControlTot!$A41,'Campus Enrol Disaggregation'!$O$5:$O$65,0),MATCH(J$1,'Campus Enrol Disaggregation'!$P$4:$AC$4,0))</f>
        <v>1700</v>
      </c>
      <c r="K41" s="34">
        <f>INDEX('Campus Enrol Disaggregation'!$P$5:$AC$65,MATCH(Export_ControlTot!$A41,'Campus Enrol Disaggregation'!$O$5:$O$65,0),MATCH(K$1,'Campus Enrol Disaggregation'!$P$4:$AC$4,0))</f>
        <v>650</v>
      </c>
      <c r="L41" s="34">
        <f>INDEX('Campus Enrol Disaggregation'!$P$5:$AC$65,MATCH(Export_ControlTot!$A41,'Campus Enrol Disaggregation'!$O$5:$O$65,0),MATCH(L$1,'Campus Enrol Disaggregation'!$P$4:$AC$4,0))</f>
        <v>1050</v>
      </c>
      <c r="M41" s="34">
        <f>INDEX('Campus Enrol Disaggregation'!$P$5:$AC$65,MATCH(Export_ControlTot!$A41,'Campus Enrol Disaggregation'!$O$5:$O$65,0),MATCH(M$1,'Campus Enrol Disaggregation'!$P$4:$AC$4,0))</f>
        <v>25200</v>
      </c>
      <c r="N41" s="34">
        <f>INDEX('Campus Enrol Disaggregation'!$P$5:$AC$65,MATCH(Export_ControlTot!$A41,'Campus Enrol Disaggregation'!$O$5:$O$65,0),MATCH(N$1,'Campus Enrol Disaggregation'!$P$4:$AC$4,0))</f>
        <v>6650</v>
      </c>
      <c r="O41" s="34">
        <f>INDEX('Campus Enrol Disaggregation'!$P$5:$AC$65,MATCH(Export_ControlTot!$A41,'Campus Enrol Disaggregation'!$O$5:$O$65,0),MATCH(O$1,'Campus Enrol Disaggregation'!$P$4:$AC$4,0))</f>
        <v>2500</v>
      </c>
    </row>
    <row r="42" spans="1:15" x14ac:dyDescent="0.25">
      <c r="A42" s="3">
        <v>2030</v>
      </c>
      <c r="B42" s="34">
        <f>INDEX('Campus Enrol Disaggregation'!$P$5:$AC$65,MATCH(Export_ControlTot!$A42,'Campus Enrol Disaggregation'!$O$5:$O$65,0),MATCH(B$1,'Campus Enrol Disaggregation'!$P$4:$AC$4,0))</f>
        <v>37650</v>
      </c>
      <c r="C42" s="34">
        <f>INDEX('Campus Enrol Disaggregation'!$P$5:$AC$65,MATCH(Export_ControlTot!$A42,'Campus Enrol Disaggregation'!$O$5:$O$65,0),MATCH(C$1,'Campus Enrol Disaggregation'!$P$4:$AC$4,0))</f>
        <v>2000</v>
      </c>
      <c r="D42" s="34">
        <f>INDEX('Campus Enrol Disaggregation'!$P$5:$AC$65,MATCH(Export_ControlTot!$A42,'Campus Enrol Disaggregation'!$O$5:$O$65,0),MATCH(D$1,'Campus Enrol Disaggregation'!$P$4:$AC$4,0))</f>
        <v>17400</v>
      </c>
      <c r="E42" s="34">
        <f>INDEX('Campus Enrol Disaggregation'!$P$5:$AC$65,MATCH(Export_ControlTot!$A42,'Campus Enrol Disaggregation'!$O$5:$O$65,0),MATCH(E$1,'Campus Enrol Disaggregation'!$P$4:$AC$4,0))</f>
        <v>6100</v>
      </c>
      <c r="F42" s="34">
        <f>INDEX('Campus Enrol Disaggregation'!$P$5:$AC$65,MATCH(Export_ControlTot!$A42,'Campus Enrol Disaggregation'!$O$5:$O$65,0),MATCH(F$1,'Campus Enrol Disaggregation'!$P$4:$AC$4,0))</f>
        <v>1500</v>
      </c>
      <c r="G42" s="34">
        <f>INDEX('Campus Enrol Disaggregation'!$P$5:$AC$65,MATCH(Export_ControlTot!$A42,'Campus Enrol Disaggregation'!$O$5:$O$65,0),MATCH(G$1,'Campus Enrol Disaggregation'!$P$4:$AC$4,0))</f>
        <v>5400</v>
      </c>
      <c r="H42" s="34">
        <f>INDEX('Campus Enrol Disaggregation'!$P$5:$AC$65,MATCH(Export_ControlTot!$A42,'Campus Enrol Disaggregation'!$O$5:$O$65,0),MATCH(H$1,'Campus Enrol Disaggregation'!$P$4:$AC$4,0))</f>
        <v>36850</v>
      </c>
      <c r="I42" s="34">
        <f>INDEX('Campus Enrol Disaggregation'!$P$5:$AC$65,MATCH(Export_ControlTot!$A42,'Campus Enrol Disaggregation'!$O$5:$O$65,0),MATCH(I$1,'Campus Enrol Disaggregation'!$P$4:$AC$4,0))</f>
        <v>49750</v>
      </c>
      <c r="J42" s="34">
        <f>INDEX('Campus Enrol Disaggregation'!$P$5:$AC$65,MATCH(Export_ControlTot!$A42,'Campus Enrol Disaggregation'!$O$5:$O$65,0),MATCH(J$1,'Campus Enrol Disaggregation'!$P$4:$AC$4,0))</f>
        <v>1750</v>
      </c>
      <c r="K42" s="34">
        <f>INDEX('Campus Enrol Disaggregation'!$P$5:$AC$65,MATCH(Export_ControlTot!$A42,'Campus Enrol Disaggregation'!$O$5:$O$65,0),MATCH(K$1,'Campus Enrol Disaggregation'!$P$4:$AC$4,0))</f>
        <v>750</v>
      </c>
      <c r="L42" s="34">
        <f>INDEX('Campus Enrol Disaggregation'!$P$5:$AC$65,MATCH(Export_ControlTot!$A42,'Campus Enrol Disaggregation'!$O$5:$O$65,0),MATCH(L$1,'Campus Enrol Disaggregation'!$P$4:$AC$4,0))</f>
        <v>1200</v>
      </c>
      <c r="M42" s="34">
        <f>INDEX('Campus Enrol Disaggregation'!$P$5:$AC$65,MATCH(Export_ControlTot!$A42,'Campus Enrol Disaggregation'!$O$5:$O$65,0),MATCH(M$1,'Campus Enrol Disaggregation'!$P$4:$AC$4,0))</f>
        <v>25550</v>
      </c>
      <c r="N42" s="34">
        <f>INDEX('Campus Enrol Disaggregation'!$P$5:$AC$65,MATCH(Export_ControlTot!$A42,'Campus Enrol Disaggregation'!$O$5:$O$65,0),MATCH(N$1,'Campus Enrol Disaggregation'!$P$4:$AC$4,0))</f>
        <v>6700</v>
      </c>
      <c r="O42" s="34">
        <f>INDEX('Campus Enrol Disaggregation'!$P$5:$AC$65,MATCH(Export_ControlTot!$A42,'Campus Enrol Disaggregation'!$O$5:$O$65,0),MATCH(O$1,'Campus Enrol Disaggregation'!$P$4:$AC$4,0))</f>
        <v>2500</v>
      </c>
    </row>
    <row r="43" spans="1:15" x14ac:dyDescent="0.25">
      <c r="A43" s="3">
        <v>2031</v>
      </c>
      <c r="B43" s="34">
        <f>INDEX('Campus Enrol Disaggregation'!$P$5:$AC$65,MATCH(Export_ControlTot!$A43,'Campus Enrol Disaggregation'!$O$5:$O$65,0),MATCH(B$1,'Campus Enrol Disaggregation'!$P$4:$AC$4,0))</f>
        <v>37700</v>
      </c>
      <c r="C43" s="34">
        <f>INDEX('Campus Enrol Disaggregation'!$P$5:$AC$65,MATCH(Export_ControlTot!$A43,'Campus Enrol Disaggregation'!$O$5:$O$65,0),MATCH(C$1,'Campus Enrol Disaggregation'!$P$4:$AC$4,0))</f>
        <v>2000</v>
      </c>
      <c r="D43" s="34">
        <f>INDEX('Campus Enrol Disaggregation'!$P$5:$AC$65,MATCH(Export_ControlTot!$A43,'Campus Enrol Disaggregation'!$O$5:$O$65,0),MATCH(D$1,'Campus Enrol Disaggregation'!$P$4:$AC$4,0))</f>
        <v>17550</v>
      </c>
      <c r="E43" s="34">
        <f>INDEX('Campus Enrol Disaggregation'!$P$5:$AC$65,MATCH(Export_ControlTot!$A43,'Campus Enrol Disaggregation'!$O$5:$O$65,0),MATCH(E$1,'Campus Enrol Disaggregation'!$P$4:$AC$4,0))</f>
        <v>6150</v>
      </c>
      <c r="F43" s="34">
        <f>INDEX('Campus Enrol Disaggregation'!$P$5:$AC$65,MATCH(Export_ControlTot!$A43,'Campus Enrol Disaggregation'!$O$5:$O$65,0),MATCH(F$1,'Campus Enrol Disaggregation'!$P$4:$AC$4,0))</f>
        <v>1550</v>
      </c>
      <c r="G43" s="34">
        <f>INDEX('Campus Enrol Disaggregation'!$P$5:$AC$65,MATCH(Export_ControlTot!$A43,'Campus Enrol Disaggregation'!$O$5:$O$65,0),MATCH(G$1,'Campus Enrol Disaggregation'!$P$4:$AC$4,0))</f>
        <v>5450</v>
      </c>
      <c r="H43" s="34">
        <f>INDEX('Campus Enrol Disaggregation'!$P$5:$AC$65,MATCH(Export_ControlTot!$A43,'Campus Enrol Disaggregation'!$O$5:$O$65,0),MATCH(H$1,'Campus Enrol Disaggregation'!$P$4:$AC$4,0))</f>
        <v>37100</v>
      </c>
      <c r="I43" s="34">
        <f>INDEX('Campus Enrol Disaggregation'!$P$5:$AC$65,MATCH(Export_ControlTot!$A43,'Campus Enrol Disaggregation'!$O$5:$O$65,0),MATCH(I$1,'Campus Enrol Disaggregation'!$P$4:$AC$4,0))</f>
        <v>50650</v>
      </c>
      <c r="J43" s="34">
        <f>INDEX('Campus Enrol Disaggregation'!$P$5:$AC$65,MATCH(Export_ControlTot!$A43,'Campus Enrol Disaggregation'!$O$5:$O$65,0),MATCH(J$1,'Campus Enrol Disaggregation'!$P$4:$AC$4,0))</f>
        <v>1800</v>
      </c>
      <c r="K43" s="34">
        <f>INDEX('Campus Enrol Disaggregation'!$P$5:$AC$65,MATCH(Export_ControlTot!$A43,'Campus Enrol Disaggregation'!$O$5:$O$65,0),MATCH(K$1,'Campus Enrol Disaggregation'!$P$4:$AC$4,0))</f>
        <v>850</v>
      </c>
      <c r="L43" s="34">
        <f>INDEX('Campus Enrol Disaggregation'!$P$5:$AC$65,MATCH(Export_ControlTot!$A43,'Campus Enrol Disaggregation'!$O$5:$O$65,0),MATCH(L$1,'Campus Enrol Disaggregation'!$P$4:$AC$4,0))</f>
        <v>1350</v>
      </c>
      <c r="M43" s="34">
        <f>INDEX('Campus Enrol Disaggregation'!$P$5:$AC$65,MATCH(Export_ControlTot!$A43,'Campus Enrol Disaggregation'!$O$5:$O$65,0),MATCH(M$1,'Campus Enrol Disaggregation'!$P$4:$AC$4,0))</f>
        <v>25900</v>
      </c>
      <c r="N43" s="34">
        <f>INDEX('Campus Enrol Disaggregation'!$P$5:$AC$65,MATCH(Export_ControlTot!$A43,'Campus Enrol Disaggregation'!$O$5:$O$65,0),MATCH(N$1,'Campus Enrol Disaggregation'!$P$4:$AC$4,0))</f>
        <v>6800</v>
      </c>
      <c r="O43" s="34">
        <f>INDEX('Campus Enrol Disaggregation'!$P$5:$AC$65,MATCH(Export_ControlTot!$A43,'Campus Enrol Disaggregation'!$O$5:$O$65,0),MATCH(O$1,'Campus Enrol Disaggregation'!$P$4:$AC$4,0))</f>
        <v>2500</v>
      </c>
    </row>
    <row r="44" spans="1:15" x14ac:dyDescent="0.25">
      <c r="A44" s="3">
        <v>2032</v>
      </c>
      <c r="B44" s="34">
        <f>INDEX('Campus Enrol Disaggregation'!$P$5:$AC$65,MATCH(Export_ControlTot!$A44,'Campus Enrol Disaggregation'!$O$5:$O$65,0),MATCH(B$1,'Campus Enrol Disaggregation'!$P$4:$AC$4,0))</f>
        <v>37750</v>
      </c>
      <c r="C44" s="34">
        <f>INDEX('Campus Enrol Disaggregation'!$P$5:$AC$65,MATCH(Export_ControlTot!$A44,'Campus Enrol Disaggregation'!$O$5:$O$65,0),MATCH(C$1,'Campus Enrol Disaggregation'!$P$4:$AC$4,0))</f>
        <v>2000</v>
      </c>
      <c r="D44" s="34">
        <f>INDEX('Campus Enrol Disaggregation'!$P$5:$AC$65,MATCH(Export_ControlTot!$A44,'Campus Enrol Disaggregation'!$O$5:$O$65,0),MATCH(D$1,'Campus Enrol Disaggregation'!$P$4:$AC$4,0))</f>
        <v>17750</v>
      </c>
      <c r="E44" s="34">
        <f>INDEX('Campus Enrol Disaggregation'!$P$5:$AC$65,MATCH(Export_ControlTot!$A44,'Campus Enrol Disaggregation'!$O$5:$O$65,0),MATCH(E$1,'Campus Enrol Disaggregation'!$P$4:$AC$4,0))</f>
        <v>6200</v>
      </c>
      <c r="F44" s="34">
        <f>INDEX('Campus Enrol Disaggregation'!$P$5:$AC$65,MATCH(Export_ControlTot!$A44,'Campus Enrol Disaggregation'!$O$5:$O$65,0),MATCH(F$1,'Campus Enrol Disaggregation'!$P$4:$AC$4,0))</f>
        <v>1550</v>
      </c>
      <c r="G44" s="34">
        <f>INDEX('Campus Enrol Disaggregation'!$P$5:$AC$65,MATCH(Export_ControlTot!$A44,'Campus Enrol Disaggregation'!$O$5:$O$65,0),MATCH(G$1,'Campus Enrol Disaggregation'!$P$4:$AC$4,0))</f>
        <v>5500</v>
      </c>
      <c r="H44" s="34">
        <f>INDEX('Campus Enrol Disaggregation'!$P$5:$AC$65,MATCH(Export_ControlTot!$A44,'Campus Enrol Disaggregation'!$O$5:$O$65,0),MATCH(H$1,'Campus Enrol Disaggregation'!$P$4:$AC$4,0))</f>
        <v>37350</v>
      </c>
      <c r="I44" s="34">
        <f>INDEX('Campus Enrol Disaggregation'!$P$5:$AC$65,MATCH(Export_ControlTot!$A44,'Campus Enrol Disaggregation'!$O$5:$O$65,0),MATCH(I$1,'Campus Enrol Disaggregation'!$P$4:$AC$4,0))</f>
        <v>51600</v>
      </c>
      <c r="J44" s="34">
        <f>INDEX('Campus Enrol Disaggregation'!$P$5:$AC$65,MATCH(Export_ControlTot!$A44,'Campus Enrol Disaggregation'!$O$5:$O$65,0),MATCH(J$1,'Campus Enrol Disaggregation'!$P$4:$AC$4,0))</f>
        <v>1850</v>
      </c>
      <c r="K44" s="34">
        <f>INDEX('Campus Enrol Disaggregation'!$P$5:$AC$65,MATCH(Export_ControlTot!$A44,'Campus Enrol Disaggregation'!$O$5:$O$65,0),MATCH(K$1,'Campus Enrol Disaggregation'!$P$4:$AC$4,0))</f>
        <v>1000</v>
      </c>
      <c r="L44" s="34">
        <f>INDEX('Campus Enrol Disaggregation'!$P$5:$AC$65,MATCH(Export_ControlTot!$A44,'Campus Enrol Disaggregation'!$O$5:$O$65,0),MATCH(L$1,'Campus Enrol Disaggregation'!$P$4:$AC$4,0))</f>
        <v>1500</v>
      </c>
      <c r="M44" s="34">
        <f>INDEX('Campus Enrol Disaggregation'!$P$5:$AC$65,MATCH(Export_ControlTot!$A44,'Campus Enrol Disaggregation'!$O$5:$O$65,0),MATCH(M$1,'Campus Enrol Disaggregation'!$P$4:$AC$4,0))</f>
        <v>26250</v>
      </c>
      <c r="N44" s="34">
        <f>INDEX('Campus Enrol Disaggregation'!$P$5:$AC$65,MATCH(Export_ControlTot!$A44,'Campus Enrol Disaggregation'!$O$5:$O$65,0),MATCH(N$1,'Campus Enrol Disaggregation'!$P$4:$AC$4,0))</f>
        <v>6900</v>
      </c>
      <c r="O44" s="34">
        <f>INDEX('Campus Enrol Disaggregation'!$P$5:$AC$65,MATCH(Export_ControlTot!$A44,'Campus Enrol Disaggregation'!$O$5:$O$65,0),MATCH(O$1,'Campus Enrol Disaggregation'!$P$4:$AC$4,0))</f>
        <v>2500</v>
      </c>
    </row>
    <row r="45" spans="1:15" x14ac:dyDescent="0.25">
      <c r="A45" s="3">
        <v>2033</v>
      </c>
      <c r="B45" s="34">
        <f>INDEX('Campus Enrol Disaggregation'!$P$5:$AC$65,MATCH(Export_ControlTot!$A45,'Campus Enrol Disaggregation'!$O$5:$O$65,0),MATCH(B$1,'Campus Enrol Disaggregation'!$P$4:$AC$4,0))</f>
        <v>37750</v>
      </c>
      <c r="C45" s="34">
        <f>INDEX('Campus Enrol Disaggregation'!$P$5:$AC$65,MATCH(Export_ControlTot!$A45,'Campus Enrol Disaggregation'!$O$5:$O$65,0),MATCH(C$1,'Campus Enrol Disaggregation'!$P$4:$AC$4,0))</f>
        <v>2000</v>
      </c>
      <c r="D45" s="34">
        <f>INDEX('Campus Enrol Disaggregation'!$P$5:$AC$65,MATCH(Export_ControlTot!$A45,'Campus Enrol Disaggregation'!$O$5:$O$65,0),MATCH(D$1,'Campus Enrol Disaggregation'!$P$4:$AC$4,0))</f>
        <v>17950</v>
      </c>
      <c r="E45" s="34">
        <f>INDEX('Campus Enrol Disaggregation'!$P$5:$AC$65,MATCH(Export_ControlTot!$A45,'Campus Enrol Disaggregation'!$O$5:$O$65,0),MATCH(E$1,'Campus Enrol Disaggregation'!$P$4:$AC$4,0))</f>
        <v>6300</v>
      </c>
      <c r="F45" s="34">
        <f>INDEX('Campus Enrol Disaggregation'!$P$5:$AC$65,MATCH(Export_ControlTot!$A45,'Campus Enrol Disaggregation'!$O$5:$O$65,0),MATCH(F$1,'Campus Enrol Disaggregation'!$P$4:$AC$4,0))</f>
        <v>1550</v>
      </c>
      <c r="G45" s="34">
        <f>INDEX('Campus Enrol Disaggregation'!$P$5:$AC$65,MATCH(Export_ControlTot!$A45,'Campus Enrol Disaggregation'!$O$5:$O$65,0),MATCH(G$1,'Campus Enrol Disaggregation'!$P$4:$AC$4,0))</f>
        <v>5550</v>
      </c>
      <c r="H45" s="34">
        <f>INDEX('Campus Enrol Disaggregation'!$P$5:$AC$65,MATCH(Export_ControlTot!$A45,'Campus Enrol Disaggregation'!$O$5:$O$65,0),MATCH(H$1,'Campus Enrol Disaggregation'!$P$4:$AC$4,0))</f>
        <v>37600</v>
      </c>
      <c r="I45" s="34">
        <f>INDEX('Campus Enrol Disaggregation'!$P$5:$AC$65,MATCH(Export_ControlTot!$A45,'Campus Enrol Disaggregation'!$O$5:$O$65,0),MATCH(I$1,'Campus Enrol Disaggregation'!$P$4:$AC$4,0))</f>
        <v>52500</v>
      </c>
      <c r="J45" s="34">
        <f>INDEX('Campus Enrol Disaggregation'!$P$5:$AC$65,MATCH(Export_ControlTot!$A45,'Campus Enrol Disaggregation'!$O$5:$O$65,0),MATCH(J$1,'Campus Enrol Disaggregation'!$P$4:$AC$4,0))</f>
        <v>1900</v>
      </c>
      <c r="K45" s="34">
        <f>INDEX('Campus Enrol Disaggregation'!$P$5:$AC$65,MATCH(Export_ControlTot!$A45,'Campus Enrol Disaggregation'!$O$5:$O$65,0),MATCH(K$1,'Campus Enrol Disaggregation'!$P$4:$AC$4,0))</f>
        <v>1100</v>
      </c>
      <c r="L45" s="34">
        <f>INDEX('Campus Enrol Disaggregation'!$P$5:$AC$65,MATCH(Export_ControlTot!$A45,'Campus Enrol Disaggregation'!$O$5:$O$65,0),MATCH(L$1,'Campus Enrol Disaggregation'!$P$4:$AC$4,0))</f>
        <v>1650</v>
      </c>
      <c r="M45" s="34">
        <f>INDEX('Campus Enrol Disaggregation'!$P$5:$AC$65,MATCH(Export_ControlTot!$A45,'Campus Enrol Disaggregation'!$O$5:$O$65,0),MATCH(M$1,'Campus Enrol Disaggregation'!$P$4:$AC$4,0))</f>
        <v>26550</v>
      </c>
      <c r="N45" s="34">
        <f>INDEX('Campus Enrol Disaggregation'!$P$5:$AC$65,MATCH(Export_ControlTot!$A45,'Campus Enrol Disaggregation'!$O$5:$O$65,0),MATCH(N$1,'Campus Enrol Disaggregation'!$P$4:$AC$4,0))</f>
        <v>7000</v>
      </c>
      <c r="O45" s="34">
        <f>INDEX('Campus Enrol Disaggregation'!$P$5:$AC$65,MATCH(Export_ControlTot!$A45,'Campus Enrol Disaggregation'!$O$5:$O$65,0),MATCH(O$1,'Campus Enrol Disaggregation'!$P$4:$AC$4,0))</f>
        <v>2550</v>
      </c>
    </row>
    <row r="46" spans="1:15" x14ac:dyDescent="0.25">
      <c r="A46" s="3">
        <v>2034</v>
      </c>
      <c r="B46" s="34">
        <f>INDEX('Campus Enrol Disaggregation'!$P$5:$AC$65,MATCH(Export_ControlTot!$A46,'Campus Enrol Disaggregation'!$O$5:$O$65,0),MATCH(B$1,'Campus Enrol Disaggregation'!$P$4:$AC$4,0))</f>
        <v>37800</v>
      </c>
      <c r="C46" s="34">
        <f>INDEX('Campus Enrol Disaggregation'!$P$5:$AC$65,MATCH(Export_ControlTot!$A46,'Campus Enrol Disaggregation'!$O$5:$O$65,0),MATCH(C$1,'Campus Enrol Disaggregation'!$P$4:$AC$4,0))</f>
        <v>2000</v>
      </c>
      <c r="D46" s="34">
        <f>INDEX('Campus Enrol Disaggregation'!$P$5:$AC$65,MATCH(Export_ControlTot!$A46,'Campus Enrol Disaggregation'!$O$5:$O$65,0),MATCH(D$1,'Campus Enrol Disaggregation'!$P$4:$AC$4,0))</f>
        <v>18150</v>
      </c>
      <c r="E46" s="34">
        <f>INDEX('Campus Enrol Disaggregation'!$P$5:$AC$65,MATCH(Export_ControlTot!$A46,'Campus Enrol Disaggregation'!$O$5:$O$65,0),MATCH(E$1,'Campus Enrol Disaggregation'!$P$4:$AC$4,0))</f>
        <v>6350</v>
      </c>
      <c r="F46" s="34">
        <f>INDEX('Campus Enrol Disaggregation'!$P$5:$AC$65,MATCH(Export_ControlTot!$A46,'Campus Enrol Disaggregation'!$O$5:$O$65,0),MATCH(F$1,'Campus Enrol Disaggregation'!$P$4:$AC$4,0))</f>
        <v>1600</v>
      </c>
      <c r="G46" s="34">
        <f>INDEX('Campus Enrol Disaggregation'!$P$5:$AC$65,MATCH(Export_ControlTot!$A46,'Campus Enrol Disaggregation'!$O$5:$O$65,0),MATCH(G$1,'Campus Enrol Disaggregation'!$P$4:$AC$4,0))</f>
        <v>5600</v>
      </c>
      <c r="H46" s="34">
        <f>INDEX('Campus Enrol Disaggregation'!$P$5:$AC$65,MATCH(Export_ControlTot!$A46,'Campus Enrol Disaggregation'!$O$5:$O$65,0),MATCH(H$1,'Campus Enrol Disaggregation'!$P$4:$AC$4,0))</f>
        <v>37850</v>
      </c>
      <c r="I46" s="34">
        <f>INDEX('Campus Enrol Disaggregation'!$P$5:$AC$65,MATCH(Export_ControlTot!$A46,'Campus Enrol Disaggregation'!$O$5:$O$65,0),MATCH(I$1,'Campus Enrol Disaggregation'!$P$4:$AC$4,0))</f>
        <v>53400</v>
      </c>
      <c r="J46" s="34">
        <f>INDEX('Campus Enrol Disaggregation'!$P$5:$AC$65,MATCH(Export_ControlTot!$A46,'Campus Enrol Disaggregation'!$O$5:$O$65,0),MATCH(J$1,'Campus Enrol Disaggregation'!$P$4:$AC$4,0))</f>
        <v>1950</v>
      </c>
      <c r="K46" s="34">
        <f>INDEX('Campus Enrol Disaggregation'!$P$5:$AC$65,MATCH(Export_ControlTot!$A46,'Campus Enrol Disaggregation'!$O$5:$O$65,0),MATCH(K$1,'Campus Enrol Disaggregation'!$P$4:$AC$4,0))</f>
        <v>1200</v>
      </c>
      <c r="L46" s="34">
        <f>INDEX('Campus Enrol Disaggregation'!$P$5:$AC$65,MATCH(Export_ControlTot!$A46,'Campus Enrol Disaggregation'!$O$5:$O$65,0),MATCH(L$1,'Campus Enrol Disaggregation'!$P$4:$AC$4,0))</f>
        <v>1800</v>
      </c>
      <c r="M46" s="34">
        <f>INDEX('Campus Enrol Disaggregation'!$P$5:$AC$65,MATCH(Export_ControlTot!$A46,'Campus Enrol Disaggregation'!$O$5:$O$65,0),MATCH(M$1,'Campus Enrol Disaggregation'!$P$4:$AC$4,0))</f>
        <v>26900</v>
      </c>
      <c r="N46" s="34">
        <f>INDEX('Campus Enrol Disaggregation'!$P$5:$AC$65,MATCH(Export_ControlTot!$A46,'Campus Enrol Disaggregation'!$O$5:$O$65,0),MATCH(N$1,'Campus Enrol Disaggregation'!$P$4:$AC$4,0))</f>
        <v>7050</v>
      </c>
      <c r="O46" s="34">
        <f>INDEX('Campus Enrol Disaggregation'!$P$5:$AC$65,MATCH(Export_ControlTot!$A46,'Campus Enrol Disaggregation'!$O$5:$O$65,0),MATCH(O$1,'Campus Enrol Disaggregation'!$P$4:$AC$4,0))</f>
        <v>2550</v>
      </c>
    </row>
    <row r="47" spans="1:15" x14ac:dyDescent="0.25">
      <c r="A47" s="3">
        <v>2035</v>
      </c>
      <c r="B47" s="34">
        <f>INDEX('Campus Enrol Disaggregation'!$P$5:$AC$65,MATCH(Export_ControlTot!$A47,'Campus Enrol Disaggregation'!$O$5:$O$65,0),MATCH(B$1,'Campus Enrol Disaggregation'!$P$4:$AC$4,0))</f>
        <v>37850</v>
      </c>
      <c r="C47" s="34">
        <f>INDEX('Campus Enrol Disaggregation'!$P$5:$AC$65,MATCH(Export_ControlTot!$A47,'Campus Enrol Disaggregation'!$O$5:$O$65,0),MATCH(C$1,'Campus Enrol Disaggregation'!$P$4:$AC$4,0))</f>
        <v>2000</v>
      </c>
      <c r="D47" s="34">
        <f>INDEX('Campus Enrol Disaggregation'!$P$5:$AC$65,MATCH(Export_ControlTot!$A47,'Campus Enrol Disaggregation'!$O$5:$O$65,0),MATCH(D$1,'Campus Enrol Disaggregation'!$P$4:$AC$4,0))</f>
        <v>18300</v>
      </c>
      <c r="E47" s="34">
        <f>INDEX('Campus Enrol Disaggregation'!$P$5:$AC$65,MATCH(Export_ControlTot!$A47,'Campus Enrol Disaggregation'!$O$5:$O$65,0),MATCH(E$1,'Campus Enrol Disaggregation'!$P$4:$AC$4,0))</f>
        <v>6400</v>
      </c>
      <c r="F47" s="34">
        <f>INDEX('Campus Enrol Disaggregation'!$P$5:$AC$65,MATCH(Export_ControlTot!$A47,'Campus Enrol Disaggregation'!$O$5:$O$65,0),MATCH(F$1,'Campus Enrol Disaggregation'!$P$4:$AC$4,0))</f>
        <v>1600</v>
      </c>
      <c r="G47" s="34">
        <f>INDEX('Campus Enrol Disaggregation'!$P$5:$AC$65,MATCH(Export_ControlTot!$A47,'Campus Enrol Disaggregation'!$O$5:$O$65,0),MATCH(G$1,'Campus Enrol Disaggregation'!$P$4:$AC$4,0))</f>
        <v>5700</v>
      </c>
      <c r="H47" s="34">
        <f>INDEX('Campus Enrol Disaggregation'!$P$5:$AC$65,MATCH(Export_ControlTot!$A47,'Campus Enrol Disaggregation'!$O$5:$O$65,0),MATCH(H$1,'Campus Enrol Disaggregation'!$P$4:$AC$4,0))</f>
        <v>38100</v>
      </c>
      <c r="I47" s="34">
        <f>INDEX('Campus Enrol Disaggregation'!$P$5:$AC$65,MATCH(Export_ControlTot!$A47,'Campus Enrol Disaggregation'!$O$5:$O$65,0),MATCH(I$1,'Campus Enrol Disaggregation'!$P$4:$AC$4,0))</f>
        <v>54300</v>
      </c>
      <c r="J47" s="34">
        <f>INDEX('Campus Enrol Disaggregation'!$P$5:$AC$65,MATCH(Export_ControlTot!$A47,'Campus Enrol Disaggregation'!$O$5:$O$65,0),MATCH(J$1,'Campus Enrol Disaggregation'!$P$4:$AC$4,0))</f>
        <v>1950</v>
      </c>
      <c r="K47" s="34">
        <f>INDEX('Campus Enrol Disaggregation'!$P$5:$AC$65,MATCH(Export_ControlTot!$A47,'Campus Enrol Disaggregation'!$O$5:$O$65,0),MATCH(K$1,'Campus Enrol Disaggregation'!$P$4:$AC$4,0))</f>
        <v>1300</v>
      </c>
      <c r="L47" s="34">
        <f>INDEX('Campus Enrol Disaggregation'!$P$5:$AC$65,MATCH(Export_ControlTot!$A47,'Campus Enrol Disaggregation'!$O$5:$O$65,0),MATCH(L$1,'Campus Enrol Disaggregation'!$P$4:$AC$4,0))</f>
        <v>1950</v>
      </c>
      <c r="M47" s="34">
        <f>INDEX('Campus Enrol Disaggregation'!$P$5:$AC$65,MATCH(Export_ControlTot!$A47,'Campus Enrol Disaggregation'!$O$5:$O$65,0),MATCH(M$1,'Campus Enrol Disaggregation'!$P$4:$AC$4,0))</f>
        <v>27250</v>
      </c>
      <c r="N47" s="34">
        <f>INDEX('Campus Enrol Disaggregation'!$P$5:$AC$65,MATCH(Export_ControlTot!$A47,'Campus Enrol Disaggregation'!$O$5:$O$65,0),MATCH(N$1,'Campus Enrol Disaggregation'!$P$4:$AC$4,0))</f>
        <v>7150</v>
      </c>
      <c r="O47" s="34">
        <f>INDEX('Campus Enrol Disaggregation'!$P$5:$AC$65,MATCH(Export_ControlTot!$A47,'Campus Enrol Disaggregation'!$O$5:$O$65,0),MATCH(O$1,'Campus Enrol Disaggregation'!$P$4:$AC$4,0))</f>
        <v>2600</v>
      </c>
    </row>
    <row r="48" spans="1:15" x14ac:dyDescent="0.25">
      <c r="A48" s="3">
        <v>2036</v>
      </c>
      <c r="B48" s="34">
        <f>INDEX('Campus Enrol Disaggregation'!$P$5:$AC$65,MATCH(Export_ControlTot!$A48,'Campus Enrol Disaggregation'!$O$5:$O$65,0),MATCH(B$1,'Campus Enrol Disaggregation'!$P$4:$AC$4,0))</f>
        <v>37900</v>
      </c>
      <c r="C48" s="34">
        <f>INDEX('Campus Enrol Disaggregation'!$P$5:$AC$65,MATCH(Export_ControlTot!$A48,'Campus Enrol Disaggregation'!$O$5:$O$65,0),MATCH(C$1,'Campus Enrol Disaggregation'!$P$4:$AC$4,0))</f>
        <v>2000</v>
      </c>
      <c r="D48" s="34">
        <f>INDEX('Campus Enrol Disaggregation'!$P$5:$AC$65,MATCH(Export_ControlTot!$A48,'Campus Enrol Disaggregation'!$O$5:$O$65,0),MATCH(D$1,'Campus Enrol Disaggregation'!$P$4:$AC$4,0))</f>
        <v>18500</v>
      </c>
      <c r="E48" s="34">
        <f>INDEX('Campus Enrol Disaggregation'!$P$5:$AC$65,MATCH(Export_ControlTot!$A48,'Campus Enrol Disaggregation'!$O$5:$O$65,0),MATCH(E$1,'Campus Enrol Disaggregation'!$P$4:$AC$4,0))</f>
        <v>6450</v>
      </c>
      <c r="F48" s="34">
        <f>INDEX('Campus Enrol Disaggregation'!$P$5:$AC$65,MATCH(Export_ControlTot!$A48,'Campus Enrol Disaggregation'!$O$5:$O$65,0),MATCH(F$1,'Campus Enrol Disaggregation'!$P$4:$AC$4,0))</f>
        <v>1600</v>
      </c>
      <c r="G48" s="34">
        <f>INDEX('Campus Enrol Disaggregation'!$P$5:$AC$65,MATCH(Export_ControlTot!$A48,'Campus Enrol Disaggregation'!$O$5:$O$65,0),MATCH(G$1,'Campus Enrol Disaggregation'!$P$4:$AC$4,0))</f>
        <v>5750</v>
      </c>
      <c r="H48" s="34">
        <f>INDEX('Campus Enrol Disaggregation'!$P$5:$AC$65,MATCH(Export_ControlTot!$A48,'Campus Enrol Disaggregation'!$O$5:$O$65,0),MATCH(H$1,'Campus Enrol Disaggregation'!$P$4:$AC$4,0))</f>
        <v>38350</v>
      </c>
      <c r="I48" s="34">
        <f>INDEX('Campus Enrol Disaggregation'!$P$5:$AC$65,MATCH(Export_ControlTot!$A48,'Campus Enrol Disaggregation'!$O$5:$O$65,0),MATCH(I$1,'Campus Enrol Disaggregation'!$P$4:$AC$4,0))</f>
        <v>55250</v>
      </c>
      <c r="J48" s="34">
        <f>INDEX('Campus Enrol Disaggregation'!$P$5:$AC$65,MATCH(Export_ControlTot!$A48,'Campus Enrol Disaggregation'!$O$5:$O$65,0),MATCH(J$1,'Campus Enrol Disaggregation'!$P$4:$AC$4,0))</f>
        <v>2000</v>
      </c>
      <c r="K48" s="34">
        <f>INDEX('Campus Enrol Disaggregation'!$P$5:$AC$65,MATCH(Export_ControlTot!$A48,'Campus Enrol Disaggregation'!$O$5:$O$65,0),MATCH(K$1,'Campus Enrol Disaggregation'!$P$4:$AC$4,0))</f>
        <v>1450</v>
      </c>
      <c r="L48" s="34">
        <f>INDEX('Campus Enrol Disaggregation'!$P$5:$AC$65,MATCH(Export_ControlTot!$A48,'Campus Enrol Disaggregation'!$O$5:$O$65,0),MATCH(L$1,'Campus Enrol Disaggregation'!$P$4:$AC$4,0))</f>
        <v>2100</v>
      </c>
      <c r="M48" s="34">
        <f>INDEX('Campus Enrol Disaggregation'!$P$5:$AC$65,MATCH(Export_ControlTot!$A48,'Campus Enrol Disaggregation'!$O$5:$O$65,0),MATCH(M$1,'Campus Enrol Disaggregation'!$P$4:$AC$4,0))</f>
        <v>27600</v>
      </c>
      <c r="N48" s="34">
        <f>INDEX('Campus Enrol Disaggregation'!$P$5:$AC$65,MATCH(Export_ControlTot!$A48,'Campus Enrol Disaggregation'!$O$5:$O$65,0),MATCH(N$1,'Campus Enrol Disaggregation'!$P$4:$AC$4,0))</f>
        <v>7250</v>
      </c>
      <c r="O48" s="34">
        <f>INDEX('Campus Enrol Disaggregation'!$P$5:$AC$65,MATCH(Export_ControlTot!$A48,'Campus Enrol Disaggregation'!$O$5:$O$65,0),MATCH(O$1,'Campus Enrol Disaggregation'!$P$4:$AC$4,0))</f>
        <v>2600</v>
      </c>
    </row>
    <row r="49" spans="1:15" x14ac:dyDescent="0.25">
      <c r="A49" s="3">
        <v>2037</v>
      </c>
      <c r="B49" s="34">
        <f>INDEX('Campus Enrol Disaggregation'!$P$5:$AC$65,MATCH(Export_ControlTot!$A49,'Campus Enrol Disaggregation'!$O$5:$O$65,0),MATCH(B$1,'Campus Enrol Disaggregation'!$P$4:$AC$4,0))</f>
        <v>37900</v>
      </c>
      <c r="C49" s="34">
        <f>INDEX('Campus Enrol Disaggregation'!$P$5:$AC$65,MATCH(Export_ControlTot!$A49,'Campus Enrol Disaggregation'!$O$5:$O$65,0),MATCH(C$1,'Campus Enrol Disaggregation'!$P$4:$AC$4,0))</f>
        <v>2000</v>
      </c>
      <c r="D49" s="34">
        <f>INDEX('Campus Enrol Disaggregation'!$P$5:$AC$65,MATCH(Export_ControlTot!$A49,'Campus Enrol Disaggregation'!$O$5:$O$65,0),MATCH(D$1,'Campus Enrol Disaggregation'!$P$4:$AC$4,0))</f>
        <v>18700</v>
      </c>
      <c r="E49" s="34">
        <f>INDEX('Campus Enrol Disaggregation'!$P$5:$AC$65,MATCH(Export_ControlTot!$A49,'Campus Enrol Disaggregation'!$O$5:$O$65,0),MATCH(E$1,'Campus Enrol Disaggregation'!$P$4:$AC$4,0))</f>
        <v>6550</v>
      </c>
      <c r="F49" s="34">
        <f>INDEX('Campus Enrol Disaggregation'!$P$5:$AC$65,MATCH(Export_ControlTot!$A49,'Campus Enrol Disaggregation'!$O$5:$O$65,0),MATCH(F$1,'Campus Enrol Disaggregation'!$P$4:$AC$4,0))</f>
        <v>1650</v>
      </c>
      <c r="G49" s="34">
        <f>INDEX('Campus Enrol Disaggregation'!$P$5:$AC$65,MATCH(Export_ControlTot!$A49,'Campus Enrol Disaggregation'!$O$5:$O$65,0),MATCH(G$1,'Campus Enrol Disaggregation'!$P$4:$AC$4,0))</f>
        <v>5800</v>
      </c>
      <c r="H49" s="34">
        <f>INDEX('Campus Enrol Disaggregation'!$P$5:$AC$65,MATCH(Export_ControlTot!$A49,'Campus Enrol Disaggregation'!$O$5:$O$65,0),MATCH(H$1,'Campus Enrol Disaggregation'!$P$4:$AC$4,0))</f>
        <v>38600</v>
      </c>
      <c r="I49" s="34">
        <f>INDEX('Campus Enrol Disaggregation'!$P$5:$AC$65,MATCH(Export_ControlTot!$A49,'Campus Enrol Disaggregation'!$O$5:$O$65,0),MATCH(I$1,'Campus Enrol Disaggregation'!$P$4:$AC$4,0))</f>
        <v>56150</v>
      </c>
      <c r="J49" s="34">
        <f>INDEX('Campus Enrol Disaggregation'!$P$5:$AC$65,MATCH(Export_ControlTot!$A49,'Campus Enrol Disaggregation'!$O$5:$O$65,0),MATCH(J$1,'Campus Enrol Disaggregation'!$P$4:$AC$4,0))</f>
        <v>2050</v>
      </c>
      <c r="K49" s="34">
        <f>INDEX('Campus Enrol Disaggregation'!$P$5:$AC$65,MATCH(Export_ControlTot!$A49,'Campus Enrol Disaggregation'!$O$5:$O$65,0),MATCH(K$1,'Campus Enrol Disaggregation'!$P$4:$AC$4,0))</f>
        <v>1550</v>
      </c>
      <c r="L49" s="34">
        <f>INDEX('Campus Enrol Disaggregation'!$P$5:$AC$65,MATCH(Export_ControlTot!$A49,'Campus Enrol Disaggregation'!$O$5:$O$65,0),MATCH(L$1,'Campus Enrol Disaggregation'!$P$4:$AC$4,0))</f>
        <v>2250</v>
      </c>
      <c r="M49" s="34">
        <f>INDEX('Campus Enrol Disaggregation'!$P$5:$AC$65,MATCH(Export_ControlTot!$A49,'Campus Enrol Disaggregation'!$O$5:$O$65,0),MATCH(M$1,'Campus Enrol Disaggregation'!$P$4:$AC$4,0))</f>
        <v>27900</v>
      </c>
      <c r="N49" s="34">
        <f>INDEX('Campus Enrol Disaggregation'!$P$5:$AC$65,MATCH(Export_ControlTot!$A49,'Campus Enrol Disaggregation'!$O$5:$O$65,0),MATCH(N$1,'Campus Enrol Disaggregation'!$P$4:$AC$4,0))</f>
        <v>7350</v>
      </c>
      <c r="O49" s="34">
        <f>INDEX('Campus Enrol Disaggregation'!$P$5:$AC$65,MATCH(Export_ControlTot!$A49,'Campus Enrol Disaggregation'!$O$5:$O$65,0),MATCH(O$1,'Campus Enrol Disaggregation'!$P$4:$AC$4,0))</f>
        <v>2650</v>
      </c>
    </row>
    <row r="50" spans="1:15" x14ac:dyDescent="0.25">
      <c r="A50" s="3">
        <v>2038</v>
      </c>
      <c r="B50" s="34">
        <f>INDEX('Campus Enrol Disaggregation'!$P$5:$AC$65,MATCH(Export_ControlTot!$A50,'Campus Enrol Disaggregation'!$O$5:$O$65,0),MATCH(B$1,'Campus Enrol Disaggregation'!$P$4:$AC$4,0))</f>
        <v>37950</v>
      </c>
      <c r="C50" s="34">
        <f>INDEX('Campus Enrol Disaggregation'!$P$5:$AC$65,MATCH(Export_ControlTot!$A50,'Campus Enrol Disaggregation'!$O$5:$O$65,0),MATCH(C$1,'Campus Enrol Disaggregation'!$P$4:$AC$4,0))</f>
        <v>2000</v>
      </c>
      <c r="D50" s="34">
        <f>INDEX('Campus Enrol Disaggregation'!$P$5:$AC$65,MATCH(Export_ControlTot!$A50,'Campus Enrol Disaggregation'!$O$5:$O$65,0),MATCH(D$1,'Campus Enrol Disaggregation'!$P$4:$AC$4,0))</f>
        <v>18900</v>
      </c>
      <c r="E50" s="34">
        <f>INDEX('Campus Enrol Disaggregation'!$P$5:$AC$65,MATCH(Export_ControlTot!$A50,'Campus Enrol Disaggregation'!$O$5:$O$65,0),MATCH(E$1,'Campus Enrol Disaggregation'!$P$4:$AC$4,0))</f>
        <v>6600</v>
      </c>
      <c r="F50" s="34">
        <f>INDEX('Campus Enrol Disaggregation'!$P$5:$AC$65,MATCH(Export_ControlTot!$A50,'Campus Enrol Disaggregation'!$O$5:$O$65,0),MATCH(F$1,'Campus Enrol Disaggregation'!$P$4:$AC$4,0))</f>
        <v>1650</v>
      </c>
      <c r="G50" s="34">
        <f>INDEX('Campus Enrol Disaggregation'!$P$5:$AC$65,MATCH(Export_ControlTot!$A50,'Campus Enrol Disaggregation'!$O$5:$O$65,0),MATCH(G$1,'Campus Enrol Disaggregation'!$P$4:$AC$4,0))</f>
        <v>5850</v>
      </c>
      <c r="H50" s="34">
        <f>INDEX('Campus Enrol Disaggregation'!$P$5:$AC$65,MATCH(Export_ControlTot!$A50,'Campus Enrol Disaggregation'!$O$5:$O$65,0),MATCH(H$1,'Campus Enrol Disaggregation'!$P$4:$AC$4,0))</f>
        <v>38850</v>
      </c>
      <c r="I50" s="34">
        <f>INDEX('Campus Enrol Disaggregation'!$P$5:$AC$65,MATCH(Export_ControlTot!$A50,'Campus Enrol Disaggregation'!$O$5:$O$65,0),MATCH(I$1,'Campus Enrol Disaggregation'!$P$4:$AC$4,0))</f>
        <v>57050</v>
      </c>
      <c r="J50" s="34">
        <f>INDEX('Campus Enrol Disaggregation'!$P$5:$AC$65,MATCH(Export_ControlTot!$A50,'Campus Enrol Disaggregation'!$O$5:$O$65,0),MATCH(J$1,'Campus Enrol Disaggregation'!$P$4:$AC$4,0))</f>
        <v>2100</v>
      </c>
      <c r="K50" s="34">
        <f>INDEX('Campus Enrol Disaggregation'!$P$5:$AC$65,MATCH(Export_ControlTot!$A50,'Campus Enrol Disaggregation'!$O$5:$O$65,0),MATCH(K$1,'Campus Enrol Disaggregation'!$P$4:$AC$4,0))</f>
        <v>1650</v>
      </c>
      <c r="L50" s="34">
        <f>INDEX('Campus Enrol Disaggregation'!$P$5:$AC$65,MATCH(Export_ControlTot!$A50,'Campus Enrol Disaggregation'!$O$5:$O$65,0),MATCH(L$1,'Campus Enrol Disaggregation'!$P$4:$AC$4,0))</f>
        <v>2400</v>
      </c>
      <c r="M50" s="34">
        <f>INDEX('Campus Enrol Disaggregation'!$P$5:$AC$65,MATCH(Export_ControlTot!$A50,'Campus Enrol Disaggregation'!$O$5:$O$65,0),MATCH(M$1,'Campus Enrol Disaggregation'!$P$4:$AC$4,0))</f>
        <v>28250</v>
      </c>
      <c r="N50" s="34">
        <f>INDEX('Campus Enrol Disaggregation'!$P$5:$AC$65,MATCH(Export_ControlTot!$A50,'Campus Enrol Disaggregation'!$O$5:$O$65,0),MATCH(N$1,'Campus Enrol Disaggregation'!$P$4:$AC$4,0))</f>
        <v>7450</v>
      </c>
      <c r="O50" s="34">
        <f>INDEX('Campus Enrol Disaggregation'!$P$5:$AC$65,MATCH(Export_ControlTot!$A50,'Campus Enrol Disaggregation'!$O$5:$O$65,0),MATCH(O$1,'Campus Enrol Disaggregation'!$P$4:$AC$4,0))</f>
        <v>2650</v>
      </c>
    </row>
    <row r="51" spans="1:15" x14ac:dyDescent="0.25">
      <c r="A51" s="3">
        <v>2039</v>
      </c>
      <c r="B51" s="34">
        <f>INDEX('Campus Enrol Disaggregation'!$P$5:$AC$65,MATCH(Export_ControlTot!$A51,'Campus Enrol Disaggregation'!$O$5:$O$65,0),MATCH(B$1,'Campus Enrol Disaggregation'!$P$4:$AC$4,0))</f>
        <v>38000</v>
      </c>
      <c r="C51" s="34">
        <f>INDEX('Campus Enrol Disaggregation'!$P$5:$AC$65,MATCH(Export_ControlTot!$A51,'Campus Enrol Disaggregation'!$O$5:$O$65,0),MATCH(C$1,'Campus Enrol Disaggregation'!$P$4:$AC$4,0))</f>
        <v>2000</v>
      </c>
      <c r="D51" s="34">
        <f>INDEX('Campus Enrol Disaggregation'!$P$5:$AC$65,MATCH(Export_ControlTot!$A51,'Campus Enrol Disaggregation'!$O$5:$O$65,0),MATCH(D$1,'Campus Enrol Disaggregation'!$P$4:$AC$4,0))</f>
        <v>19050</v>
      </c>
      <c r="E51" s="34">
        <f>INDEX('Campus Enrol Disaggregation'!$P$5:$AC$65,MATCH(Export_ControlTot!$A51,'Campus Enrol Disaggregation'!$O$5:$O$65,0),MATCH(E$1,'Campus Enrol Disaggregation'!$P$4:$AC$4,0))</f>
        <v>6650</v>
      </c>
      <c r="F51" s="34">
        <f>INDEX('Campus Enrol Disaggregation'!$P$5:$AC$65,MATCH(Export_ControlTot!$A51,'Campus Enrol Disaggregation'!$O$5:$O$65,0),MATCH(F$1,'Campus Enrol Disaggregation'!$P$4:$AC$4,0))</f>
        <v>1650</v>
      </c>
      <c r="G51" s="34">
        <f>INDEX('Campus Enrol Disaggregation'!$P$5:$AC$65,MATCH(Export_ControlTot!$A51,'Campus Enrol Disaggregation'!$O$5:$O$65,0),MATCH(G$1,'Campus Enrol Disaggregation'!$P$4:$AC$4,0))</f>
        <v>5900</v>
      </c>
      <c r="H51" s="34">
        <f>INDEX('Campus Enrol Disaggregation'!$P$5:$AC$65,MATCH(Export_ControlTot!$A51,'Campus Enrol Disaggregation'!$O$5:$O$65,0),MATCH(H$1,'Campus Enrol Disaggregation'!$P$4:$AC$4,0))</f>
        <v>39100</v>
      </c>
      <c r="I51" s="34">
        <f>INDEX('Campus Enrol Disaggregation'!$P$5:$AC$65,MATCH(Export_ControlTot!$A51,'Campus Enrol Disaggregation'!$O$5:$O$65,0),MATCH(I$1,'Campus Enrol Disaggregation'!$P$4:$AC$4,0))</f>
        <v>57950</v>
      </c>
      <c r="J51" s="34">
        <f>INDEX('Campus Enrol Disaggregation'!$P$5:$AC$65,MATCH(Export_ControlTot!$A51,'Campus Enrol Disaggregation'!$O$5:$O$65,0),MATCH(J$1,'Campus Enrol Disaggregation'!$P$4:$AC$4,0))</f>
        <v>2150</v>
      </c>
      <c r="K51" s="34">
        <f>INDEX('Campus Enrol Disaggregation'!$P$5:$AC$65,MATCH(Export_ControlTot!$A51,'Campus Enrol Disaggregation'!$O$5:$O$65,0),MATCH(K$1,'Campus Enrol Disaggregation'!$P$4:$AC$4,0))</f>
        <v>1750</v>
      </c>
      <c r="L51" s="34">
        <f>INDEX('Campus Enrol Disaggregation'!$P$5:$AC$65,MATCH(Export_ControlTot!$A51,'Campus Enrol Disaggregation'!$O$5:$O$65,0),MATCH(L$1,'Campus Enrol Disaggregation'!$P$4:$AC$4,0))</f>
        <v>2600</v>
      </c>
      <c r="M51" s="34">
        <f>INDEX('Campus Enrol Disaggregation'!$P$5:$AC$65,MATCH(Export_ControlTot!$A51,'Campus Enrol Disaggregation'!$O$5:$O$65,0),MATCH(M$1,'Campus Enrol Disaggregation'!$P$4:$AC$4,0))</f>
        <v>28600</v>
      </c>
      <c r="N51" s="34">
        <f>INDEX('Campus Enrol Disaggregation'!$P$5:$AC$65,MATCH(Export_ControlTot!$A51,'Campus Enrol Disaggregation'!$O$5:$O$65,0),MATCH(N$1,'Campus Enrol Disaggregation'!$P$4:$AC$4,0))</f>
        <v>7500</v>
      </c>
      <c r="O51" s="34">
        <f>INDEX('Campus Enrol Disaggregation'!$P$5:$AC$65,MATCH(Export_ControlTot!$A51,'Campus Enrol Disaggregation'!$O$5:$O$65,0),MATCH(O$1,'Campus Enrol Disaggregation'!$P$4:$AC$4,0))</f>
        <v>2700</v>
      </c>
    </row>
    <row r="52" spans="1:15" x14ac:dyDescent="0.25">
      <c r="A52" s="3">
        <v>2040</v>
      </c>
      <c r="B52" s="34">
        <f>INDEX('Campus Enrol Disaggregation'!$P$5:$AC$65,MATCH(Export_ControlTot!$A52,'Campus Enrol Disaggregation'!$O$5:$O$65,0),MATCH(B$1,'Campus Enrol Disaggregation'!$P$4:$AC$4,0))</f>
        <v>38050</v>
      </c>
      <c r="C52" s="34">
        <f>INDEX('Campus Enrol Disaggregation'!$P$5:$AC$65,MATCH(Export_ControlTot!$A52,'Campus Enrol Disaggregation'!$O$5:$O$65,0),MATCH(C$1,'Campus Enrol Disaggregation'!$P$4:$AC$4,0))</f>
        <v>2000</v>
      </c>
      <c r="D52" s="34">
        <f>INDEX('Campus Enrol Disaggregation'!$P$5:$AC$65,MATCH(Export_ControlTot!$A52,'Campus Enrol Disaggregation'!$O$5:$O$65,0),MATCH(D$1,'Campus Enrol Disaggregation'!$P$4:$AC$4,0))</f>
        <v>19250</v>
      </c>
      <c r="E52" s="34">
        <f>INDEX('Campus Enrol Disaggregation'!$P$5:$AC$65,MATCH(Export_ControlTot!$A52,'Campus Enrol Disaggregation'!$O$5:$O$65,0),MATCH(E$1,'Campus Enrol Disaggregation'!$P$4:$AC$4,0))</f>
        <v>6750</v>
      </c>
      <c r="F52" s="34">
        <f>INDEX('Campus Enrol Disaggregation'!$P$5:$AC$65,MATCH(Export_ControlTot!$A52,'Campus Enrol Disaggregation'!$O$5:$O$65,0),MATCH(F$1,'Campus Enrol Disaggregation'!$P$4:$AC$4,0))</f>
        <v>1700</v>
      </c>
      <c r="G52" s="34">
        <f>INDEX('Campus Enrol Disaggregation'!$P$5:$AC$65,MATCH(Export_ControlTot!$A52,'Campus Enrol Disaggregation'!$O$5:$O$65,0),MATCH(G$1,'Campus Enrol Disaggregation'!$P$4:$AC$4,0))</f>
        <v>5950</v>
      </c>
      <c r="H52" s="34">
        <f>INDEX('Campus Enrol Disaggregation'!$P$5:$AC$65,MATCH(Export_ControlTot!$A52,'Campus Enrol Disaggregation'!$O$5:$O$65,0),MATCH(H$1,'Campus Enrol Disaggregation'!$P$4:$AC$4,0))</f>
        <v>39350</v>
      </c>
      <c r="I52" s="34">
        <f>INDEX('Campus Enrol Disaggregation'!$P$5:$AC$65,MATCH(Export_ControlTot!$A52,'Campus Enrol Disaggregation'!$O$5:$O$65,0),MATCH(I$1,'Campus Enrol Disaggregation'!$P$4:$AC$4,0))</f>
        <v>58850</v>
      </c>
      <c r="J52" s="34">
        <f>INDEX('Campus Enrol Disaggregation'!$P$5:$AC$65,MATCH(Export_ControlTot!$A52,'Campus Enrol Disaggregation'!$O$5:$O$65,0),MATCH(J$1,'Campus Enrol Disaggregation'!$P$4:$AC$4,0))</f>
        <v>2200</v>
      </c>
      <c r="K52" s="34">
        <f>INDEX('Campus Enrol Disaggregation'!$P$5:$AC$65,MATCH(Export_ControlTot!$A52,'Campus Enrol Disaggregation'!$O$5:$O$65,0),MATCH(K$1,'Campus Enrol Disaggregation'!$P$4:$AC$4,0))</f>
        <v>1900</v>
      </c>
      <c r="L52" s="34">
        <f>INDEX('Campus Enrol Disaggregation'!$P$5:$AC$65,MATCH(Export_ControlTot!$A52,'Campus Enrol Disaggregation'!$O$5:$O$65,0),MATCH(L$1,'Campus Enrol Disaggregation'!$P$4:$AC$4,0))</f>
        <v>2750</v>
      </c>
      <c r="M52" s="34">
        <f>INDEX('Campus Enrol Disaggregation'!$P$5:$AC$65,MATCH(Export_ControlTot!$A52,'Campus Enrol Disaggregation'!$O$5:$O$65,0),MATCH(M$1,'Campus Enrol Disaggregation'!$P$4:$AC$4,0))</f>
        <v>28950</v>
      </c>
      <c r="N52" s="34">
        <f>INDEX('Campus Enrol Disaggregation'!$P$5:$AC$65,MATCH(Export_ControlTot!$A52,'Campus Enrol Disaggregation'!$O$5:$O$65,0),MATCH(N$1,'Campus Enrol Disaggregation'!$P$4:$AC$4,0))</f>
        <v>7600</v>
      </c>
      <c r="O52" s="34">
        <f>INDEX('Campus Enrol Disaggregation'!$P$5:$AC$65,MATCH(Export_ControlTot!$A52,'Campus Enrol Disaggregation'!$O$5:$O$65,0),MATCH(O$1,'Campus Enrol Disaggregation'!$P$4:$AC$4,0))</f>
        <v>2700</v>
      </c>
    </row>
    <row r="53" spans="1:15" x14ac:dyDescent="0.25">
      <c r="A53" s="3">
        <v>2041</v>
      </c>
      <c r="B53" s="34">
        <f>INDEX('Campus Enrol Disaggregation'!$P$5:$AC$65,MATCH(Export_ControlTot!$A53,'Campus Enrol Disaggregation'!$O$5:$O$65,0),MATCH(B$1,'Campus Enrol Disaggregation'!$P$4:$AC$4,0))</f>
        <v>38050</v>
      </c>
      <c r="C53" s="34">
        <f>INDEX('Campus Enrol Disaggregation'!$P$5:$AC$65,MATCH(Export_ControlTot!$A53,'Campus Enrol Disaggregation'!$O$5:$O$65,0),MATCH(C$1,'Campus Enrol Disaggregation'!$P$4:$AC$4,0))</f>
        <v>2000</v>
      </c>
      <c r="D53" s="34">
        <f>INDEX('Campus Enrol Disaggregation'!$P$5:$AC$65,MATCH(Export_ControlTot!$A53,'Campus Enrol Disaggregation'!$O$5:$O$65,0),MATCH(D$1,'Campus Enrol Disaggregation'!$P$4:$AC$4,0))</f>
        <v>19450</v>
      </c>
      <c r="E53" s="34">
        <f>INDEX('Campus Enrol Disaggregation'!$P$5:$AC$65,MATCH(Export_ControlTot!$A53,'Campus Enrol Disaggregation'!$O$5:$O$65,0),MATCH(E$1,'Campus Enrol Disaggregation'!$P$4:$AC$4,0))</f>
        <v>6800</v>
      </c>
      <c r="F53" s="34">
        <f>INDEX('Campus Enrol Disaggregation'!$P$5:$AC$65,MATCH(Export_ControlTot!$A53,'Campus Enrol Disaggregation'!$O$5:$O$65,0),MATCH(F$1,'Campus Enrol Disaggregation'!$P$4:$AC$4,0))</f>
        <v>1700</v>
      </c>
      <c r="G53" s="34">
        <f>INDEX('Campus Enrol Disaggregation'!$P$5:$AC$65,MATCH(Export_ControlTot!$A53,'Campus Enrol Disaggregation'!$O$5:$O$65,0),MATCH(G$1,'Campus Enrol Disaggregation'!$P$4:$AC$4,0))</f>
        <v>6050</v>
      </c>
      <c r="H53" s="34">
        <f>INDEX('Campus Enrol Disaggregation'!$P$5:$AC$65,MATCH(Export_ControlTot!$A53,'Campus Enrol Disaggregation'!$O$5:$O$65,0),MATCH(H$1,'Campus Enrol Disaggregation'!$P$4:$AC$4,0))</f>
        <v>39600</v>
      </c>
      <c r="I53" s="34">
        <f>INDEX('Campus Enrol Disaggregation'!$P$5:$AC$65,MATCH(Export_ControlTot!$A53,'Campus Enrol Disaggregation'!$O$5:$O$65,0),MATCH(I$1,'Campus Enrol Disaggregation'!$P$4:$AC$4,0))</f>
        <v>59800</v>
      </c>
      <c r="J53" s="34">
        <f>INDEX('Campus Enrol Disaggregation'!$P$5:$AC$65,MATCH(Export_ControlTot!$A53,'Campus Enrol Disaggregation'!$O$5:$O$65,0),MATCH(J$1,'Campus Enrol Disaggregation'!$P$4:$AC$4,0))</f>
        <v>2200</v>
      </c>
      <c r="K53" s="34">
        <f>INDEX('Campus Enrol Disaggregation'!$P$5:$AC$65,MATCH(Export_ControlTot!$A53,'Campus Enrol Disaggregation'!$O$5:$O$65,0),MATCH(K$1,'Campus Enrol Disaggregation'!$P$4:$AC$4,0))</f>
        <v>2000</v>
      </c>
      <c r="L53" s="34">
        <f>INDEX('Campus Enrol Disaggregation'!$P$5:$AC$65,MATCH(Export_ControlTot!$A53,'Campus Enrol Disaggregation'!$O$5:$O$65,0),MATCH(L$1,'Campus Enrol Disaggregation'!$P$4:$AC$4,0))</f>
        <v>2900</v>
      </c>
      <c r="M53" s="34">
        <f>INDEX('Campus Enrol Disaggregation'!$P$5:$AC$65,MATCH(Export_ControlTot!$A53,'Campus Enrol Disaggregation'!$O$5:$O$65,0),MATCH(M$1,'Campus Enrol Disaggregation'!$P$4:$AC$4,0))</f>
        <v>29300</v>
      </c>
      <c r="N53" s="34">
        <f>INDEX('Campus Enrol Disaggregation'!$P$5:$AC$65,MATCH(Export_ControlTot!$A53,'Campus Enrol Disaggregation'!$O$5:$O$65,0),MATCH(N$1,'Campus Enrol Disaggregation'!$P$4:$AC$4,0))</f>
        <v>7700</v>
      </c>
      <c r="O53" s="34">
        <f>INDEX('Campus Enrol Disaggregation'!$P$5:$AC$65,MATCH(Export_ControlTot!$A53,'Campus Enrol Disaggregation'!$O$5:$O$65,0),MATCH(O$1,'Campus Enrol Disaggregation'!$P$4:$AC$4,0))</f>
        <v>2750</v>
      </c>
    </row>
    <row r="54" spans="1:15" x14ac:dyDescent="0.25">
      <c r="A54" s="3">
        <v>2042</v>
      </c>
      <c r="B54" s="34">
        <f>INDEX('Campus Enrol Disaggregation'!$P$5:$AC$65,MATCH(Export_ControlTot!$A54,'Campus Enrol Disaggregation'!$O$5:$O$65,0),MATCH(B$1,'Campus Enrol Disaggregation'!$P$4:$AC$4,0))</f>
        <v>38100</v>
      </c>
      <c r="C54" s="34">
        <f>INDEX('Campus Enrol Disaggregation'!$P$5:$AC$65,MATCH(Export_ControlTot!$A54,'Campus Enrol Disaggregation'!$O$5:$O$65,0),MATCH(C$1,'Campus Enrol Disaggregation'!$P$4:$AC$4,0))</f>
        <v>2000</v>
      </c>
      <c r="D54" s="34">
        <f>INDEX('Campus Enrol Disaggregation'!$P$5:$AC$65,MATCH(Export_ControlTot!$A54,'Campus Enrol Disaggregation'!$O$5:$O$65,0),MATCH(D$1,'Campus Enrol Disaggregation'!$P$4:$AC$4,0))</f>
        <v>19600</v>
      </c>
      <c r="E54" s="34">
        <f>INDEX('Campus Enrol Disaggregation'!$P$5:$AC$65,MATCH(Export_ControlTot!$A54,'Campus Enrol Disaggregation'!$O$5:$O$65,0),MATCH(E$1,'Campus Enrol Disaggregation'!$P$4:$AC$4,0))</f>
        <v>6850</v>
      </c>
      <c r="F54" s="34">
        <f>INDEX('Campus Enrol Disaggregation'!$P$5:$AC$65,MATCH(Export_ControlTot!$A54,'Campus Enrol Disaggregation'!$O$5:$O$65,0),MATCH(F$1,'Campus Enrol Disaggregation'!$P$4:$AC$4,0))</f>
        <v>1700</v>
      </c>
      <c r="G54" s="34">
        <f>INDEX('Campus Enrol Disaggregation'!$P$5:$AC$65,MATCH(Export_ControlTot!$A54,'Campus Enrol Disaggregation'!$O$5:$O$65,0),MATCH(G$1,'Campus Enrol Disaggregation'!$P$4:$AC$4,0))</f>
        <v>6100</v>
      </c>
      <c r="H54" s="34">
        <f>INDEX('Campus Enrol Disaggregation'!$P$5:$AC$65,MATCH(Export_ControlTot!$A54,'Campus Enrol Disaggregation'!$O$5:$O$65,0),MATCH(H$1,'Campus Enrol Disaggregation'!$P$4:$AC$4,0))</f>
        <v>39850</v>
      </c>
      <c r="I54" s="34">
        <f>INDEX('Campus Enrol Disaggregation'!$P$5:$AC$65,MATCH(Export_ControlTot!$A54,'Campus Enrol Disaggregation'!$O$5:$O$65,0),MATCH(I$1,'Campus Enrol Disaggregation'!$P$4:$AC$4,0))</f>
        <v>60700</v>
      </c>
      <c r="J54" s="34">
        <f>INDEX('Campus Enrol Disaggregation'!$P$5:$AC$65,MATCH(Export_ControlTot!$A54,'Campus Enrol Disaggregation'!$O$5:$O$65,0),MATCH(J$1,'Campus Enrol Disaggregation'!$P$4:$AC$4,0))</f>
        <v>2250</v>
      </c>
      <c r="K54" s="34">
        <f>INDEX('Campus Enrol Disaggregation'!$P$5:$AC$65,MATCH(Export_ControlTot!$A54,'Campus Enrol Disaggregation'!$O$5:$O$65,0),MATCH(K$1,'Campus Enrol Disaggregation'!$P$4:$AC$4,0))</f>
        <v>2100</v>
      </c>
      <c r="L54" s="34">
        <f>INDEX('Campus Enrol Disaggregation'!$P$5:$AC$65,MATCH(Export_ControlTot!$A54,'Campus Enrol Disaggregation'!$O$5:$O$65,0),MATCH(L$1,'Campus Enrol Disaggregation'!$P$4:$AC$4,0))</f>
        <v>3050</v>
      </c>
      <c r="M54" s="34">
        <f>INDEX('Campus Enrol Disaggregation'!$P$5:$AC$65,MATCH(Export_ControlTot!$A54,'Campus Enrol Disaggregation'!$O$5:$O$65,0),MATCH(M$1,'Campus Enrol Disaggregation'!$P$4:$AC$4,0))</f>
        <v>29600</v>
      </c>
      <c r="N54" s="34">
        <f>INDEX('Campus Enrol Disaggregation'!$P$5:$AC$65,MATCH(Export_ControlTot!$A54,'Campus Enrol Disaggregation'!$O$5:$O$65,0),MATCH(N$1,'Campus Enrol Disaggregation'!$P$4:$AC$4,0))</f>
        <v>7800</v>
      </c>
      <c r="O54" s="34">
        <f>INDEX('Campus Enrol Disaggregation'!$P$5:$AC$65,MATCH(Export_ControlTot!$A54,'Campus Enrol Disaggregation'!$O$5:$O$65,0),MATCH(O$1,'Campus Enrol Disaggregation'!$P$4:$AC$4,0))</f>
        <v>2800</v>
      </c>
    </row>
    <row r="55" spans="1:15" x14ac:dyDescent="0.25">
      <c r="A55" s="3">
        <v>2043</v>
      </c>
      <c r="B55" s="34">
        <f>INDEX('Campus Enrol Disaggregation'!$P$5:$AC$65,MATCH(Export_ControlTot!$A55,'Campus Enrol Disaggregation'!$O$5:$O$65,0),MATCH(B$1,'Campus Enrol Disaggregation'!$P$4:$AC$4,0))</f>
        <v>38150</v>
      </c>
      <c r="C55" s="34">
        <f>INDEX('Campus Enrol Disaggregation'!$P$5:$AC$65,MATCH(Export_ControlTot!$A55,'Campus Enrol Disaggregation'!$O$5:$O$65,0),MATCH(C$1,'Campus Enrol Disaggregation'!$P$4:$AC$4,0))</f>
        <v>2000</v>
      </c>
      <c r="D55" s="34">
        <f>INDEX('Campus Enrol Disaggregation'!$P$5:$AC$65,MATCH(Export_ControlTot!$A55,'Campus Enrol Disaggregation'!$O$5:$O$65,0),MATCH(D$1,'Campus Enrol Disaggregation'!$P$4:$AC$4,0))</f>
        <v>19800</v>
      </c>
      <c r="E55" s="34">
        <f>INDEX('Campus Enrol Disaggregation'!$P$5:$AC$65,MATCH(Export_ControlTot!$A55,'Campus Enrol Disaggregation'!$O$5:$O$65,0),MATCH(E$1,'Campus Enrol Disaggregation'!$P$4:$AC$4,0))</f>
        <v>6950</v>
      </c>
      <c r="F55" s="34">
        <f>INDEX('Campus Enrol Disaggregation'!$P$5:$AC$65,MATCH(Export_ControlTot!$A55,'Campus Enrol Disaggregation'!$O$5:$O$65,0),MATCH(F$1,'Campus Enrol Disaggregation'!$P$4:$AC$4,0))</f>
        <v>1750</v>
      </c>
      <c r="G55" s="34">
        <f>INDEX('Campus Enrol Disaggregation'!$P$5:$AC$65,MATCH(Export_ControlTot!$A55,'Campus Enrol Disaggregation'!$O$5:$O$65,0),MATCH(G$1,'Campus Enrol Disaggregation'!$P$4:$AC$4,0))</f>
        <v>6150</v>
      </c>
      <c r="H55" s="34">
        <f>INDEX('Campus Enrol Disaggregation'!$P$5:$AC$65,MATCH(Export_ControlTot!$A55,'Campus Enrol Disaggregation'!$O$5:$O$65,0),MATCH(H$1,'Campus Enrol Disaggregation'!$P$4:$AC$4,0))</f>
        <v>40100</v>
      </c>
      <c r="I55" s="34">
        <f>INDEX('Campus Enrol Disaggregation'!$P$5:$AC$65,MATCH(Export_ControlTot!$A55,'Campus Enrol Disaggregation'!$O$5:$O$65,0),MATCH(I$1,'Campus Enrol Disaggregation'!$P$4:$AC$4,0))</f>
        <v>61600</v>
      </c>
      <c r="J55" s="34">
        <f>INDEX('Campus Enrol Disaggregation'!$P$5:$AC$65,MATCH(Export_ControlTot!$A55,'Campus Enrol Disaggregation'!$O$5:$O$65,0),MATCH(J$1,'Campus Enrol Disaggregation'!$P$4:$AC$4,0))</f>
        <v>2300</v>
      </c>
      <c r="K55" s="34">
        <f>INDEX('Campus Enrol Disaggregation'!$P$5:$AC$65,MATCH(Export_ControlTot!$A55,'Campus Enrol Disaggregation'!$O$5:$O$65,0),MATCH(K$1,'Campus Enrol Disaggregation'!$P$4:$AC$4,0))</f>
        <v>2200</v>
      </c>
      <c r="L55" s="34">
        <f>INDEX('Campus Enrol Disaggregation'!$P$5:$AC$65,MATCH(Export_ControlTot!$A55,'Campus Enrol Disaggregation'!$O$5:$O$65,0),MATCH(L$1,'Campus Enrol Disaggregation'!$P$4:$AC$4,0))</f>
        <v>3200</v>
      </c>
      <c r="M55" s="34">
        <f>INDEX('Campus Enrol Disaggregation'!$P$5:$AC$65,MATCH(Export_ControlTot!$A55,'Campus Enrol Disaggregation'!$O$5:$O$65,0),MATCH(M$1,'Campus Enrol Disaggregation'!$P$4:$AC$4,0))</f>
        <v>29950</v>
      </c>
      <c r="N55" s="34">
        <f>INDEX('Campus Enrol Disaggregation'!$P$5:$AC$65,MATCH(Export_ControlTot!$A55,'Campus Enrol Disaggregation'!$O$5:$O$65,0),MATCH(N$1,'Campus Enrol Disaggregation'!$P$4:$AC$4,0))</f>
        <v>7900</v>
      </c>
      <c r="O55" s="34">
        <f>INDEX('Campus Enrol Disaggregation'!$P$5:$AC$65,MATCH(Export_ControlTot!$A55,'Campus Enrol Disaggregation'!$O$5:$O$65,0),MATCH(O$1,'Campus Enrol Disaggregation'!$P$4:$AC$4,0))</f>
        <v>2800</v>
      </c>
    </row>
    <row r="56" spans="1:15" x14ac:dyDescent="0.25">
      <c r="A56" s="3">
        <v>2044</v>
      </c>
      <c r="B56" s="34">
        <f>INDEX('Campus Enrol Disaggregation'!$P$5:$AC$65,MATCH(Export_ControlTot!$A56,'Campus Enrol Disaggregation'!$O$5:$O$65,0),MATCH(B$1,'Campus Enrol Disaggregation'!$P$4:$AC$4,0))</f>
        <v>38500</v>
      </c>
      <c r="C56" s="34">
        <f>INDEX('Campus Enrol Disaggregation'!$P$5:$AC$65,MATCH(Export_ControlTot!$A56,'Campus Enrol Disaggregation'!$O$5:$O$65,0),MATCH(C$1,'Campus Enrol Disaggregation'!$P$4:$AC$4,0))</f>
        <v>2000</v>
      </c>
      <c r="D56" s="34">
        <f>INDEX('Campus Enrol Disaggregation'!$P$5:$AC$65,MATCH(Export_ControlTot!$A56,'Campus Enrol Disaggregation'!$O$5:$O$65,0),MATCH(D$1,'Campus Enrol Disaggregation'!$P$4:$AC$4,0))</f>
        <v>20000</v>
      </c>
      <c r="E56" s="34">
        <f>INDEX('Campus Enrol Disaggregation'!$P$5:$AC$65,MATCH(Export_ControlTot!$A56,'Campus Enrol Disaggregation'!$O$5:$O$65,0),MATCH(E$1,'Campus Enrol Disaggregation'!$P$4:$AC$4,0))</f>
        <v>7000</v>
      </c>
      <c r="F56" s="34">
        <f>INDEX('Campus Enrol Disaggregation'!$P$5:$AC$65,MATCH(Export_ControlTot!$A56,'Campus Enrol Disaggregation'!$O$5:$O$65,0),MATCH(F$1,'Campus Enrol Disaggregation'!$P$4:$AC$4,0))</f>
        <v>1750</v>
      </c>
      <c r="G56" s="34">
        <f>INDEX('Campus Enrol Disaggregation'!$P$5:$AC$65,MATCH(Export_ControlTot!$A56,'Campus Enrol Disaggregation'!$O$5:$O$65,0),MATCH(G$1,'Campus Enrol Disaggregation'!$P$4:$AC$4,0))</f>
        <v>6200</v>
      </c>
      <c r="H56" s="34">
        <f>INDEX('Campus Enrol Disaggregation'!$P$5:$AC$65,MATCH(Export_ControlTot!$A56,'Campus Enrol Disaggregation'!$O$5:$O$65,0),MATCH(H$1,'Campus Enrol Disaggregation'!$P$4:$AC$4,0))</f>
        <v>40350</v>
      </c>
      <c r="I56" s="34">
        <f>INDEX('Campus Enrol Disaggregation'!$P$5:$AC$65,MATCH(Export_ControlTot!$A56,'Campus Enrol Disaggregation'!$O$5:$O$65,0),MATCH(I$1,'Campus Enrol Disaggregation'!$P$4:$AC$4,0))</f>
        <v>62500</v>
      </c>
      <c r="J56" s="34">
        <f>INDEX('Campus Enrol Disaggregation'!$P$5:$AC$65,MATCH(Export_ControlTot!$A56,'Campus Enrol Disaggregation'!$O$5:$O$65,0),MATCH(J$1,'Campus Enrol Disaggregation'!$P$4:$AC$4,0))</f>
        <v>2350</v>
      </c>
      <c r="K56" s="34">
        <f>INDEX('Campus Enrol Disaggregation'!$P$5:$AC$65,MATCH(Export_ControlTot!$A56,'Campus Enrol Disaggregation'!$O$5:$O$65,0),MATCH(K$1,'Campus Enrol Disaggregation'!$P$4:$AC$4,0))</f>
        <v>2350</v>
      </c>
      <c r="L56" s="34">
        <f>INDEX('Campus Enrol Disaggregation'!$P$5:$AC$65,MATCH(Export_ControlTot!$A56,'Campus Enrol Disaggregation'!$O$5:$O$65,0),MATCH(L$1,'Campus Enrol Disaggregation'!$P$4:$AC$4,0))</f>
        <v>3350</v>
      </c>
      <c r="M56" s="34">
        <f>INDEX('Campus Enrol Disaggregation'!$P$5:$AC$65,MATCH(Export_ControlTot!$A56,'Campus Enrol Disaggregation'!$O$5:$O$65,0),MATCH(M$1,'Campus Enrol Disaggregation'!$P$4:$AC$4,0))</f>
        <v>30300</v>
      </c>
      <c r="N56" s="34">
        <f>INDEX('Campus Enrol Disaggregation'!$P$5:$AC$65,MATCH(Export_ControlTot!$A56,'Campus Enrol Disaggregation'!$O$5:$O$65,0),MATCH(N$1,'Campus Enrol Disaggregation'!$P$4:$AC$4,0))</f>
        <v>7950</v>
      </c>
      <c r="O56" s="34">
        <f>INDEX('Campus Enrol Disaggregation'!$P$5:$AC$65,MATCH(Export_ControlTot!$A56,'Campus Enrol Disaggregation'!$O$5:$O$65,0),MATCH(O$1,'Campus Enrol Disaggregation'!$P$4:$AC$4,0))</f>
        <v>2850</v>
      </c>
    </row>
    <row r="57" spans="1:15" x14ac:dyDescent="0.25">
      <c r="A57" s="3">
        <v>2045</v>
      </c>
      <c r="B57" s="34">
        <f>INDEX('Campus Enrol Disaggregation'!$P$5:$AC$65,MATCH(Export_ControlTot!$A57,'Campus Enrol Disaggregation'!$O$5:$O$65,0),MATCH(B$1,'Campus Enrol Disaggregation'!$P$4:$AC$4,0))</f>
        <v>38900</v>
      </c>
      <c r="C57" s="34">
        <f>INDEX('Campus Enrol Disaggregation'!$P$5:$AC$65,MATCH(Export_ControlTot!$A57,'Campus Enrol Disaggregation'!$O$5:$O$65,0),MATCH(C$1,'Campus Enrol Disaggregation'!$P$4:$AC$4,0))</f>
        <v>2000</v>
      </c>
      <c r="D57" s="34">
        <f>INDEX('Campus Enrol Disaggregation'!$P$5:$AC$65,MATCH(Export_ControlTot!$A57,'Campus Enrol Disaggregation'!$O$5:$O$65,0),MATCH(D$1,'Campus Enrol Disaggregation'!$P$4:$AC$4,0))</f>
        <v>20200</v>
      </c>
      <c r="E57" s="34">
        <f>INDEX('Campus Enrol Disaggregation'!$P$5:$AC$65,MATCH(Export_ControlTot!$A57,'Campus Enrol Disaggregation'!$O$5:$O$65,0),MATCH(E$1,'Campus Enrol Disaggregation'!$P$4:$AC$4,0))</f>
        <v>7050</v>
      </c>
      <c r="F57" s="34">
        <f>INDEX('Campus Enrol Disaggregation'!$P$5:$AC$65,MATCH(Export_ControlTot!$A57,'Campus Enrol Disaggregation'!$O$5:$O$65,0),MATCH(F$1,'Campus Enrol Disaggregation'!$P$4:$AC$4,0))</f>
        <v>1750</v>
      </c>
      <c r="G57" s="34">
        <f>INDEX('Campus Enrol Disaggregation'!$P$5:$AC$65,MATCH(Export_ControlTot!$A57,'Campus Enrol Disaggregation'!$O$5:$O$65,0),MATCH(G$1,'Campus Enrol Disaggregation'!$P$4:$AC$4,0))</f>
        <v>6250</v>
      </c>
      <c r="H57" s="34">
        <f>INDEX('Campus Enrol Disaggregation'!$P$5:$AC$65,MATCH(Export_ControlTot!$A57,'Campus Enrol Disaggregation'!$O$5:$O$65,0),MATCH(H$1,'Campus Enrol Disaggregation'!$P$4:$AC$4,0))</f>
        <v>40600</v>
      </c>
      <c r="I57" s="34">
        <f>INDEX('Campus Enrol Disaggregation'!$P$5:$AC$65,MATCH(Export_ControlTot!$A57,'Campus Enrol Disaggregation'!$O$5:$O$65,0),MATCH(I$1,'Campus Enrol Disaggregation'!$P$4:$AC$4,0))</f>
        <v>63450</v>
      </c>
      <c r="J57" s="34">
        <f>INDEX('Campus Enrol Disaggregation'!$P$5:$AC$65,MATCH(Export_ControlTot!$A57,'Campus Enrol Disaggregation'!$O$5:$O$65,0),MATCH(J$1,'Campus Enrol Disaggregation'!$P$4:$AC$4,0))</f>
        <v>2400</v>
      </c>
      <c r="K57" s="34">
        <f>INDEX('Campus Enrol Disaggregation'!$P$5:$AC$65,MATCH(Export_ControlTot!$A57,'Campus Enrol Disaggregation'!$O$5:$O$65,0),MATCH(K$1,'Campus Enrol Disaggregation'!$P$4:$AC$4,0))</f>
        <v>2450</v>
      </c>
      <c r="L57" s="34">
        <f>INDEX('Campus Enrol Disaggregation'!$P$5:$AC$65,MATCH(Export_ControlTot!$A57,'Campus Enrol Disaggregation'!$O$5:$O$65,0),MATCH(L$1,'Campus Enrol Disaggregation'!$P$4:$AC$4,0))</f>
        <v>3500</v>
      </c>
      <c r="M57" s="34">
        <f>INDEX('Campus Enrol Disaggregation'!$P$5:$AC$65,MATCH(Export_ControlTot!$A57,'Campus Enrol Disaggregation'!$O$5:$O$65,0),MATCH(M$1,'Campus Enrol Disaggregation'!$P$4:$AC$4,0))</f>
        <v>30650</v>
      </c>
      <c r="N57" s="34">
        <f>INDEX('Campus Enrol Disaggregation'!$P$5:$AC$65,MATCH(Export_ControlTot!$A57,'Campus Enrol Disaggregation'!$O$5:$O$65,0),MATCH(N$1,'Campus Enrol Disaggregation'!$P$4:$AC$4,0))</f>
        <v>8050</v>
      </c>
      <c r="O57" s="34">
        <f>INDEX('Campus Enrol Disaggregation'!$P$5:$AC$65,MATCH(Export_ControlTot!$A57,'Campus Enrol Disaggregation'!$O$5:$O$65,0),MATCH(O$1,'Campus Enrol Disaggregation'!$P$4:$AC$4,0))</f>
        <v>2850</v>
      </c>
    </row>
    <row r="58" spans="1:15" x14ac:dyDescent="0.25">
      <c r="A58" s="3">
        <v>2046</v>
      </c>
      <c r="B58" s="34">
        <f>INDEX('Campus Enrol Disaggregation'!$P$5:$AC$65,MATCH(Export_ControlTot!$A58,'Campus Enrol Disaggregation'!$O$5:$O$65,0),MATCH(B$1,'Campus Enrol Disaggregation'!$P$4:$AC$4,0))</f>
        <v>39300</v>
      </c>
      <c r="C58" s="34">
        <f>INDEX('Campus Enrol Disaggregation'!$P$5:$AC$65,MATCH(Export_ControlTot!$A58,'Campus Enrol Disaggregation'!$O$5:$O$65,0),MATCH(C$1,'Campus Enrol Disaggregation'!$P$4:$AC$4,0))</f>
        <v>2000</v>
      </c>
      <c r="D58" s="34">
        <f>INDEX('Campus Enrol Disaggregation'!$P$5:$AC$65,MATCH(Export_ControlTot!$A58,'Campus Enrol Disaggregation'!$O$5:$O$65,0),MATCH(D$1,'Campus Enrol Disaggregation'!$P$4:$AC$4,0))</f>
        <v>20350</v>
      </c>
      <c r="E58" s="34">
        <f>INDEX('Campus Enrol Disaggregation'!$P$5:$AC$65,MATCH(Export_ControlTot!$A58,'Campus Enrol Disaggregation'!$O$5:$O$65,0),MATCH(E$1,'Campus Enrol Disaggregation'!$P$4:$AC$4,0))</f>
        <v>7150</v>
      </c>
      <c r="F58" s="34">
        <f>INDEX('Campus Enrol Disaggregation'!$P$5:$AC$65,MATCH(Export_ControlTot!$A58,'Campus Enrol Disaggregation'!$O$5:$O$65,0),MATCH(F$1,'Campus Enrol Disaggregation'!$P$4:$AC$4,0))</f>
        <v>1800</v>
      </c>
      <c r="G58" s="34">
        <f>INDEX('Campus Enrol Disaggregation'!$P$5:$AC$65,MATCH(Export_ControlTot!$A58,'Campus Enrol Disaggregation'!$O$5:$O$65,0),MATCH(G$1,'Campus Enrol Disaggregation'!$P$4:$AC$4,0))</f>
        <v>6300</v>
      </c>
      <c r="H58" s="34">
        <f>INDEX('Campus Enrol Disaggregation'!$P$5:$AC$65,MATCH(Export_ControlTot!$A58,'Campus Enrol Disaggregation'!$O$5:$O$65,0),MATCH(H$1,'Campus Enrol Disaggregation'!$P$4:$AC$4,0))</f>
        <v>40850</v>
      </c>
      <c r="I58" s="34">
        <f>INDEX('Campus Enrol Disaggregation'!$P$5:$AC$65,MATCH(Export_ControlTot!$A58,'Campus Enrol Disaggregation'!$O$5:$O$65,0),MATCH(I$1,'Campus Enrol Disaggregation'!$P$4:$AC$4,0))</f>
        <v>64350</v>
      </c>
      <c r="J58" s="34">
        <f>INDEX('Campus Enrol Disaggregation'!$P$5:$AC$65,MATCH(Export_ControlTot!$A58,'Campus Enrol Disaggregation'!$O$5:$O$65,0),MATCH(J$1,'Campus Enrol Disaggregation'!$P$4:$AC$4,0))</f>
        <v>2450</v>
      </c>
      <c r="K58" s="34">
        <f>INDEX('Campus Enrol Disaggregation'!$P$5:$AC$65,MATCH(Export_ControlTot!$A58,'Campus Enrol Disaggregation'!$O$5:$O$65,0),MATCH(K$1,'Campus Enrol Disaggregation'!$P$4:$AC$4,0))</f>
        <v>2550</v>
      </c>
      <c r="L58" s="34">
        <f>INDEX('Campus Enrol Disaggregation'!$P$5:$AC$65,MATCH(Export_ControlTot!$A58,'Campus Enrol Disaggregation'!$O$5:$O$65,0),MATCH(L$1,'Campus Enrol Disaggregation'!$P$4:$AC$4,0))</f>
        <v>3650</v>
      </c>
      <c r="M58" s="34">
        <f>INDEX('Campus Enrol Disaggregation'!$P$5:$AC$65,MATCH(Export_ControlTot!$A58,'Campus Enrol Disaggregation'!$O$5:$O$65,0),MATCH(M$1,'Campus Enrol Disaggregation'!$P$4:$AC$4,0))</f>
        <v>31000</v>
      </c>
      <c r="N58" s="34">
        <f>INDEX('Campus Enrol Disaggregation'!$P$5:$AC$65,MATCH(Export_ControlTot!$A58,'Campus Enrol Disaggregation'!$O$5:$O$65,0),MATCH(N$1,'Campus Enrol Disaggregation'!$P$4:$AC$4,0))</f>
        <v>8150</v>
      </c>
      <c r="O58" s="34">
        <f>INDEX('Campus Enrol Disaggregation'!$P$5:$AC$65,MATCH(Export_ControlTot!$A58,'Campus Enrol Disaggregation'!$O$5:$O$65,0),MATCH(O$1,'Campus Enrol Disaggregation'!$P$4:$AC$4,0))</f>
        <v>2900</v>
      </c>
    </row>
    <row r="59" spans="1:15" x14ac:dyDescent="0.25">
      <c r="A59" s="3">
        <v>2047</v>
      </c>
      <c r="B59" s="34">
        <f>INDEX('Campus Enrol Disaggregation'!$P$5:$AC$65,MATCH(Export_ControlTot!$A59,'Campus Enrol Disaggregation'!$O$5:$O$65,0),MATCH(B$1,'Campus Enrol Disaggregation'!$P$4:$AC$4,0))</f>
        <v>39300</v>
      </c>
      <c r="C59" s="34">
        <f>INDEX('Campus Enrol Disaggregation'!$P$5:$AC$65,MATCH(Export_ControlTot!$A59,'Campus Enrol Disaggregation'!$O$5:$O$65,0),MATCH(C$1,'Campus Enrol Disaggregation'!$P$4:$AC$4,0))</f>
        <v>2000</v>
      </c>
      <c r="D59" s="34">
        <f>INDEX('Campus Enrol Disaggregation'!$P$5:$AC$65,MATCH(Export_ControlTot!$A59,'Campus Enrol Disaggregation'!$O$5:$O$65,0),MATCH(D$1,'Campus Enrol Disaggregation'!$P$4:$AC$4,0))</f>
        <v>20550</v>
      </c>
      <c r="E59" s="34">
        <f>INDEX('Campus Enrol Disaggregation'!$P$5:$AC$65,MATCH(Export_ControlTot!$A59,'Campus Enrol Disaggregation'!$O$5:$O$65,0),MATCH(E$1,'Campus Enrol Disaggregation'!$P$4:$AC$4,0))</f>
        <v>7200</v>
      </c>
      <c r="F59" s="34">
        <f>INDEX('Campus Enrol Disaggregation'!$P$5:$AC$65,MATCH(Export_ControlTot!$A59,'Campus Enrol Disaggregation'!$O$5:$O$65,0),MATCH(F$1,'Campus Enrol Disaggregation'!$P$4:$AC$4,0))</f>
        <v>1800</v>
      </c>
      <c r="G59" s="34">
        <f>INDEX('Campus Enrol Disaggregation'!$P$5:$AC$65,MATCH(Export_ControlTot!$A59,'Campus Enrol Disaggregation'!$O$5:$O$65,0),MATCH(G$1,'Campus Enrol Disaggregation'!$P$4:$AC$4,0))</f>
        <v>6400</v>
      </c>
      <c r="H59" s="34">
        <f>INDEX('Campus Enrol Disaggregation'!$P$5:$AC$65,MATCH(Export_ControlTot!$A59,'Campus Enrol Disaggregation'!$O$5:$O$65,0),MATCH(H$1,'Campus Enrol Disaggregation'!$P$4:$AC$4,0))</f>
        <v>41100</v>
      </c>
      <c r="I59" s="34">
        <f>INDEX('Campus Enrol Disaggregation'!$P$5:$AC$65,MATCH(Export_ControlTot!$A59,'Campus Enrol Disaggregation'!$O$5:$O$65,0),MATCH(I$1,'Campus Enrol Disaggregation'!$P$4:$AC$4,0))</f>
        <v>65250</v>
      </c>
      <c r="J59" s="34">
        <f>INDEX('Campus Enrol Disaggregation'!$P$5:$AC$65,MATCH(Export_ControlTot!$A59,'Campus Enrol Disaggregation'!$O$5:$O$65,0),MATCH(J$1,'Campus Enrol Disaggregation'!$P$4:$AC$4,0))</f>
        <v>2450</v>
      </c>
      <c r="K59" s="34">
        <f>INDEX('Campus Enrol Disaggregation'!$P$5:$AC$65,MATCH(Export_ControlTot!$A59,'Campus Enrol Disaggregation'!$O$5:$O$65,0),MATCH(K$1,'Campus Enrol Disaggregation'!$P$4:$AC$4,0))</f>
        <v>2650</v>
      </c>
      <c r="L59" s="34">
        <f>INDEX('Campus Enrol Disaggregation'!$P$5:$AC$65,MATCH(Export_ControlTot!$A59,'Campus Enrol Disaggregation'!$O$5:$O$65,0),MATCH(L$1,'Campus Enrol Disaggregation'!$P$4:$AC$4,0))</f>
        <v>3800</v>
      </c>
      <c r="M59" s="34">
        <f>INDEX('Campus Enrol Disaggregation'!$P$5:$AC$65,MATCH(Export_ControlTot!$A59,'Campus Enrol Disaggregation'!$O$5:$O$65,0),MATCH(M$1,'Campus Enrol Disaggregation'!$P$4:$AC$4,0))</f>
        <v>31300</v>
      </c>
      <c r="N59" s="34">
        <f>INDEX('Campus Enrol Disaggregation'!$P$5:$AC$65,MATCH(Export_ControlTot!$A59,'Campus Enrol Disaggregation'!$O$5:$O$65,0),MATCH(N$1,'Campus Enrol Disaggregation'!$P$4:$AC$4,0))</f>
        <v>8250</v>
      </c>
      <c r="O59" s="34">
        <f>INDEX('Campus Enrol Disaggregation'!$P$5:$AC$65,MATCH(Export_ControlTot!$A59,'Campus Enrol Disaggregation'!$O$5:$O$65,0),MATCH(O$1,'Campus Enrol Disaggregation'!$P$4:$AC$4,0))</f>
        <v>2900</v>
      </c>
    </row>
    <row r="60" spans="1:15" x14ac:dyDescent="0.25">
      <c r="A60" s="3">
        <v>2048</v>
      </c>
      <c r="B60" s="34">
        <f>INDEX('Campus Enrol Disaggregation'!$P$5:$AC$65,MATCH(Export_ControlTot!$A60,'Campus Enrol Disaggregation'!$O$5:$O$65,0),MATCH(B$1,'Campus Enrol Disaggregation'!$P$4:$AC$4,0))</f>
        <v>39300</v>
      </c>
      <c r="C60" s="34">
        <f>INDEX('Campus Enrol Disaggregation'!$P$5:$AC$65,MATCH(Export_ControlTot!$A60,'Campus Enrol Disaggregation'!$O$5:$O$65,0),MATCH(C$1,'Campus Enrol Disaggregation'!$P$4:$AC$4,0))</f>
        <v>2000</v>
      </c>
      <c r="D60" s="34">
        <f>INDEX('Campus Enrol Disaggregation'!$P$5:$AC$65,MATCH(Export_ControlTot!$A60,'Campus Enrol Disaggregation'!$O$5:$O$65,0),MATCH(D$1,'Campus Enrol Disaggregation'!$P$4:$AC$4,0))</f>
        <v>20750</v>
      </c>
      <c r="E60" s="34">
        <f>INDEX('Campus Enrol Disaggregation'!$P$5:$AC$65,MATCH(Export_ControlTot!$A60,'Campus Enrol Disaggregation'!$O$5:$O$65,0),MATCH(E$1,'Campus Enrol Disaggregation'!$P$4:$AC$4,0))</f>
        <v>7250</v>
      </c>
      <c r="F60" s="34">
        <f>INDEX('Campus Enrol Disaggregation'!$P$5:$AC$65,MATCH(Export_ControlTot!$A60,'Campus Enrol Disaggregation'!$O$5:$O$65,0),MATCH(F$1,'Campus Enrol Disaggregation'!$P$4:$AC$4,0))</f>
        <v>1800</v>
      </c>
      <c r="G60" s="34">
        <f>INDEX('Campus Enrol Disaggregation'!$P$5:$AC$65,MATCH(Export_ControlTot!$A60,'Campus Enrol Disaggregation'!$O$5:$O$65,0),MATCH(G$1,'Campus Enrol Disaggregation'!$P$4:$AC$4,0))</f>
        <v>6450</v>
      </c>
      <c r="H60" s="34">
        <f>INDEX('Campus Enrol Disaggregation'!$P$5:$AC$65,MATCH(Export_ControlTot!$A60,'Campus Enrol Disaggregation'!$O$5:$O$65,0),MATCH(H$1,'Campus Enrol Disaggregation'!$P$4:$AC$4,0))</f>
        <v>41350</v>
      </c>
      <c r="I60" s="34">
        <f>INDEX('Campus Enrol Disaggregation'!$P$5:$AC$65,MATCH(Export_ControlTot!$A60,'Campus Enrol Disaggregation'!$O$5:$O$65,0),MATCH(I$1,'Campus Enrol Disaggregation'!$P$4:$AC$4,0))</f>
        <v>66150</v>
      </c>
      <c r="J60" s="34">
        <f>INDEX('Campus Enrol Disaggregation'!$P$5:$AC$65,MATCH(Export_ControlTot!$A60,'Campus Enrol Disaggregation'!$O$5:$O$65,0),MATCH(J$1,'Campus Enrol Disaggregation'!$P$4:$AC$4,0))</f>
        <v>2500</v>
      </c>
      <c r="K60" s="34">
        <f>INDEX('Campus Enrol Disaggregation'!$P$5:$AC$65,MATCH(Export_ControlTot!$A60,'Campus Enrol Disaggregation'!$O$5:$O$65,0),MATCH(K$1,'Campus Enrol Disaggregation'!$P$4:$AC$4,0))</f>
        <v>2800</v>
      </c>
      <c r="L60" s="34">
        <f>INDEX('Campus Enrol Disaggregation'!$P$5:$AC$65,MATCH(Export_ControlTot!$A60,'Campus Enrol Disaggregation'!$O$5:$O$65,0),MATCH(L$1,'Campus Enrol Disaggregation'!$P$4:$AC$4,0))</f>
        <v>3950</v>
      </c>
      <c r="M60" s="34">
        <f>INDEX('Campus Enrol Disaggregation'!$P$5:$AC$65,MATCH(Export_ControlTot!$A60,'Campus Enrol Disaggregation'!$O$5:$O$65,0),MATCH(M$1,'Campus Enrol Disaggregation'!$P$4:$AC$4,0))</f>
        <v>31650</v>
      </c>
      <c r="N60" s="34">
        <f>INDEX('Campus Enrol Disaggregation'!$P$5:$AC$65,MATCH(Export_ControlTot!$A60,'Campus Enrol Disaggregation'!$O$5:$O$65,0),MATCH(N$1,'Campus Enrol Disaggregation'!$P$4:$AC$4,0))</f>
        <v>8300</v>
      </c>
      <c r="O60" s="34">
        <f>INDEX('Campus Enrol Disaggregation'!$P$5:$AC$65,MATCH(Export_ControlTot!$A60,'Campus Enrol Disaggregation'!$O$5:$O$65,0),MATCH(O$1,'Campus Enrol Disaggregation'!$P$4:$AC$4,0))</f>
        <v>2950</v>
      </c>
    </row>
    <row r="61" spans="1:15" x14ac:dyDescent="0.25">
      <c r="A61" s="3">
        <v>2049</v>
      </c>
      <c r="B61" s="34">
        <f>INDEX('Campus Enrol Disaggregation'!$P$5:$AC$65,MATCH(Export_ControlTot!$A61,'Campus Enrol Disaggregation'!$O$5:$O$65,0),MATCH(B$1,'Campus Enrol Disaggregation'!$P$4:$AC$4,0))</f>
        <v>39300</v>
      </c>
      <c r="C61" s="34">
        <f>INDEX('Campus Enrol Disaggregation'!$P$5:$AC$65,MATCH(Export_ControlTot!$A61,'Campus Enrol Disaggregation'!$O$5:$O$65,0),MATCH(C$1,'Campus Enrol Disaggregation'!$P$4:$AC$4,0))</f>
        <v>2000</v>
      </c>
      <c r="D61" s="34">
        <f>INDEX('Campus Enrol Disaggregation'!$P$5:$AC$65,MATCH(Export_ControlTot!$A61,'Campus Enrol Disaggregation'!$O$5:$O$65,0),MATCH(D$1,'Campus Enrol Disaggregation'!$P$4:$AC$4,0))</f>
        <v>20950</v>
      </c>
      <c r="E61" s="34">
        <f>INDEX('Campus Enrol Disaggregation'!$P$5:$AC$65,MATCH(Export_ControlTot!$A61,'Campus Enrol Disaggregation'!$O$5:$O$65,0),MATCH(E$1,'Campus Enrol Disaggregation'!$P$4:$AC$4,0))</f>
        <v>7300</v>
      </c>
      <c r="F61" s="34">
        <f>INDEX('Campus Enrol Disaggregation'!$P$5:$AC$65,MATCH(Export_ControlTot!$A61,'Campus Enrol Disaggregation'!$O$5:$O$65,0),MATCH(F$1,'Campus Enrol Disaggregation'!$P$4:$AC$4,0))</f>
        <v>1800</v>
      </c>
      <c r="G61" s="34">
        <f>INDEX('Campus Enrol Disaggregation'!$P$5:$AC$65,MATCH(Export_ControlTot!$A61,'Campus Enrol Disaggregation'!$O$5:$O$65,0),MATCH(G$1,'Campus Enrol Disaggregation'!$P$4:$AC$4,0))</f>
        <v>6500</v>
      </c>
      <c r="H61" s="34">
        <f>INDEX('Campus Enrol Disaggregation'!$P$5:$AC$65,MATCH(Export_ControlTot!$A61,'Campus Enrol Disaggregation'!$O$5:$O$65,0),MATCH(H$1,'Campus Enrol Disaggregation'!$P$4:$AC$4,0))</f>
        <v>41600</v>
      </c>
      <c r="I61" s="34">
        <f>INDEX('Campus Enrol Disaggregation'!$P$5:$AC$65,MATCH(Export_ControlTot!$A61,'Campus Enrol Disaggregation'!$O$5:$O$65,0),MATCH(I$1,'Campus Enrol Disaggregation'!$P$4:$AC$4,0))</f>
        <v>67050</v>
      </c>
      <c r="J61" s="34">
        <f>INDEX('Campus Enrol Disaggregation'!$P$5:$AC$65,MATCH(Export_ControlTot!$A61,'Campus Enrol Disaggregation'!$O$5:$O$65,0),MATCH(J$1,'Campus Enrol Disaggregation'!$P$4:$AC$4,0))</f>
        <v>2550</v>
      </c>
      <c r="K61" s="34">
        <f>INDEX('Campus Enrol Disaggregation'!$P$5:$AC$65,MATCH(Export_ControlTot!$A61,'Campus Enrol Disaggregation'!$O$5:$O$65,0),MATCH(K$1,'Campus Enrol Disaggregation'!$P$4:$AC$4,0))</f>
        <v>2900</v>
      </c>
      <c r="L61" s="34">
        <f>INDEX('Campus Enrol Disaggregation'!$P$5:$AC$65,MATCH(Export_ControlTot!$A61,'Campus Enrol Disaggregation'!$O$5:$O$65,0),MATCH(L$1,'Campus Enrol Disaggregation'!$P$4:$AC$4,0))</f>
        <v>4100</v>
      </c>
      <c r="M61" s="34">
        <f>INDEX('Campus Enrol Disaggregation'!$P$5:$AC$65,MATCH(Export_ControlTot!$A61,'Campus Enrol Disaggregation'!$O$5:$O$65,0),MATCH(M$1,'Campus Enrol Disaggregation'!$P$4:$AC$4,0))</f>
        <v>32000</v>
      </c>
      <c r="N61" s="34">
        <f>INDEX('Campus Enrol Disaggregation'!$P$5:$AC$65,MATCH(Export_ControlTot!$A61,'Campus Enrol Disaggregation'!$O$5:$O$65,0),MATCH(N$1,'Campus Enrol Disaggregation'!$P$4:$AC$4,0))</f>
        <v>8400</v>
      </c>
      <c r="O61" s="34">
        <f>INDEX('Campus Enrol Disaggregation'!$P$5:$AC$65,MATCH(Export_ControlTot!$A61,'Campus Enrol Disaggregation'!$O$5:$O$65,0),MATCH(O$1,'Campus Enrol Disaggregation'!$P$4:$AC$4,0))</f>
        <v>2950</v>
      </c>
    </row>
    <row r="62" spans="1:15" x14ac:dyDescent="0.25">
      <c r="A62" s="3">
        <v>2050</v>
      </c>
      <c r="B62" s="34">
        <f>INDEX('Campus Enrol Disaggregation'!$P$5:$AC$65,MATCH(Export_ControlTot!$A62,'Campus Enrol Disaggregation'!$O$5:$O$65,0),MATCH(B$1,'Campus Enrol Disaggregation'!$P$4:$AC$4,0))</f>
        <v>39300</v>
      </c>
      <c r="C62" s="34">
        <f>INDEX('Campus Enrol Disaggregation'!$P$5:$AC$65,MATCH(Export_ControlTot!$A62,'Campus Enrol Disaggregation'!$O$5:$O$65,0),MATCH(C$1,'Campus Enrol Disaggregation'!$P$4:$AC$4,0))</f>
        <v>2000</v>
      </c>
      <c r="D62" s="34">
        <f>INDEX('Campus Enrol Disaggregation'!$P$5:$AC$65,MATCH(Export_ControlTot!$A62,'Campus Enrol Disaggregation'!$O$5:$O$65,0),MATCH(D$1,'Campus Enrol Disaggregation'!$P$4:$AC$4,0))</f>
        <v>21100</v>
      </c>
      <c r="E62" s="34">
        <f>INDEX('Campus Enrol Disaggregation'!$P$5:$AC$65,MATCH(Export_ControlTot!$A62,'Campus Enrol Disaggregation'!$O$5:$O$65,0),MATCH(E$1,'Campus Enrol Disaggregation'!$P$4:$AC$4,0))</f>
        <v>7400</v>
      </c>
      <c r="F62" s="34">
        <f>INDEX('Campus Enrol Disaggregation'!$P$5:$AC$65,MATCH(Export_ControlTot!$A62,'Campus Enrol Disaggregation'!$O$5:$O$65,0),MATCH(F$1,'Campus Enrol Disaggregation'!$P$4:$AC$4,0))</f>
        <v>1850</v>
      </c>
      <c r="G62" s="34">
        <f>INDEX('Campus Enrol Disaggregation'!$P$5:$AC$65,MATCH(Export_ControlTot!$A62,'Campus Enrol Disaggregation'!$O$5:$O$65,0),MATCH(G$1,'Campus Enrol Disaggregation'!$P$4:$AC$4,0))</f>
        <v>6550</v>
      </c>
      <c r="H62" s="34">
        <f>INDEX('Campus Enrol Disaggregation'!$P$5:$AC$65,MATCH(Export_ControlTot!$A62,'Campus Enrol Disaggregation'!$O$5:$O$65,0),MATCH(H$1,'Campus Enrol Disaggregation'!$P$4:$AC$4,0))</f>
        <v>41850</v>
      </c>
      <c r="I62" s="34">
        <f>INDEX('Campus Enrol Disaggregation'!$P$5:$AC$65,MATCH(Export_ControlTot!$A62,'Campus Enrol Disaggregation'!$O$5:$O$65,0),MATCH(I$1,'Campus Enrol Disaggregation'!$P$4:$AC$4,0))</f>
        <v>68000</v>
      </c>
      <c r="J62" s="34">
        <f>INDEX('Campus Enrol Disaggregation'!$P$5:$AC$65,MATCH(Export_ControlTot!$A62,'Campus Enrol Disaggregation'!$O$5:$O$65,0),MATCH(J$1,'Campus Enrol Disaggregation'!$P$4:$AC$4,0))</f>
        <v>2600</v>
      </c>
      <c r="K62" s="34">
        <f>INDEX('Campus Enrol Disaggregation'!$P$5:$AC$65,MATCH(Export_ControlTot!$A62,'Campus Enrol Disaggregation'!$O$5:$O$65,0),MATCH(K$1,'Campus Enrol Disaggregation'!$P$4:$AC$4,0))</f>
        <v>3000</v>
      </c>
      <c r="L62" s="34">
        <f>INDEX('Campus Enrol Disaggregation'!$P$5:$AC$65,MATCH(Export_ControlTot!$A62,'Campus Enrol Disaggregation'!$O$5:$O$65,0),MATCH(L$1,'Campus Enrol Disaggregation'!$P$4:$AC$4,0))</f>
        <v>4300</v>
      </c>
      <c r="M62" s="34">
        <f>INDEX('Campus Enrol Disaggregation'!$P$5:$AC$65,MATCH(Export_ControlTot!$A62,'Campus Enrol Disaggregation'!$O$5:$O$65,0),MATCH(M$1,'Campus Enrol Disaggregation'!$P$4:$AC$4,0))</f>
        <v>32350</v>
      </c>
      <c r="N62" s="34">
        <f>INDEX('Campus Enrol Disaggregation'!$P$5:$AC$65,MATCH(Export_ControlTot!$A62,'Campus Enrol Disaggregation'!$O$5:$O$65,0),MATCH(N$1,'Campus Enrol Disaggregation'!$P$4:$AC$4,0))</f>
        <v>8500</v>
      </c>
      <c r="O62" s="34">
        <f>INDEX('Campus Enrol Disaggregation'!$P$5:$AC$65,MATCH(Export_ControlTot!$A62,'Campus Enrol Disaggregation'!$O$5:$O$65,0),MATCH(O$1,'Campus Enrol Disaggregation'!$P$4:$AC$4,0))</f>
        <v>3000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B27D-58E4-4AAE-9C06-474C8DEF8621}">
  <sheetPr>
    <tabColor rgb="FFFF0000"/>
  </sheetPr>
  <dimension ref="A1:Y15"/>
  <sheetViews>
    <sheetView tabSelected="1" zoomScaleNormal="100" workbookViewId="0">
      <selection activeCell="B17" sqref="B17"/>
    </sheetView>
  </sheetViews>
  <sheetFormatPr defaultColWidth="8.7109375" defaultRowHeight="15" x14ac:dyDescent="0.25"/>
  <cols>
    <col min="1" max="1" width="12.140625" style="7" customWidth="1"/>
    <col min="2" max="24" width="10.7109375" style="7" customWidth="1"/>
    <col min="25" max="25" width="16.28515625" style="7" customWidth="1"/>
    <col min="26" max="16384" width="8.7109375" style="7"/>
  </cols>
  <sheetData>
    <row r="1" spans="1:25" x14ac:dyDescent="0.25">
      <c r="A1" s="101" t="s">
        <v>175</v>
      </c>
      <c r="B1" s="101" t="s">
        <v>16</v>
      </c>
      <c r="C1" s="101" t="s">
        <v>17</v>
      </c>
      <c r="D1" s="101" t="s">
        <v>100</v>
      </c>
      <c r="E1" s="3" t="s">
        <v>153</v>
      </c>
      <c r="F1" s="101" t="s">
        <v>107</v>
      </c>
      <c r="G1" s="101" t="s">
        <v>106</v>
      </c>
      <c r="H1" s="3" t="s">
        <v>154</v>
      </c>
      <c r="I1" s="101" t="s">
        <v>52</v>
      </c>
      <c r="J1" s="101" t="s">
        <v>55</v>
      </c>
      <c r="K1" s="101" t="s">
        <v>53</v>
      </c>
      <c r="L1" s="3" t="s">
        <v>156</v>
      </c>
      <c r="M1" s="101" t="s">
        <v>54</v>
      </c>
      <c r="N1" s="3" t="s">
        <v>157</v>
      </c>
      <c r="O1" s="3" t="s">
        <v>158</v>
      </c>
      <c r="P1" s="3" t="s">
        <v>159</v>
      </c>
      <c r="Q1" s="3" t="s">
        <v>160</v>
      </c>
      <c r="R1" s="3" t="s">
        <v>161</v>
      </c>
      <c r="S1" s="101" t="s">
        <v>15</v>
      </c>
      <c r="T1" s="101" t="s">
        <v>101</v>
      </c>
      <c r="U1" s="3" t="s">
        <v>163</v>
      </c>
      <c r="V1" s="101" t="s">
        <v>121</v>
      </c>
      <c r="W1" s="101" t="s">
        <v>123</v>
      </c>
      <c r="X1" s="101" t="s">
        <v>122</v>
      </c>
      <c r="Y1" s="3" t="s">
        <v>167</v>
      </c>
    </row>
    <row r="2" spans="1:25" s="2" customFormat="1" x14ac:dyDescent="0.25">
      <c r="A2" s="41">
        <v>1</v>
      </c>
      <c r="B2" s="56">
        <f>VLOOKUP(B1,'calc%concurrent'!$A$2:$B$15,2,FALSE)</f>
        <v>0.10050000000000003</v>
      </c>
      <c r="C2" s="56">
        <f>VLOOKUP(C1,'calc%concurrent'!$A$2:$B$15,2,FALSE)</f>
        <v>1.1562500000000031E-2</v>
      </c>
      <c r="D2" s="56">
        <f>VLOOKUP(D1,'calc%concurrent'!$A$2:$B$15,2,FALSE)</f>
        <v>2.6040514489776623E-2</v>
      </c>
      <c r="E2" s="104">
        <f>D2</f>
        <v>2.6040514489776623E-2</v>
      </c>
      <c r="F2" s="56">
        <f>VLOOKUP(F1,'calc%concurrent'!$A$2:$B$15,2,FALSE)</f>
        <v>0.21501653575857793</v>
      </c>
      <c r="G2" s="56">
        <f>VLOOKUP(G1,'calc%concurrent'!$A$2:$B$15,2,FALSE)</f>
        <v>0.30851477449455678</v>
      </c>
      <c r="H2" s="104">
        <f>G2</f>
        <v>0.30851477449455678</v>
      </c>
      <c r="I2" s="56">
        <f>VLOOKUP(I1,'calc%concurrent'!$A$2:$B$15,2,FALSE)</f>
        <v>0.34092450566077115</v>
      </c>
      <c r="J2" s="56">
        <f>VLOOKUP(J1,'calc%concurrent'!$A$2:$B$15,2,FALSE)</f>
        <v>0.34092450566077115</v>
      </c>
      <c r="K2" s="56">
        <f>VLOOKUP(K1,'calc%concurrent'!$A$2:$B$15,2,FALSE)</f>
        <v>0.34092450566077115</v>
      </c>
      <c r="L2" s="104">
        <f>K2</f>
        <v>0.34092450566077115</v>
      </c>
      <c r="M2" s="56">
        <f>VLOOKUP(M1,'calc%concurrent'!$A$2:$B$15,2,FALSE)</f>
        <v>0.34092450566077115</v>
      </c>
      <c r="N2" s="104">
        <f t="shared" ref="N2:R4" si="0">M2</f>
        <v>0.34092450566077115</v>
      </c>
      <c r="O2" s="104">
        <f t="shared" si="0"/>
        <v>0.34092450566077115</v>
      </c>
      <c r="P2" s="104">
        <f t="shared" si="0"/>
        <v>0.34092450566077115</v>
      </c>
      <c r="Q2" s="104">
        <f t="shared" si="0"/>
        <v>0.34092450566077115</v>
      </c>
      <c r="R2" s="104">
        <f t="shared" si="0"/>
        <v>0.34092450566077115</v>
      </c>
      <c r="S2" s="56">
        <f>VLOOKUP(S$1,'calc%concurrent'!$A$2:$B$15,2,FALSE)</f>
        <v>2.6040514489776623E-2</v>
      </c>
      <c r="T2" s="56">
        <f>VLOOKUP(T1,'calc%concurrent'!$A$2:$B$15,2,FALSE)</f>
        <v>0.26992028734364659</v>
      </c>
      <c r="U2" s="104">
        <f>T2</f>
        <v>0.26992028734364659</v>
      </c>
      <c r="V2" s="56">
        <f>VLOOKUP(V1,'calc%concurrent'!$A$2:$B$15,2,FALSE)</f>
        <v>0.26992028734364659</v>
      </c>
      <c r="W2" s="56">
        <f>VLOOKUP(W1,'calc%concurrent'!$A$2:$B$15,2,FALSE)</f>
        <v>0.26992028734364659</v>
      </c>
      <c r="X2" s="56">
        <f>VLOOKUP(X1,'calc%concurrent'!$A$2:$B$15,2,FALSE)</f>
        <v>0.26992028734364659</v>
      </c>
      <c r="Y2" s="55" t="s">
        <v>168</v>
      </c>
    </row>
    <row r="3" spans="1:25" s="2" customFormat="1" x14ac:dyDescent="0.25">
      <c r="A3" s="41">
        <v>2</v>
      </c>
      <c r="B3" s="56">
        <f>VLOOKUP(B$1,'FTE Rate Calcs'!$A$2:$B$15,2,FALSE)</f>
        <v>1.1790281329923273</v>
      </c>
      <c r="C3" s="56">
        <f>VLOOKUP(C$1,'FTE Rate Calcs'!$A$2:$B$15,2,FALSE)</f>
        <v>1.0984236831987697</v>
      </c>
      <c r="D3" s="56">
        <f>VLOOKUP(D$1,'FTE Rate Calcs'!$A$2:$B$15,2,FALSE)</f>
        <v>1.0252202452927968</v>
      </c>
      <c r="E3" s="104">
        <f t="shared" ref="E3:E4" si="1">D3</f>
        <v>1.0252202452927968</v>
      </c>
      <c r="F3" s="56">
        <f>VLOOKUP(F$1,'FTE Rate Calcs'!$A$2:$B$15,2,FALSE)</f>
        <v>1.0375684282085227</v>
      </c>
      <c r="G3" s="56">
        <f>VLOOKUP(G$1,'FTE Rate Calcs'!$A$2:$B$15,2,FALSE)</f>
        <v>1.0375684282085227</v>
      </c>
      <c r="H3" s="104">
        <f t="shared" ref="H3:H4" si="2">G3</f>
        <v>1.0375684282085227</v>
      </c>
      <c r="I3" s="56">
        <f>VLOOKUP(I$1,'FTE Rate Calcs'!$A$2:$B$15,2,FALSE)</f>
        <v>1.2081372400182178</v>
      </c>
      <c r="J3" s="56">
        <f>VLOOKUP(J$1,'FTE Rate Calcs'!$A$2:$B$15,2,FALSE)</f>
        <v>1.2081372400182178</v>
      </c>
      <c r="K3" s="56">
        <f>VLOOKUP(K$1,'FTE Rate Calcs'!$A$2:$B$15,2,FALSE)</f>
        <v>1.2081372400182178</v>
      </c>
      <c r="L3" s="104">
        <f t="shared" ref="L3:L4" si="3">K3</f>
        <v>1.2081372400182178</v>
      </c>
      <c r="M3" s="56">
        <f>VLOOKUP(M$1,'FTE Rate Calcs'!$A$2:$B$15,2,FALSE)</f>
        <v>1.2081372400182178</v>
      </c>
      <c r="N3" s="104">
        <f t="shared" si="0"/>
        <v>1.2081372400182178</v>
      </c>
      <c r="O3" s="104">
        <f t="shared" si="0"/>
        <v>1.2081372400182178</v>
      </c>
      <c r="P3" s="104">
        <f t="shared" si="0"/>
        <v>1.2081372400182178</v>
      </c>
      <c r="Q3" s="104">
        <f t="shared" si="0"/>
        <v>1.2081372400182178</v>
      </c>
      <c r="R3" s="104">
        <f t="shared" si="0"/>
        <v>1.2081372400182178</v>
      </c>
      <c r="S3" s="56">
        <f>VLOOKUP(S$1,'FTE Rate Calcs'!$A$2:$B$15,2,FALSE)</f>
        <v>1.0252202452927968</v>
      </c>
      <c r="T3" s="56">
        <f>VLOOKUP(T$1,'FTE Rate Calcs'!$A$2:$B$15,2,FALSE)</f>
        <v>1.0967771874057404</v>
      </c>
      <c r="U3" s="104">
        <f t="shared" ref="U3:U4" si="4">T3</f>
        <v>1.0967771874057404</v>
      </c>
      <c r="V3" s="56">
        <f>VLOOKUP(V$1,'FTE Rate Calcs'!$A$2:$B$15,2,FALSE)</f>
        <v>1.0967771874057404</v>
      </c>
      <c r="W3" s="56">
        <f>VLOOKUP(W$1,'FTE Rate Calcs'!$A$2:$B$15,2,FALSE)</f>
        <v>1.0967771874057404</v>
      </c>
      <c r="X3" s="56">
        <f>VLOOKUP(X$1,'FTE Rate Calcs'!$A$2:$B$15,2,FALSE)</f>
        <v>1.0967771874057404</v>
      </c>
      <c r="Y3" s="55" t="s">
        <v>169</v>
      </c>
    </row>
    <row r="4" spans="1:25" s="2" customFormat="1" x14ac:dyDescent="0.25">
      <c r="A4" s="41">
        <v>3</v>
      </c>
      <c r="B4" s="56">
        <f>VLOOKUP(B$1,'HBC Rates'!$A$2:$B$15,2,FALSE)</f>
        <v>0.93010000000000004</v>
      </c>
      <c r="C4" s="56">
        <f>VLOOKUP(C$1,'HBC Rates'!$A$2:$B$15,2,FALSE)</f>
        <v>0.93010000000000004</v>
      </c>
      <c r="D4" s="56">
        <f>VLOOKUP(D$1,'HBC Rates'!$A$2:$B$15,2,FALSE)</f>
        <v>0.93010000000000004</v>
      </c>
      <c r="E4" s="104">
        <f t="shared" si="1"/>
        <v>0.93010000000000004</v>
      </c>
      <c r="F4" s="56">
        <f>VLOOKUP(F$1,'HBC Rates'!$A$2:$B$15,2,FALSE)</f>
        <v>0.83</v>
      </c>
      <c r="G4" s="56">
        <f>VLOOKUP(G$1,'HBC Rates'!$A$2:$B$15,2,FALSE)</f>
        <v>0.67700000000000005</v>
      </c>
      <c r="H4" s="104">
        <f t="shared" si="2"/>
        <v>0.67700000000000005</v>
      </c>
      <c r="I4" s="56">
        <f>VLOOKUP(I$1,'HBC Rates'!$A$2:$B$15,2,FALSE)</f>
        <v>0.62190000000000001</v>
      </c>
      <c r="J4" s="56">
        <f>VLOOKUP(J$1,'HBC Rates'!$A$2:$B$15,2,FALSE)</f>
        <v>0.64219999999999999</v>
      </c>
      <c r="K4" s="56">
        <f>VLOOKUP(K$1,'HBC Rates'!$A$2:$B$15,2,FALSE)</f>
        <v>0.56869999999999998</v>
      </c>
      <c r="L4" s="104">
        <f t="shared" si="3"/>
        <v>0.56869999999999998</v>
      </c>
      <c r="M4" s="56">
        <f>VLOOKUP(M$1,'HBC Rates'!$A$2:$B$15,2,FALSE)</f>
        <v>0.61580000000000001</v>
      </c>
      <c r="N4" s="104">
        <f t="shared" si="0"/>
        <v>0.61580000000000001</v>
      </c>
      <c r="O4" s="104">
        <f t="shared" si="0"/>
        <v>0.61580000000000001</v>
      </c>
      <c r="P4" s="104">
        <f t="shared" si="0"/>
        <v>0.61580000000000001</v>
      </c>
      <c r="Q4" s="104">
        <f t="shared" si="0"/>
        <v>0.61580000000000001</v>
      </c>
      <c r="R4" s="104">
        <f t="shared" si="0"/>
        <v>0.61580000000000001</v>
      </c>
      <c r="S4" s="56">
        <f>VLOOKUP(S$1,'HBC Rates'!$A$2:$B$15,2,FALSE)</f>
        <v>0.93010000000000004</v>
      </c>
      <c r="T4" s="56">
        <f>VLOOKUP(T$1,'HBC Rates'!$A$2:$B$15,2,FALSE)</f>
        <v>0.94520000000000004</v>
      </c>
      <c r="U4" s="104">
        <f t="shared" si="4"/>
        <v>0.94520000000000004</v>
      </c>
      <c r="V4" s="56">
        <f>VLOOKUP(V$1,'HBC Rates'!$A$2:$B$15,2,FALSE)</f>
        <v>0.94520000000000004</v>
      </c>
      <c r="W4" s="56">
        <f>VLOOKUP(W$1,'HBC Rates'!$A$2:$B$15,2,FALSE)</f>
        <v>0.94520000000000004</v>
      </c>
      <c r="X4" s="56">
        <f>VLOOKUP(X$1,'HBC Rates'!$A$2:$B$15,2,FALSE)</f>
        <v>0.94520000000000004</v>
      </c>
      <c r="Y4" s="55" t="s">
        <v>170</v>
      </c>
    </row>
    <row r="6" spans="1:25" x14ac:dyDescent="0.25">
      <c r="A6" s="102" t="s">
        <v>178</v>
      </c>
    </row>
    <row r="7" spans="1:25" x14ac:dyDescent="0.25">
      <c r="A7" s="103" t="s">
        <v>179</v>
      </c>
    </row>
    <row r="8" spans="1:25" x14ac:dyDescent="0.25">
      <c r="A8" s="103" t="s">
        <v>180</v>
      </c>
    </row>
    <row r="15" spans="1:25" x14ac:dyDescent="0.25">
      <c r="C15" s="57"/>
      <c r="N15" s="57"/>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A21E-A9E9-47E9-BA9C-CDDAED2FD8B2}">
  <dimension ref="O1:AQ65"/>
  <sheetViews>
    <sheetView zoomScale="130" zoomScaleNormal="130" workbookViewId="0"/>
  </sheetViews>
  <sheetFormatPr defaultColWidth="9" defaultRowHeight="15" x14ac:dyDescent="0.25"/>
  <cols>
    <col min="1" max="12" width="9" style="2"/>
    <col min="13" max="13" width="9" style="2" customWidth="1"/>
    <col min="14" max="14" width="9" style="2"/>
    <col min="15" max="29" width="12.140625" style="7" customWidth="1"/>
    <col min="30" max="35" width="9" style="2"/>
    <col min="36" max="43" width="9" style="7"/>
    <col min="44" max="16384" width="9" style="2"/>
  </cols>
  <sheetData>
    <row r="1" spans="15:30" x14ac:dyDescent="0.25">
      <c r="O1" s="36" t="s">
        <v>111</v>
      </c>
    </row>
    <row r="2" spans="15:30" x14ac:dyDescent="0.25">
      <c r="O2" s="7" t="s">
        <v>109</v>
      </c>
      <c r="P2" s="82" t="str">
        <f>IFERROR((FIND("_",P4)),P4)</f>
        <v>BYU</v>
      </c>
      <c r="Q2" s="82" t="str">
        <f>IFERROR((FIND("_",Q4)),Q4)</f>
        <v>ENSIGN</v>
      </c>
      <c r="R2" s="82" t="str">
        <f>IF(FIND("_",R4),LEFT(R4,FIND("_",R4)-1),R4)</f>
        <v>SLCC</v>
      </c>
      <c r="S2" s="82" t="str">
        <f>IF(FIND("_",S4),LEFT(S4,FIND("_",S4)-1),S4)</f>
        <v>SLCC</v>
      </c>
      <c r="T2" s="82" t="str">
        <f>IF(FIND("_",T4),LEFT(T4,FIND("_",T4)-1),T4)</f>
        <v>SLCC</v>
      </c>
      <c r="U2" s="82" t="str">
        <f>IF(FIND("_",U4),LEFT(U4,FIND("_",U4)-1),U4)</f>
        <v>SLCC</v>
      </c>
      <c r="V2" s="82" t="str">
        <f>IF(FIND("_",V4),LEFT(V4,FIND("_",V4)-1),V4)</f>
        <v>UOFU</v>
      </c>
      <c r="W2" s="38"/>
      <c r="X2" s="38"/>
      <c r="Y2" s="38"/>
      <c r="Z2" s="38"/>
      <c r="AA2" s="82" t="str">
        <f>IF(FIND("_",AA4),LEFT(AA4,FIND("_",AA4)-1),AA4)</f>
        <v>WSU</v>
      </c>
      <c r="AB2" s="82" t="str">
        <f>IF(FIND("_",AB4),LEFT(AB4,FIND("_",AB4)-1),AB4)</f>
        <v>WSU</v>
      </c>
      <c r="AC2" s="82" t="str">
        <f>IFERROR((FIND("_",AC4)),AC4)</f>
        <v>WESTMIN</v>
      </c>
      <c r="AD2" s="82"/>
    </row>
    <row r="3" spans="15:30" x14ac:dyDescent="0.25">
      <c r="O3" s="7" t="s">
        <v>110</v>
      </c>
      <c r="P3" s="35">
        <v>1</v>
      </c>
      <c r="Q3" s="35">
        <v>1</v>
      </c>
      <c r="R3" s="83">
        <f>'USHE 2020 Campus Totals'!D3</f>
        <v>0.52792553191489366</v>
      </c>
      <c r="S3" s="83">
        <f>'USHE 2020 Campus Totals'!D6</f>
        <v>0.18466312056737588</v>
      </c>
      <c r="T3" s="83">
        <f>'USHE 2020 Campus Totals'!D7</f>
        <v>4.6010638297872337E-2</v>
      </c>
      <c r="U3" s="83">
        <f>'USHE 2020 Campus Totals'!D10</f>
        <v>0.16374113475177304</v>
      </c>
      <c r="V3" s="83">
        <f>'USHE 2020 Campus Totals'!D19</f>
        <v>0.97352412553573897</v>
      </c>
      <c r="W3" s="84"/>
      <c r="X3" s="84"/>
      <c r="Y3" s="84"/>
      <c r="Z3" s="84"/>
      <c r="AA3" s="83">
        <f>'USHE 2020 Campus Totals'!D23</f>
        <v>0.7519547205041428</v>
      </c>
      <c r="AB3" s="83">
        <f>'USHE 2020 Campus Totals'!D26</f>
        <v>0.19768934531450577</v>
      </c>
      <c r="AC3" s="35">
        <v>1</v>
      </c>
      <c r="AD3" s="83"/>
    </row>
    <row r="4" spans="15:30" x14ac:dyDescent="0.25">
      <c r="O4" s="3" t="s">
        <v>5</v>
      </c>
      <c r="P4" s="3" t="s">
        <v>15</v>
      </c>
      <c r="Q4" s="3" t="s">
        <v>16</v>
      </c>
      <c r="R4" s="3" t="s">
        <v>52</v>
      </c>
      <c r="S4" s="3" t="s">
        <v>53</v>
      </c>
      <c r="T4" s="3" t="s">
        <v>54</v>
      </c>
      <c r="U4" s="3" t="s">
        <v>55</v>
      </c>
      <c r="V4" s="3" t="s">
        <v>100</v>
      </c>
      <c r="W4" s="3" t="s">
        <v>101</v>
      </c>
      <c r="X4" s="3" t="s">
        <v>121</v>
      </c>
      <c r="Y4" s="3" t="s">
        <v>122</v>
      </c>
      <c r="Z4" s="3" t="s">
        <v>123</v>
      </c>
      <c r="AA4" s="3" t="s">
        <v>107</v>
      </c>
      <c r="AB4" s="3" t="s">
        <v>106</v>
      </c>
      <c r="AC4" s="3" t="s">
        <v>17</v>
      </c>
      <c r="AD4" s="59" t="s">
        <v>92</v>
      </c>
    </row>
    <row r="5" spans="15:30" x14ac:dyDescent="0.25">
      <c r="O5" s="3">
        <v>1990</v>
      </c>
      <c r="P5" s="34">
        <f>MROUND(P$3*INDEX('College Enrollment Projections'!$AJ$2:$AP$62,MATCH('Campus Enrol Disaggregation'!$O5,'College Enrollment Projections'!$AI$2:$AI$62,0),MATCH('Campus Enrol Disaggregation'!P$2,'College Enrollment Projections'!$AJ$1:$AP$1,0)),50)</f>
        <v>30450</v>
      </c>
      <c r="Q5" s="34">
        <f>MROUND(Q$3*INDEX('College Enrollment Projections'!$AJ$2:$AP$62,MATCH('Campus Enrol Disaggregation'!$O5,'College Enrollment Projections'!$AI$2:$AI$62,0),MATCH('Campus Enrol Disaggregation'!Q$2,'College Enrollment Projections'!$AJ$1:$AP$1,0)),50)</f>
        <v>0</v>
      </c>
      <c r="R5" s="34">
        <f>MROUND(R$3*INDEX('College Enrollment Projections'!$AJ$2:$AP$62,MATCH('Campus Enrol Disaggregation'!$O5,'College Enrollment Projections'!$AI$2:$AI$62,0),MATCH('Campus Enrol Disaggregation'!R$2,'College Enrollment Projections'!$AJ$1:$AP$1,0)),50)</f>
        <v>7050</v>
      </c>
      <c r="S5" s="34">
        <f>MROUND(S$3*INDEX('College Enrollment Projections'!$AJ$2:$AP$62,MATCH('Campus Enrol Disaggregation'!$O5,'College Enrollment Projections'!$AI$2:$AI$62,0),MATCH('Campus Enrol Disaggregation'!S$2,'College Enrollment Projections'!$AJ$1:$AP$1,0)),50)</f>
        <v>2450</v>
      </c>
      <c r="T5" s="34">
        <f>MROUND(T$3*INDEX('College Enrollment Projections'!$AJ$2:$AP$62,MATCH('Campus Enrol Disaggregation'!$O5,'College Enrollment Projections'!$AI$2:$AI$62,0),MATCH('Campus Enrol Disaggregation'!T$2,'College Enrollment Projections'!$AJ$1:$AP$1,0)),50)</f>
        <v>600</v>
      </c>
      <c r="U5" s="34">
        <f>MROUND(U$3*INDEX('College Enrollment Projections'!$AJ$2:$AP$62,MATCH('Campus Enrol Disaggregation'!$O5,'College Enrollment Projections'!$AI$2:$AI$62,0),MATCH('Campus Enrol Disaggregation'!U$2,'College Enrollment Projections'!$AJ$1:$AP$1,0)),50)</f>
        <v>2200</v>
      </c>
      <c r="V5" s="34">
        <f>MROUND(V$3*INDEX('College Enrollment Projections'!$AJ$2:$AP$62,MATCH('Campus Enrol Disaggregation'!$O5,'College Enrollment Projections'!$AI$2:$AI$62,0),MATCH('Campus Enrol Disaggregation'!V$2,'College Enrollment Projections'!$AJ$1:$AP$1,0)),50)</f>
        <v>23650</v>
      </c>
      <c r="W5" s="38">
        <f>MROUND(INDEX('MAG College Enrollment Forecast'!$B$4:$H$64,MATCH($O5,'MAG College Enrollment Forecast'!$A$4:$A$64,0),MATCH(W$4,'MAG College Enrollment Forecast'!$B$1:$H$1,0)),50)</f>
        <v>7900</v>
      </c>
      <c r="X5" s="38">
        <f>MROUND(INDEX('MAG College Enrollment Forecast'!$B$4:$H$64,MATCH($O5,'MAG College Enrollment Forecast'!$A$4:$A$64,0),MATCH(X$4,'MAG College Enrollment Forecast'!$B$1:$H$1,0)),50)</f>
        <v>0</v>
      </c>
      <c r="Y5" s="38">
        <f>MROUND(INDEX('MAG College Enrollment Forecast'!$B$4:$H$64,MATCH($O5,'MAG College Enrollment Forecast'!$A$4:$A$64,0),MATCH(Y$4,'MAG College Enrollment Forecast'!$B$1:$H$1,0)),50)</f>
        <v>0</v>
      </c>
      <c r="Z5" s="38">
        <f>MROUND(INDEX('MAG College Enrollment Forecast'!$B$4:$H$64,MATCH($O5,'MAG College Enrollment Forecast'!$A$4:$A$64,0),MATCH(Z$4,'MAG College Enrollment Forecast'!$B$1:$H$1,0)),50)</f>
        <v>0</v>
      </c>
      <c r="AA5" s="33">
        <f>MROUND(AA$3*INDEX('College Enrollment Projections'!$AJ$2:$AP$62,MATCH('Campus Enrol Disaggregation'!$O5,'College Enrollment Projections'!$AI$2:$AI$62,0),MATCH('Campus Enrol Disaggregation'!AA$2,'College Enrollment Projections'!$AJ$1:$AP$1,0)),50)</f>
        <v>10100</v>
      </c>
      <c r="AB5" s="33">
        <f>MROUND(AB$3*INDEX('College Enrollment Projections'!$AJ$2:$AP$62,MATCH('Campus Enrol Disaggregation'!$O5,'College Enrollment Projections'!$AI$2:$AI$62,0),MATCH('Campus Enrol Disaggregation'!AB$2,'College Enrollment Projections'!$AJ$1:$AP$1,0)),50)</f>
        <v>2650</v>
      </c>
      <c r="AC5" s="33">
        <f>MROUND(AC$3*INDEX('College Enrollment Projections'!$AJ$2:$AP$62,MATCH('Campus Enrol Disaggregation'!$O5,'College Enrollment Projections'!$AI$2:$AI$62,0),MATCH('Campus Enrol Disaggregation'!AC$2,'College Enrollment Projections'!$AJ$1:$AP$1,0)),50)</f>
        <v>0</v>
      </c>
      <c r="AD5" s="26">
        <f>SUM(P5:AC5)</f>
        <v>87050</v>
      </c>
    </row>
    <row r="6" spans="15:30" x14ac:dyDescent="0.25">
      <c r="O6" s="3">
        <v>1991</v>
      </c>
      <c r="P6" s="34">
        <f>MROUND(P$3*INDEX('College Enrollment Projections'!$AJ$2:$AP$62,MATCH('Campus Enrol Disaggregation'!$O6,'College Enrollment Projections'!$AI$2:$AI$62,0),MATCH('Campus Enrol Disaggregation'!P$2,'College Enrollment Projections'!$AJ$1:$AP$1,0)),50)</f>
        <v>31100</v>
      </c>
      <c r="Q6" s="34">
        <f>MROUND(Q$3*INDEX('College Enrollment Projections'!$AJ$2:$AP$62,MATCH('Campus Enrol Disaggregation'!$O6,'College Enrollment Projections'!$AI$2:$AI$62,0),MATCH('Campus Enrol Disaggregation'!Q$2,'College Enrollment Projections'!$AJ$1:$AP$1,0)),50)</f>
        <v>0</v>
      </c>
      <c r="R6" s="34">
        <f>MROUND(R$3*INDEX('College Enrollment Projections'!$AJ$2:$AP$62,MATCH('Campus Enrol Disaggregation'!$O6,'College Enrollment Projections'!$AI$2:$AI$62,0),MATCH('Campus Enrol Disaggregation'!R$2,'College Enrollment Projections'!$AJ$1:$AP$1,0)),50)</f>
        <v>8450</v>
      </c>
      <c r="S6" s="34">
        <f>MROUND(S$3*INDEX('College Enrollment Projections'!$AJ$2:$AP$62,MATCH('Campus Enrol Disaggregation'!$O6,'College Enrollment Projections'!$AI$2:$AI$62,0),MATCH('Campus Enrol Disaggregation'!S$2,'College Enrollment Projections'!$AJ$1:$AP$1,0)),50)</f>
        <v>2950</v>
      </c>
      <c r="T6" s="34">
        <f>MROUND(T$3*INDEX('College Enrollment Projections'!$AJ$2:$AP$62,MATCH('Campus Enrol Disaggregation'!$O6,'College Enrollment Projections'!$AI$2:$AI$62,0),MATCH('Campus Enrol Disaggregation'!T$2,'College Enrollment Projections'!$AJ$1:$AP$1,0)),50)</f>
        <v>750</v>
      </c>
      <c r="U6" s="34">
        <f>MROUND(U$3*INDEX('College Enrollment Projections'!$AJ$2:$AP$62,MATCH('Campus Enrol Disaggregation'!$O6,'College Enrollment Projections'!$AI$2:$AI$62,0),MATCH('Campus Enrol Disaggregation'!U$2,'College Enrollment Projections'!$AJ$1:$AP$1,0)),50)</f>
        <v>2600</v>
      </c>
      <c r="V6" s="34">
        <f>MROUND(V$3*INDEX('College Enrollment Projections'!$AJ$2:$AP$62,MATCH('Campus Enrol Disaggregation'!$O6,'College Enrollment Projections'!$AI$2:$AI$62,0),MATCH('Campus Enrol Disaggregation'!V$2,'College Enrollment Projections'!$AJ$1:$AP$1,0)),50)</f>
        <v>24900</v>
      </c>
      <c r="W6" s="38">
        <f>MROUND(INDEX('MAG College Enrollment Forecast'!$B$4:$H$64,MATCH($O6,'MAG College Enrollment Forecast'!$A$4:$A$64,0),MATCH(W$4,'MAG College Enrollment Forecast'!$B$1:$H$1,0)),50)</f>
        <v>8800</v>
      </c>
      <c r="X6" s="38">
        <f>MROUND(INDEX('MAG College Enrollment Forecast'!$B$4:$H$64,MATCH($O6,'MAG College Enrollment Forecast'!$A$4:$A$64,0),MATCH(X$4,'MAG College Enrollment Forecast'!$B$1:$H$1,0)),50)</f>
        <v>0</v>
      </c>
      <c r="Y6" s="38">
        <f>MROUND(INDEX('MAG College Enrollment Forecast'!$B$4:$H$64,MATCH($O6,'MAG College Enrollment Forecast'!$A$4:$A$64,0),MATCH(Y$4,'MAG College Enrollment Forecast'!$B$1:$H$1,0)),50)</f>
        <v>0</v>
      </c>
      <c r="Z6" s="38">
        <f>MROUND(INDEX('MAG College Enrollment Forecast'!$B$4:$H$64,MATCH($O6,'MAG College Enrollment Forecast'!$A$4:$A$64,0),MATCH(Z$4,'MAG College Enrollment Forecast'!$B$1:$H$1,0)),50)</f>
        <v>0</v>
      </c>
      <c r="AA6" s="33">
        <f>MROUND(AA$3*INDEX('College Enrollment Projections'!$AJ$2:$AP$62,MATCH('Campus Enrol Disaggregation'!$O6,'College Enrollment Projections'!$AI$2:$AI$62,0),MATCH('Campus Enrol Disaggregation'!AA$2,'College Enrollment Projections'!$AJ$1:$AP$1,0)),50)</f>
        <v>10900</v>
      </c>
      <c r="AB6" s="33">
        <f>MROUND(AB$3*INDEX('College Enrollment Projections'!$AJ$2:$AP$62,MATCH('Campus Enrol Disaggregation'!$O6,'College Enrollment Projections'!$AI$2:$AI$62,0),MATCH('Campus Enrol Disaggregation'!AB$2,'College Enrollment Projections'!$AJ$1:$AP$1,0)),50)</f>
        <v>2850</v>
      </c>
      <c r="AC6" s="33">
        <f>MROUND(AC$3*INDEX('College Enrollment Projections'!$AJ$2:$AP$62,MATCH('Campus Enrol Disaggregation'!$O6,'College Enrollment Projections'!$AI$2:$AI$62,0),MATCH('Campus Enrol Disaggregation'!AC$2,'College Enrollment Projections'!$AJ$1:$AP$1,0)),50)</f>
        <v>0</v>
      </c>
      <c r="AD6" s="26">
        <f t="shared" ref="AD6:AD65" si="0">SUM(P6:AC6)</f>
        <v>93300</v>
      </c>
    </row>
    <row r="7" spans="15:30" x14ac:dyDescent="0.25">
      <c r="O7" s="3">
        <v>1992</v>
      </c>
      <c r="P7" s="34">
        <f>MROUND(P$3*INDEX('College Enrollment Projections'!$AJ$2:$AP$62,MATCH('Campus Enrol Disaggregation'!$O7,'College Enrollment Projections'!$AI$2:$AI$62,0),MATCH('Campus Enrol Disaggregation'!P$2,'College Enrollment Projections'!$AJ$1:$AP$1,0)),50)</f>
        <v>31100</v>
      </c>
      <c r="Q7" s="34">
        <f>MROUND(Q$3*INDEX('College Enrollment Projections'!$AJ$2:$AP$62,MATCH('Campus Enrol Disaggregation'!$O7,'College Enrollment Projections'!$AI$2:$AI$62,0),MATCH('Campus Enrol Disaggregation'!Q$2,'College Enrollment Projections'!$AJ$1:$AP$1,0)),50)</f>
        <v>0</v>
      </c>
      <c r="R7" s="34">
        <f>MROUND(R$3*INDEX('College Enrollment Projections'!$AJ$2:$AP$62,MATCH('Campus Enrol Disaggregation'!$O7,'College Enrollment Projections'!$AI$2:$AI$62,0),MATCH('Campus Enrol Disaggregation'!R$2,'College Enrollment Projections'!$AJ$1:$AP$1,0)),50)</f>
        <v>9400</v>
      </c>
      <c r="S7" s="34">
        <f>MROUND(S$3*INDEX('College Enrollment Projections'!$AJ$2:$AP$62,MATCH('Campus Enrol Disaggregation'!$O7,'College Enrollment Projections'!$AI$2:$AI$62,0),MATCH('Campus Enrol Disaggregation'!S$2,'College Enrollment Projections'!$AJ$1:$AP$1,0)),50)</f>
        <v>3300</v>
      </c>
      <c r="T7" s="34">
        <f>MROUND(T$3*INDEX('College Enrollment Projections'!$AJ$2:$AP$62,MATCH('Campus Enrol Disaggregation'!$O7,'College Enrollment Projections'!$AI$2:$AI$62,0),MATCH('Campus Enrol Disaggregation'!T$2,'College Enrollment Projections'!$AJ$1:$AP$1,0)),50)</f>
        <v>800</v>
      </c>
      <c r="U7" s="34">
        <f>MROUND(U$3*INDEX('College Enrollment Projections'!$AJ$2:$AP$62,MATCH('Campus Enrol Disaggregation'!$O7,'College Enrollment Projections'!$AI$2:$AI$62,0),MATCH('Campus Enrol Disaggregation'!U$2,'College Enrollment Projections'!$AJ$1:$AP$1,0)),50)</f>
        <v>2900</v>
      </c>
      <c r="V7" s="34">
        <f>MROUND(V$3*INDEX('College Enrollment Projections'!$AJ$2:$AP$62,MATCH('Campus Enrol Disaggregation'!$O7,'College Enrollment Projections'!$AI$2:$AI$62,0),MATCH('Campus Enrol Disaggregation'!V$2,'College Enrollment Projections'!$AJ$1:$AP$1,0)),50)</f>
        <v>25200</v>
      </c>
      <c r="W7" s="38">
        <f>MROUND(INDEX('MAG College Enrollment Forecast'!$B$4:$H$64,MATCH($O7,'MAG College Enrollment Forecast'!$A$4:$A$64,0),MATCH(W$4,'MAG College Enrollment Forecast'!$B$1:$H$1,0)),50)</f>
        <v>9600</v>
      </c>
      <c r="X7" s="38">
        <f>MROUND(INDEX('MAG College Enrollment Forecast'!$B$4:$H$64,MATCH($O7,'MAG College Enrollment Forecast'!$A$4:$A$64,0),MATCH(X$4,'MAG College Enrollment Forecast'!$B$1:$H$1,0)),50)</f>
        <v>0</v>
      </c>
      <c r="Y7" s="38">
        <f>MROUND(INDEX('MAG College Enrollment Forecast'!$B$4:$H$64,MATCH($O7,'MAG College Enrollment Forecast'!$A$4:$A$64,0),MATCH(Y$4,'MAG College Enrollment Forecast'!$B$1:$H$1,0)),50)</f>
        <v>0</v>
      </c>
      <c r="Z7" s="38">
        <f>MROUND(INDEX('MAG College Enrollment Forecast'!$B$4:$H$64,MATCH($O7,'MAG College Enrollment Forecast'!$A$4:$A$64,0),MATCH(Z$4,'MAG College Enrollment Forecast'!$B$1:$H$1,0)),50)</f>
        <v>0</v>
      </c>
      <c r="AA7" s="33">
        <f>MROUND(AA$3*INDEX('College Enrollment Projections'!$AJ$2:$AP$62,MATCH('Campus Enrol Disaggregation'!$O7,'College Enrollment Projections'!$AI$2:$AI$62,0),MATCH('Campus Enrol Disaggregation'!AA$2,'College Enrollment Projections'!$AJ$1:$AP$1,0)),50)</f>
        <v>11250</v>
      </c>
      <c r="AB7" s="33">
        <f>MROUND(AB$3*INDEX('College Enrollment Projections'!$AJ$2:$AP$62,MATCH('Campus Enrol Disaggregation'!$O7,'College Enrollment Projections'!$AI$2:$AI$62,0),MATCH('Campus Enrol Disaggregation'!AB$2,'College Enrollment Projections'!$AJ$1:$AP$1,0)),50)</f>
        <v>2950</v>
      </c>
      <c r="AC7" s="33">
        <f>MROUND(AC$3*INDEX('College Enrollment Projections'!$AJ$2:$AP$62,MATCH('Campus Enrol Disaggregation'!$O7,'College Enrollment Projections'!$AI$2:$AI$62,0),MATCH('Campus Enrol Disaggregation'!AC$2,'College Enrollment Projections'!$AJ$1:$AP$1,0)),50)</f>
        <v>0</v>
      </c>
      <c r="AD7" s="26">
        <f t="shared" si="0"/>
        <v>96500</v>
      </c>
    </row>
    <row r="8" spans="15:30" x14ac:dyDescent="0.25">
      <c r="O8" s="3">
        <v>1993</v>
      </c>
      <c r="P8" s="34">
        <f>MROUND(P$3*INDEX('College Enrollment Projections'!$AJ$2:$AP$62,MATCH('Campus Enrol Disaggregation'!$O8,'College Enrollment Projections'!$AI$2:$AI$62,0),MATCH('Campus Enrol Disaggregation'!P$2,'College Enrollment Projections'!$AJ$1:$AP$1,0)),50)</f>
        <v>30550</v>
      </c>
      <c r="Q8" s="34">
        <f>MROUND(Q$3*INDEX('College Enrollment Projections'!$AJ$2:$AP$62,MATCH('Campus Enrol Disaggregation'!$O8,'College Enrollment Projections'!$AI$2:$AI$62,0),MATCH('Campus Enrol Disaggregation'!Q$2,'College Enrollment Projections'!$AJ$1:$AP$1,0)),50)</f>
        <v>0</v>
      </c>
      <c r="R8" s="34">
        <f>MROUND(R$3*INDEX('College Enrollment Projections'!$AJ$2:$AP$62,MATCH('Campus Enrol Disaggregation'!$O8,'College Enrollment Projections'!$AI$2:$AI$62,0),MATCH('Campus Enrol Disaggregation'!R$2,'College Enrollment Projections'!$AJ$1:$AP$1,0)),50)</f>
        <v>9650</v>
      </c>
      <c r="S8" s="34">
        <f>MROUND(S$3*INDEX('College Enrollment Projections'!$AJ$2:$AP$62,MATCH('Campus Enrol Disaggregation'!$O8,'College Enrollment Projections'!$AI$2:$AI$62,0),MATCH('Campus Enrol Disaggregation'!S$2,'College Enrollment Projections'!$AJ$1:$AP$1,0)),50)</f>
        <v>3400</v>
      </c>
      <c r="T8" s="34">
        <f>MROUND(T$3*INDEX('College Enrollment Projections'!$AJ$2:$AP$62,MATCH('Campus Enrol Disaggregation'!$O8,'College Enrollment Projections'!$AI$2:$AI$62,0),MATCH('Campus Enrol Disaggregation'!T$2,'College Enrollment Projections'!$AJ$1:$AP$1,0)),50)</f>
        <v>850</v>
      </c>
      <c r="U8" s="34">
        <f>MROUND(U$3*INDEX('College Enrollment Projections'!$AJ$2:$AP$62,MATCH('Campus Enrol Disaggregation'!$O8,'College Enrollment Projections'!$AI$2:$AI$62,0),MATCH('Campus Enrol Disaggregation'!U$2,'College Enrollment Projections'!$AJ$1:$AP$1,0)),50)</f>
        <v>3000</v>
      </c>
      <c r="V8" s="34">
        <f>MROUND(V$3*INDEX('College Enrollment Projections'!$AJ$2:$AP$62,MATCH('Campus Enrol Disaggregation'!$O8,'College Enrollment Projections'!$AI$2:$AI$62,0),MATCH('Campus Enrol Disaggregation'!V$2,'College Enrollment Projections'!$AJ$1:$AP$1,0)),50)</f>
        <v>25300</v>
      </c>
      <c r="W8" s="38">
        <f>MROUND(INDEX('MAG College Enrollment Forecast'!$B$4:$H$64,MATCH($O8,'MAG College Enrollment Forecast'!$A$4:$A$64,0),MATCH(W$4,'MAG College Enrollment Forecast'!$B$1:$H$1,0)),50)</f>
        <v>10500</v>
      </c>
      <c r="X8" s="38">
        <f>MROUND(INDEX('MAG College Enrollment Forecast'!$B$4:$H$64,MATCH($O8,'MAG College Enrollment Forecast'!$A$4:$A$64,0),MATCH(X$4,'MAG College Enrollment Forecast'!$B$1:$H$1,0)),50)</f>
        <v>0</v>
      </c>
      <c r="Y8" s="38">
        <f>MROUND(INDEX('MAG College Enrollment Forecast'!$B$4:$H$64,MATCH($O8,'MAG College Enrollment Forecast'!$A$4:$A$64,0),MATCH(Y$4,'MAG College Enrollment Forecast'!$B$1:$H$1,0)),50)</f>
        <v>0</v>
      </c>
      <c r="Z8" s="38">
        <f>MROUND(INDEX('MAG College Enrollment Forecast'!$B$4:$H$64,MATCH($O8,'MAG College Enrollment Forecast'!$A$4:$A$64,0),MATCH(Z$4,'MAG College Enrollment Forecast'!$B$1:$H$1,0)),50)</f>
        <v>0</v>
      </c>
      <c r="AA8" s="33">
        <f>MROUND(AA$3*INDEX('College Enrollment Projections'!$AJ$2:$AP$62,MATCH('Campus Enrol Disaggregation'!$O8,'College Enrollment Projections'!$AI$2:$AI$62,0),MATCH('Campus Enrol Disaggregation'!AA$2,'College Enrollment Projections'!$AJ$1:$AP$1,0)),50)</f>
        <v>10850</v>
      </c>
      <c r="AB8" s="33">
        <f>MROUND(AB$3*INDEX('College Enrollment Projections'!$AJ$2:$AP$62,MATCH('Campus Enrol Disaggregation'!$O8,'College Enrollment Projections'!$AI$2:$AI$62,0),MATCH('Campus Enrol Disaggregation'!AB$2,'College Enrollment Projections'!$AJ$1:$AP$1,0)),50)</f>
        <v>2850</v>
      </c>
      <c r="AC8" s="33">
        <f>MROUND(AC$3*INDEX('College Enrollment Projections'!$AJ$2:$AP$62,MATCH('Campus Enrol Disaggregation'!$O8,'College Enrollment Projections'!$AI$2:$AI$62,0),MATCH('Campus Enrol Disaggregation'!AC$2,'College Enrollment Projections'!$AJ$1:$AP$1,0)),50)</f>
        <v>0</v>
      </c>
      <c r="AD8" s="26">
        <f t="shared" si="0"/>
        <v>96950</v>
      </c>
    </row>
    <row r="9" spans="15:30" x14ac:dyDescent="0.25">
      <c r="O9" s="3">
        <v>1994</v>
      </c>
      <c r="P9" s="34">
        <f>MROUND(P$3*INDEX('College Enrollment Projections'!$AJ$2:$AP$62,MATCH('Campus Enrol Disaggregation'!$O9,'College Enrollment Projections'!$AI$2:$AI$62,0),MATCH('Campus Enrol Disaggregation'!P$2,'College Enrollment Projections'!$AJ$1:$AP$1,0)),50)</f>
        <v>30400</v>
      </c>
      <c r="Q9" s="34">
        <f>MROUND(Q$3*INDEX('College Enrollment Projections'!$AJ$2:$AP$62,MATCH('Campus Enrol Disaggregation'!$O9,'College Enrollment Projections'!$AI$2:$AI$62,0),MATCH('Campus Enrol Disaggregation'!Q$2,'College Enrollment Projections'!$AJ$1:$AP$1,0)),50)</f>
        <v>0</v>
      </c>
      <c r="R9" s="34">
        <f>MROUND(R$3*INDEX('College Enrollment Projections'!$AJ$2:$AP$62,MATCH('Campus Enrol Disaggregation'!$O9,'College Enrollment Projections'!$AI$2:$AI$62,0),MATCH('Campus Enrol Disaggregation'!R$2,'College Enrollment Projections'!$AJ$1:$AP$1,0)),50)</f>
        <v>10250</v>
      </c>
      <c r="S9" s="34">
        <f>MROUND(S$3*INDEX('College Enrollment Projections'!$AJ$2:$AP$62,MATCH('Campus Enrol Disaggregation'!$O9,'College Enrollment Projections'!$AI$2:$AI$62,0),MATCH('Campus Enrol Disaggregation'!S$2,'College Enrollment Projections'!$AJ$1:$AP$1,0)),50)</f>
        <v>3600</v>
      </c>
      <c r="T9" s="34">
        <f>MROUND(T$3*INDEX('College Enrollment Projections'!$AJ$2:$AP$62,MATCH('Campus Enrol Disaggregation'!$O9,'College Enrollment Projections'!$AI$2:$AI$62,0),MATCH('Campus Enrol Disaggregation'!T$2,'College Enrollment Projections'!$AJ$1:$AP$1,0)),50)</f>
        <v>900</v>
      </c>
      <c r="U9" s="34">
        <f>MROUND(U$3*INDEX('College Enrollment Projections'!$AJ$2:$AP$62,MATCH('Campus Enrol Disaggregation'!$O9,'College Enrollment Projections'!$AI$2:$AI$62,0),MATCH('Campus Enrol Disaggregation'!U$2,'College Enrollment Projections'!$AJ$1:$AP$1,0)),50)</f>
        <v>3200</v>
      </c>
      <c r="V9" s="34">
        <f>MROUND(V$3*INDEX('College Enrollment Projections'!$AJ$2:$AP$62,MATCH('Campus Enrol Disaggregation'!$O9,'College Enrollment Projections'!$AI$2:$AI$62,0),MATCH('Campus Enrol Disaggregation'!V$2,'College Enrollment Projections'!$AJ$1:$AP$1,0)),50)</f>
        <v>24950</v>
      </c>
      <c r="W9" s="38">
        <f>MROUND(INDEX('MAG College Enrollment Forecast'!$B$4:$H$64,MATCH($O9,'MAG College Enrollment Forecast'!$A$4:$A$64,0),MATCH(W$4,'MAG College Enrollment Forecast'!$B$1:$H$1,0)),50)</f>
        <v>13300</v>
      </c>
      <c r="X9" s="38">
        <f>MROUND(INDEX('MAG College Enrollment Forecast'!$B$4:$H$64,MATCH($O9,'MAG College Enrollment Forecast'!$A$4:$A$64,0),MATCH(X$4,'MAG College Enrollment Forecast'!$B$1:$H$1,0)),50)</f>
        <v>0</v>
      </c>
      <c r="Y9" s="38">
        <f>MROUND(INDEX('MAG College Enrollment Forecast'!$B$4:$H$64,MATCH($O9,'MAG College Enrollment Forecast'!$A$4:$A$64,0),MATCH(Y$4,'MAG College Enrollment Forecast'!$B$1:$H$1,0)),50)</f>
        <v>0</v>
      </c>
      <c r="Z9" s="38">
        <f>MROUND(INDEX('MAG College Enrollment Forecast'!$B$4:$H$64,MATCH($O9,'MAG College Enrollment Forecast'!$A$4:$A$64,0),MATCH(Z$4,'MAG College Enrollment Forecast'!$B$1:$H$1,0)),50)</f>
        <v>0</v>
      </c>
      <c r="AA9" s="33">
        <f>MROUND(AA$3*INDEX('College Enrollment Projections'!$AJ$2:$AP$62,MATCH('Campus Enrol Disaggregation'!$O9,'College Enrollment Projections'!$AI$2:$AI$62,0),MATCH('Campus Enrol Disaggregation'!AA$2,'College Enrollment Projections'!$AJ$1:$AP$1,0)),50)</f>
        <v>10700</v>
      </c>
      <c r="AB9" s="33">
        <f>MROUND(AB$3*INDEX('College Enrollment Projections'!$AJ$2:$AP$62,MATCH('Campus Enrol Disaggregation'!$O9,'College Enrollment Projections'!$AI$2:$AI$62,0),MATCH('Campus Enrol Disaggregation'!AB$2,'College Enrollment Projections'!$AJ$1:$AP$1,0)),50)</f>
        <v>2800</v>
      </c>
      <c r="AC9" s="33">
        <f>MROUND(AC$3*INDEX('College Enrollment Projections'!$AJ$2:$AP$62,MATCH('Campus Enrol Disaggregation'!$O9,'College Enrollment Projections'!$AI$2:$AI$62,0),MATCH('Campus Enrol Disaggregation'!AC$2,'College Enrollment Projections'!$AJ$1:$AP$1,0)),50)</f>
        <v>0</v>
      </c>
      <c r="AD9" s="26">
        <f t="shared" si="0"/>
        <v>100100</v>
      </c>
    </row>
    <row r="10" spans="15:30" x14ac:dyDescent="0.25">
      <c r="O10" s="3">
        <v>1995</v>
      </c>
      <c r="P10" s="34">
        <f>MROUND(P$3*INDEX('College Enrollment Projections'!$AJ$2:$AP$62,MATCH('Campus Enrol Disaggregation'!$O10,'College Enrollment Projections'!$AI$2:$AI$62,0),MATCH('Campus Enrol Disaggregation'!P$2,'College Enrollment Projections'!$AJ$1:$AP$1,0)),50)</f>
        <v>30450</v>
      </c>
      <c r="Q10" s="34">
        <f>MROUND(Q$3*INDEX('College Enrollment Projections'!$AJ$2:$AP$62,MATCH('Campus Enrol Disaggregation'!$O10,'College Enrollment Projections'!$AI$2:$AI$62,0),MATCH('Campus Enrol Disaggregation'!Q$2,'College Enrollment Projections'!$AJ$1:$AP$1,0)),50)</f>
        <v>0</v>
      </c>
      <c r="R10" s="34">
        <f>MROUND(R$3*INDEX('College Enrollment Projections'!$AJ$2:$AP$62,MATCH('Campus Enrol Disaggregation'!$O10,'College Enrollment Projections'!$AI$2:$AI$62,0),MATCH('Campus Enrol Disaggregation'!R$2,'College Enrollment Projections'!$AJ$1:$AP$1,0)),50)</f>
        <v>11000</v>
      </c>
      <c r="S10" s="34">
        <f>MROUND(S$3*INDEX('College Enrollment Projections'!$AJ$2:$AP$62,MATCH('Campus Enrol Disaggregation'!$O10,'College Enrollment Projections'!$AI$2:$AI$62,0),MATCH('Campus Enrol Disaggregation'!S$2,'College Enrollment Projections'!$AJ$1:$AP$1,0)),50)</f>
        <v>3850</v>
      </c>
      <c r="T10" s="34">
        <f>MROUND(T$3*INDEX('College Enrollment Projections'!$AJ$2:$AP$62,MATCH('Campus Enrol Disaggregation'!$O10,'College Enrollment Projections'!$AI$2:$AI$62,0),MATCH('Campus Enrol Disaggregation'!T$2,'College Enrollment Projections'!$AJ$1:$AP$1,0)),50)</f>
        <v>950</v>
      </c>
      <c r="U10" s="34">
        <f>MROUND(U$3*INDEX('College Enrollment Projections'!$AJ$2:$AP$62,MATCH('Campus Enrol Disaggregation'!$O10,'College Enrollment Projections'!$AI$2:$AI$62,0),MATCH('Campus Enrol Disaggregation'!U$2,'College Enrollment Projections'!$AJ$1:$AP$1,0)),50)</f>
        <v>3400</v>
      </c>
      <c r="V10" s="34">
        <f>MROUND(V$3*INDEX('College Enrollment Projections'!$AJ$2:$AP$62,MATCH('Campus Enrol Disaggregation'!$O10,'College Enrollment Projections'!$AI$2:$AI$62,0),MATCH('Campus Enrol Disaggregation'!V$2,'College Enrollment Projections'!$AJ$1:$AP$1,0)),50)</f>
        <v>26100</v>
      </c>
      <c r="W10" s="38">
        <f>MROUND(INDEX('MAG College Enrollment Forecast'!$B$4:$H$64,MATCH($O10,'MAG College Enrollment Forecast'!$A$4:$A$64,0),MATCH(W$4,'MAG College Enrollment Forecast'!$B$1:$H$1,0)),50)</f>
        <v>14050</v>
      </c>
      <c r="X10" s="38">
        <f>MROUND(INDEX('MAG College Enrollment Forecast'!$B$4:$H$64,MATCH($O10,'MAG College Enrollment Forecast'!$A$4:$A$64,0),MATCH(X$4,'MAG College Enrollment Forecast'!$B$1:$H$1,0)),50)</f>
        <v>0</v>
      </c>
      <c r="Y10" s="38">
        <f>MROUND(INDEX('MAG College Enrollment Forecast'!$B$4:$H$64,MATCH($O10,'MAG College Enrollment Forecast'!$A$4:$A$64,0),MATCH(Y$4,'MAG College Enrollment Forecast'!$B$1:$H$1,0)),50)</f>
        <v>0</v>
      </c>
      <c r="Z10" s="38">
        <f>MROUND(INDEX('MAG College Enrollment Forecast'!$B$4:$H$64,MATCH($O10,'MAG College Enrollment Forecast'!$A$4:$A$64,0),MATCH(Z$4,'MAG College Enrollment Forecast'!$B$1:$H$1,0)),50)</f>
        <v>0</v>
      </c>
      <c r="AA10" s="33">
        <f>MROUND(AA$3*INDEX('College Enrollment Projections'!$AJ$2:$AP$62,MATCH('Campus Enrol Disaggregation'!$O10,'College Enrollment Projections'!$AI$2:$AI$62,0),MATCH('Campus Enrol Disaggregation'!AA$2,'College Enrollment Projections'!$AJ$1:$AP$1,0)),50)</f>
        <v>10500</v>
      </c>
      <c r="AB10" s="33">
        <f>MROUND(AB$3*INDEX('College Enrollment Projections'!$AJ$2:$AP$62,MATCH('Campus Enrol Disaggregation'!$O10,'College Enrollment Projections'!$AI$2:$AI$62,0),MATCH('Campus Enrol Disaggregation'!AB$2,'College Enrollment Projections'!$AJ$1:$AP$1,0)),50)</f>
        <v>2750</v>
      </c>
      <c r="AC10" s="33">
        <f>MROUND(AC$3*INDEX('College Enrollment Projections'!$AJ$2:$AP$62,MATCH('Campus Enrol Disaggregation'!$O10,'College Enrollment Projections'!$AI$2:$AI$62,0),MATCH('Campus Enrol Disaggregation'!AC$2,'College Enrollment Projections'!$AJ$1:$AP$1,0)),50)</f>
        <v>0</v>
      </c>
      <c r="AD10" s="26">
        <f t="shared" si="0"/>
        <v>103050</v>
      </c>
    </row>
    <row r="11" spans="15:30" x14ac:dyDescent="0.25">
      <c r="O11" s="3">
        <v>1996</v>
      </c>
      <c r="P11" s="34">
        <f>MROUND(P$3*INDEX('College Enrollment Projections'!$AJ$2:$AP$62,MATCH('Campus Enrol Disaggregation'!$O11,'College Enrollment Projections'!$AI$2:$AI$62,0),MATCH('Campus Enrol Disaggregation'!P$2,'College Enrollment Projections'!$AJ$1:$AP$1,0)),50)</f>
        <v>30550</v>
      </c>
      <c r="Q11" s="34">
        <f>MROUND(Q$3*INDEX('College Enrollment Projections'!$AJ$2:$AP$62,MATCH('Campus Enrol Disaggregation'!$O11,'College Enrollment Projections'!$AI$2:$AI$62,0),MATCH('Campus Enrol Disaggregation'!Q$2,'College Enrollment Projections'!$AJ$1:$AP$1,0)),50)</f>
        <v>0</v>
      </c>
      <c r="R11" s="34">
        <f>MROUND(R$3*INDEX('College Enrollment Projections'!$AJ$2:$AP$62,MATCH('Campus Enrol Disaggregation'!$O11,'College Enrollment Projections'!$AI$2:$AI$62,0),MATCH('Campus Enrol Disaggregation'!R$2,'College Enrollment Projections'!$AJ$1:$AP$1,0)),50)</f>
        <v>11800</v>
      </c>
      <c r="S11" s="34">
        <f>MROUND(S$3*INDEX('College Enrollment Projections'!$AJ$2:$AP$62,MATCH('Campus Enrol Disaggregation'!$O11,'College Enrollment Projections'!$AI$2:$AI$62,0),MATCH('Campus Enrol Disaggregation'!S$2,'College Enrollment Projections'!$AJ$1:$AP$1,0)),50)</f>
        <v>4150</v>
      </c>
      <c r="T11" s="34">
        <f>MROUND(T$3*INDEX('College Enrollment Projections'!$AJ$2:$AP$62,MATCH('Campus Enrol Disaggregation'!$O11,'College Enrollment Projections'!$AI$2:$AI$62,0),MATCH('Campus Enrol Disaggregation'!T$2,'College Enrollment Projections'!$AJ$1:$AP$1,0)),50)</f>
        <v>1050</v>
      </c>
      <c r="U11" s="34">
        <f>MROUND(U$3*INDEX('College Enrollment Projections'!$AJ$2:$AP$62,MATCH('Campus Enrol Disaggregation'!$O11,'College Enrollment Projections'!$AI$2:$AI$62,0),MATCH('Campus Enrol Disaggregation'!U$2,'College Enrollment Projections'!$AJ$1:$AP$1,0)),50)</f>
        <v>3650</v>
      </c>
      <c r="V11" s="34">
        <f>MROUND(V$3*INDEX('College Enrollment Projections'!$AJ$2:$AP$62,MATCH('Campus Enrol Disaggregation'!$O11,'College Enrollment Projections'!$AI$2:$AI$62,0),MATCH('Campus Enrol Disaggregation'!V$2,'College Enrollment Projections'!$AJ$1:$AP$1,0)),50)</f>
        <v>25400</v>
      </c>
      <c r="W11" s="38">
        <f>MROUND(INDEX('MAG College Enrollment Forecast'!$B$4:$H$64,MATCH($O11,'MAG College Enrollment Forecast'!$A$4:$A$64,0),MATCH(W$4,'MAG College Enrollment Forecast'!$B$1:$H$1,0)),50)</f>
        <v>14750</v>
      </c>
      <c r="X11" s="38">
        <f>MROUND(INDEX('MAG College Enrollment Forecast'!$B$4:$H$64,MATCH($O11,'MAG College Enrollment Forecast'!$A$4:$A$64,0),MATCH(X$4,'MAG College Enrollment Forecast'!$B$1:$H$1,0)),50)</f>
        <v>0</v>
      </c>
      <c r="Y11" s="38">
        <f>MROUND(INDEX('MAG College Enrollment Forecast'!$B$4:$H$64,MATCH($O11,'MAG College Enrollment Forecast'!$A$4:$A$64,0),MATCH(Y$4,'MAG College Enrollment Forecast'!$B$1:$H$1,0)),50)</f>
        <v>0</v>
      </c>
      <c r="Z11" s="38">
        <f>MROUND(INDEX('MAG College Enrollment Forecast'!$B$4:$H$64,MATCH($O11,'MAG College Enrollment Forecast'!$A$4:$A$64,0),MATCH(Z$4,'MAG College Enrollment Forecast'!$B$1:$H$1,0)),50)</f>
        <v>0</v>
      </c>
      <c r="AA11" s="33">
        <f>MROUND(AA$3*INDEX('College Enrollment Projections'!$AJ$2:$AP$62,MATCH('Campus Enrol Disaggregation'!$O11,'College Enrollment Projections'!$AI$2:$AI$62,0),MATCH('Campus Enrol Disaggregation'!AA$2,'College Enrollment Projections'!$AJ$1:$AP$1,0)),50)</f>
        <v>10450</v>
      </c>
      <c r="AB11" s="33">
        <f>MROUND(AB$3*INDEX('College Enrollment Projections'!$AJ$2:$AP$62,MATCH('Campus Enrol Disaggregation'!$O11,'College Enrollment Projections'!$AI$2:$AI$62,0),MATCH('Campus Enrol Disaggregation'!AB$2,'College Enrollment Projections'!$AJ$1:$AP$1,0)),50)</f>
        <v>2750</v>
      </c>
      <c r="AC11" s="33">
        <f>MROUND(AC$3*INDEX('College Enrollment Projections'!$AJ$2:$AP$62,MATCH('Campus Enrol Disaggregation'!$O11,'College Enrollment Projections'!$AI$2:$AI$62,0),MATCH('Campus Enrol Disaggregation'!AC$2,'College Enrollment Projections'!$AJ$1:$AP$1,0)),50)</f>
        <v>0</v>
      </c>
      <c r="AD11" s="26">
        <f t="shared" si="0"/>
        <v>104550</v>
      </c>
    </row>
    <row r="12" spans="15:30" x14ac:dyDescent="0.25">
      <c r="O12" s="3">
        <v>1997</v>
      </c>
      <c r="P12" s="34">
        <f>MROUND(P$3*INDEX('College Enrollment Projections'!$AJ$2:$AP$62,MATCH('Campus Enrol Disaggregation'!$O12,'College Enrollment Projections'!$AI$2:$AI$62,0),MATCH('Campus Enrol Disaggregation'!P$2,'College Enrollment Projections'!$AJ$1:$AP$1,0)),50)</f>
        <v>31250</v>
      </c>
      <c r="Q12" s="34">
        <f>MROUND(Q$3*INDEX('College Enrollment Projections'!$AJ$2:$AP$62,MATCH('Campus Enrol Disaggregation'!$O12,'College Enrollment Projections'!$AI$2:$AI$62,0),MATCH('Campus Enrol Disaggregation'!Q$2,'College Enrollment Projections'!$AJ$1:$AP$1,0)),50)</f>
        <v>0</v>
      </c>
      <c r="R12" s="34">
        <f>MROUND(R$3*INDEX('College Enrollment Projections'!$AJ$2:$AP$62,MATCH('Campus Enrol Disaggregation'!$O12,'College Enrollment Projections'!$AI$2:$AI$62,0),MATCH('Campus Enrol Disaggregation'!R$2,'College Enrollment Projections'!$AJ$1:$AP$1,0)),50)</f>
        <v>12850</v>
      </c>
      <c r="S12" s="34">
        <f>MROUND(S$3*INDEX('College Enrollment Projections'!$AJ$2:$AP$62,MATCH('Campus Enrol Disaggregation'!$O12,'College Enrollment Projections'!$AI$2:$AI$62,0),MATCH('Campus Enrol Disaggregation'!S$2,'College Enrollment Projections'!$AJ$1:$AP$1,0)),50)</f>
        <v>4500</v>
      </c>
      <c r="T12" s="34">
        <f>MROUND(T$3*INDEX('College Enrollment Projections'!$AJ$2:$AP$62,MATCH('Campus Enrol Disaggregation'!$O12,'College Enrollment Projections'!$AI$2:$AI$62,0),MATCH('Campus Enrol Disaggregation'!T$2,'College Enrollment Projections'!$AJ$1:$AP$1,0)),50)</f>
        <v>1100</v>
      </c>
      <c r="U12" s="34">
        <f>MROUND(U$3*INDEX('College Enrollment Projections'!$AJ$2:$AP$62,MATCH('Campus Enrol Disaggregation'!$O12,'College Enrollment Projections'!$AI$2:$AI$62,0),MATCH('Campus Enrol Disaggregation'!U$2,'College Enrollment Projections'!$AJ$1:$AP$1,0)),50)</f>
        <v>4000</v>
      </c>
      <c r="V12" s="34">
        <f>MROUND(V$3*INDEX('College Enrollment Projections'!$AJ$2:$AP$62,MATCH('Campus Enrol Disaggregation'!$O12,'College Enrollment Projections'!$AI$2:$AI$62,0),MATCH('Campus Enrol Disaggregation'!V$2,'College Enrollment Projections'!$AJ$1:$AP$1,0)),50)</f>
        <v>25200</v>
      </c>
      <c r="W12" s="38">
        <f>MROUND(INDEX('MAG College Enrollment Forecast'!$B$4:$H$64,MATCH($O12,'MAG College Enrollment Forecast'!$A$4:$A$64,0),MATCH(W$4,'MAG College Enrollment Forecast'!$B$1:$H$1,0)),50)</f>
        <v>16000</v>
      </c>
      <c r="X12" s="38">
        <f>MROUND(INDEX('MAG College Enrollment Forecast'!$B$4:$H$64,MATCH($O12,'MAG College Enrollment Forecast'!$A$4:$A$64,0),MATCH(X$4,'MAG College Enrollment Forecast'!$B$1:$H$1,0)),50)</f>
        <v>0</v>
      </c>
      <c r="Y12" s="38">
        <f>MROUND(INDEX('MAG College Enrollment Forecast'!$B$4:$H$64,MATCH($O12,'MAG College Enrollment Forecast'!$A$4:$A$64,0),MATCH(Y$4,'MAG College Enrollment Forecast'!$B$1:$H$1,0)),50)</f>
        <v>0</v>
      </c>
      <c r="Z12" s="38">
        <f>MROUND(INDEX('MAG College Enrollment Forecast'!$B$4:$H$64,MATCH($O12,'MAG College Enrollment Forecast'!$A$4:$A$64,0),MATCH(Z$4,'MAG College Enrollment Forecast'!$B$1:$H$1,0)),50)</f>
        <v>0</v>
      </c>
      <c r="AA12" s="33">
        <f>MROUND(AA$3*INDEX('College Enrollment Projections'!$AJ$2:$AP$62,MATCH('Campus Enrol Disaggregation'!$O12,'College Enrollment Projections'!$AI$2:$AI$62,0),MATCH('Campus Enrol Disaggregation'!AA$2,'College Enrollment Projections'!$AJ$1:$AP$1,0)),50)</f>
        <v>11000</v>
      </c>
      <c r="AB12" s="33">
        <f>MROUND(AB$3*INDEX('College Enrollment Projections'!$AJ$2:$AP$62,MATCH('Campus Enrol Disaggregation'!$O12,'College Enrollment Projections'!$AI$2:$AI$62,0),MATCH('Campus Enrol Disaggregation'!AB$2,'College Enrollment Projections'!$AJ$1:$AP$1,0)),50)</f>
        <v>2900</v>
      </c>
      <c r="AC12" s="33">
        <f>MROUND(AC$3*INDEX('College Enrollment Projections'!$AJ$2:$AP$62,MATCH('Campus Enrol Disaggregation'!$O12,'College Enrollment Projections'!$AI$2:$AI$62,0),MATCH('Campus Enrol Disaggregation'!AC$2,'College Enrollment Projections'!$AJ$1:$AP$1,0)),50)</f>
        <v>0</v>
      </c>
      <c r="AD12" s="26">
        <f t="shared" si="0"/>
        <v>108800</v>
      </c>
    </row>
    <row r="13" spans="15:30" x14ac:dyDescent="0.25">
      <c r="O13" s="3">
        <v>1998</v>
      </c>
      <c r="P13" s="34">
        <f>MROUND(P$3*INDEX('College Enrollment Projections'!$AJ$2:$AP$62,MATCH('Campus Enrol Disaggregation'!$O13,'College Enrollment Projections'!$AI$2:$AI$62,0),MATCH('Campus Enrol Disaggregation'!P$2,'College Enrollment Projections'!$AJ$1:$AP$1,0)),50)</f>
        <v>32200</v>
      </c>
      <c r="Q13" s="34">
        <f>MROUND(Q$3*INDEX('College Enrollment Projections'!$AJ$2:$AP$62,MATCH('Campus Enrol Disaggregation'!$O13,'College Enrollment Projections'!$AI$2:$AI$62,0),MATCH('Campus Enrol Disaggregation'!Q$2,'College Enrollment Projections'!$AJ$1:$AP$1,0)),50)</f>
        <v>0</v>
      </c>
      <c r="R13" s="34">
        <f>MROUND(R$3*INDEX('College Enrollment Projections'!$AJ$2:$AP$62,MATCH('Campus Enrol Disaggregation'!$O13,'College Enrollment Projections'!$AI$2:$AI$62,0),MATCH('Campus Enrol Disaggregation'!R$2,'College Enrollment Projections'!$AJ$1:$AP$1,0)),50)</f>
        <v>10450</v>
      </c>
      <c r="S13" s="34">
        <f>MROUND(S$3*INDEX('College Enrollment Projections'!$AJ$2:$AP$62,MATCH('Campus Enrol Disaggregation'!$O13,'College Enrollment Projections'!$AI$2:$AI$62,0),MATCH('Campus Enrol Disaggregation'!S$2,'College Enrollment Projections'!$AJ$1:$AP$1,0)),50)</f>
        <v>3650</v>
      </c>
      <c r="T13" s="34">
        <f>MROUND(T$3*INDEX('College Enrollment Projections'!$AJ$2:$AP$62,MATCH('Campus Enrol Disaggregation'!$O13,'College Enrollment Projections'!$AI$2:$AI$62,0),MATCH('Campus Enrol Disaggregation'!T$2,'College Enrollment Projections'!$AJ$1:$AP$1,0)),50)</f>
        <v>900</v>
      </c>
      <c r="U13" s="34">
        <f>MROUND(U$3*INDEX('College Enrollment Projections'!$AJ$2:$AP$62,MATCH('Campus Enrol Disaggregation'!$O13,'College Enrollment Projections'!$AI$2:$AI$62,0),MATCH('Campus Enrol Disaggregation'!U$2,'College Enrollment Projections'!$AJ$1:$AP$1,0)),50)</f>
        <v>3250</v>
      </c>
      <c r="V13" s="34">
        <f>MROUND(V$3*INDEX('College Enrollment Projections'!$AJ$2:$AP$62,MATCH('Campus Enrol Disaggregation'!$O13,'College Enrollment Projections'!$AI$2:$AI$62,0),MATCH('Campus Enrol Disaggregation'!V$2,'College Enrollment Projections'!$AJ$1:$AP$1,0)),50)</f>
        <v>24350</v>
      </c>
      <c r="W13" s="38">
        <f>MROUND(INDEX('MAG College Enrollment Forecast'!$B$4:$H$64,MATCH($O13,'MAG College Enrollment Forecast'!$A$4:$A$64,0),MATCH(W$4,'MAG College Enrollment Forecast'!$B$1:$H$1,0)),50)</f>
        <v>18150</v>
      </c>
      <c r="X13" s="38">
        <f>MROUND(INDEX('MAG College Enrollment Forecast'!$B$4:$H$64,MATCH($O13,'MAG College Enrollment Forecast'!$A$4:$A$64,0),MATCH(X$4,'MAG College Enrollment Forecast'!$B$1:$H$1,0)),50)</f>
        <v>0</v>
      </c>
      <c r="Y13" s="38">
        <f>MROUND(INDEX('MAG College Enrollment Forecast'!$B$4:$H$64,MATCH($O13,'MAG College Enrollment Forecast'!$A$4:$A$64,0),MATCH(Y$4,'MAG College Enrollment Forecast'!$B$1:$H$1,0)),50)</f>
        <v>0</v>
      </c>
      <c r="Z13" s="38">
        <f>MROUND(INDEX('MAG College Enrollment Forecast'!$B$4:$H$64,MATCH($O13,'MAG College Enrollment Forecast'!$A$4:$A$64,0),MATCH(Z$4,'MAG College Enrollment Forecast'!$B$1:$H$1,0)),50)</f>
        <v>0</v>
      </c>
      <c r="AA13" s="33">
        <f>MROUND(AA$3*INDEX('College Enrollment Projections'!$AJ$2:$AP$62,MATCH('Campus Enrol Disaggregation'!$O13,'College Enrollment Projections'!$AI$2:$AI$62,0),MATCH('Campus Enrol Disaggregation'!AA$2,'College Enrollment Projections'!$AJ$1:$AP$1,0)),50)</f>
        <v>10450</v>
      </c>
      <c r="AB13" s="33">
        <f>MROUND(AB$3*INDEX('College Enrollment Projections'!$AJ$2:$AP$62,MATCH('Campus Enrol Disaggregation'!$O13,'College Enrollment Projections'!$AI$2:$AI$62,0),MATCH('Campus Enrol Disaggregation'!AB$2,'College Enrollment Projections'!$AJ$1:$AP$1,0)),50)</f>
        <v>2750</v>
      </c>
      <c r="AC13" s="33">
        <f>MROUND(AC$3*INDEX('College Enrollment Projections'!$AJ$2:$AP$62,MATCH('Campus Enrol Disaggregation'!$O13,'College Enrollment Projections'!$AI$2:$AI$62,0),MATCH('Campus Enrol Disaggregation'!AC$2,'College Enrollment Projections'!$AJ$1:$AP$1,0)),50)</f>
        <v>0</v>
      </c>
      <c r="AD13" s="26">
        <f t="shared" si="0"/>
        <v>106150</v>
      </c>
    </row>
    <row r="14" spans="15:30" x14ac:dyDescent="0.25">
      <c r="O14" s="3">
        <v>1999</v>
      </c>
      <c r="P14" s="34">
        <f>MROUND(P$3*INDEX('College Enrollment Projections'!$AJ$2:$AP$62,MATCH('Campus Enrol Disaggregation'!$O14,'College Enrollment Projections'!$AI$2:$AI$62,0),MATCH('Campus Enrol Disaggregation'!P$2,'College Enrollment Projections'!$AJ$1:$AP$1,0)),50)</f>
        <v>32750</v>
      </c>
      <c r="Q14" s="34">
        <f>MROUND(Q$3*INDEX('College Enrollment Projections'!$AJ$2:$AP$62,MATCH('Campus Enrol Disaggregation'!$O14,'College Enrollment Projections'!$AI$2:$AI$62,0),MATCH('Campus Enrol Disaggregation'!Q$2,'College Enrollment Projections'!$AJ$1:$AP$1,0)),50)</f>
        <v>0</v>
      </c>
      <c r="R14" s="34">
        <f>MROUND(R$3*INDEX('College Enrollment Projections'!$AJ$2:$AP$62,MATCH('Campus Enrol Disaggregation'!$O14,'College Enrollment Projections'!$AI$2:$AI$62,0),MATCH('Campus Enrol Disaggregation'!R$2,'College Enrollment Projections'!$AJ$1:$AP$1,0)),50)</f>
        <v>11250</v>
      </c>
      <c r="S14" s="34">
        <f>MROUND(S$3*INDEX('College Enrollment Projections'!$AJ$2:$AP$62,MATCH('Campus Enrol Disaggregation'!$O14,'College Enrollment Projections'!$AI$2:$AI$62,0),MATCH('Campus Enrol Disaggregation'!S$2,'College Enrollment Projections'!$AJ$1:$AP$1,0)),50)</f>
        <v>3950</v>
      </c>
      <c r="T14" s="34">
        <f>MROUND(T$3*INDEX('College Enrollment Projections'!$AJ$2:$AP$62,MATCH('Campus Enrol Disaggregation'!$O14,'College Enrollment Projections'!$AI$2:$AI$62,0),MATCH('Campus Enrol Disaggregation'!T$2,'College Enrollment Projections'!$AJ$1:$AP$1,0)),50)</f>
        <v>1000</v>
      </c>
      <c r="U14" s="34">
        <f>MROUND(U$3*INDEX('College Enrollment Projections'!$AJ$2:$AP$62,MATCH('Campus Enrol Disaggregation'!$O14,'College Enrollment Projections'!$AI$2:$AI$62,0),MATCH('Campus Enrol Disaggregation'!U$2,'College Enrollment Projections'!$AJ$1:$AP$1,0)),50)</f>
        <v>3500</v>
      </c>
      <c r="V14" s="34">
        <f>MROUND(V$3*INDEX('College Enrollment Projections'!$AJ$2:$AP$62,MATCH('Campus Enrol Disaggregation'!$O14,'College Enrollment Projections'!$AI$2:$AI$62,0),MATCH('Campus Enrol Disaggregation'!V$2,'College Enrollment Projections'!$AJ$1:$AP$1,0)),50)</f>
        <v>25100</v>
      </c>
      <c r="W14" s="38">
        <f>MROUND(INDEX('MAG College Enrollment Forecast'!$B$4:$H$64,MATCH($O14,'MAG College Enrollment Forecast'!$A$4:$A$64,0),MATCH(W$4,'MAG College Enrollment Forecast'!$B$1:$H$1,0)),50)</f>
        <v>20050</v>
      </c>
      <c r="X14" s="38">
        <f>MROUND(INDEX('MAG College Enrollment Forecast'!$B$4:$H$64,MATCH($O14,'MAG College Enrollment Forecast'!$A$4:$A$64,0),MATCH(X$4,'MAG College Enrollment Forecast'!$B$1:$H$1,0)),50)</f>
        <v>0</v>
      </c>
      <c r="Y14" s="38">
        <f>MROUND(INDEX('MAG College Enrollment Forecast'!$B$4:$H$64,MATCH($O14,'MAG College Enrollment Forecast'!$A$4:$A$64,0),MATCH(Y$4,'MAG College Enrollment Forecast'!$B$1:$H$1,0)),50)</f>
        <v>0</v>
      </c>
      <c r="Z14" s="38">
        <f>MROUND(INDEX('MAG College Enrollment Forecast'!$B$4:$H$64,MATCH($O14,'MAG College Enrollment Forecast'!$A$4:$A$64,0),MATCH(Z$4,'MAG College Enrollment Forecast'!$B$1:$H$1,0)),50)</f>
        <v>0</v>
      </c>
      <c r="AA14" s="33">
        <f>MROUND(AA$3*INDEX('College Enrollment Projections'!$AJ$2:$AP$62,MATCH('Campus Enrol Disaggregation'!$O14,'College Enrollment Projections'!$AI$2:$AI$62,0),MATCH('Campus Enrol Disaggregation'!AA$2,'College Enrollment Projections'!$AJ$1:$AP$1,0)),50)</f>
        <v>11250</v>
      </c>
      <c r="AB14" s="33">
        <f>MROUND(AB$3*INDEX('College Enrollment Projections'!$AJ$2:$AP$62,MATCH('Campus Enrol Disaggregation'!$O14,'College Enrollment Projections'!$AI$2:$AI$62,0),MATCH('Campus Enrol Disaggregation'!AB$2,'College Enrollment Projections'!$AJ$1:$AP$1,0)),50)</f>
        <v>2950</v>
      </c>
      <c r="AC14" s="33">
        <f>MROUND(AC$3*INDEX('College Enrollment Projections'!$AJ$2:$AP$62,MATCH('Campus Enrol Disaggregation'!$O14,'College Enrollment Projections'!$AI$2:$AI$62,0),MATCH('Campus Enrol Disaggregation'!AC$2,'College Enrollment Projections'!$AJ$1:$AP$1,0)),50)</f>
        <v>0</v>
      </c>
      <c r="AD14" s="26">
        <f t="shared" si="0"/>
        <v>111800</v>
      </c>
    </row>
    <row r="15" spans="15:30" x14ac:dyDescent="0.25">
      <c r="O15" s="3">
        <v>2000</v>
      </c>
      <c r="P15" s="34">
        <f>MROUND(P$3*INDEX('College Enrollment Projections'!$AJ$2:$AP$62,MATCH('Campus Enrol Disaggregation'!$O15,'College Enrollment Projections'!$AI$2:$AI$62,0),MATCH('Campus Enrol Disaggregation'!P$2,'College Enrollment Projections'!$AJ$1:$AP$1,0)),50)</f>
        <v>32550</v>
      </c>
      <c r="Q15" s="34">
        <f>MROUND(Q$3*INDEX('College Enrollment Projections'!$AJ$2:$AP$62,MATCH('Campus Enrol Disaggregation'!$O15,'College Enrollment Projections'!$AI$2:$AI$62,0),MATCH('Campus Enrol Disaggregation'!Q$2,'College Enrollment Projections'!$AJ$1:$AP$1,0)),50)</f>
        <v>0</v>
      </c>
      <c r="R15" s="34">
        <f>MROUND(R$3*INDEX('College Enrollment Projections'!$AJ$2:$AP$62,MATCH('Campus Enrol Disaggregation'!$O15,'College Enrollment Projections'!$AI$2:$AI$62,0),MATCH('Campus Enrol Disaggregation'!R$2,'College Enrollment Projections'!$AJ$1:$AP$1,0)),50)</f>
        <v>11650</v>
      </c>
      <c r="S15" s="34">
        <f>MROUND(S$3*INDEX('College Enrollment Projections'!$AJ$2:$AP$62,MATCH('Campus Enrol Disaggregation'!$O15,'College Enrollment Projections'!$AI$2:$AI$62,0),MATCH('Campus Enrol Disaggregation'!S$2,'College Enrollment Projections'!$AJ$1:$AP$1,0)),50)</f>
        <v>4100</v>
      </c>
      <c r="T15" s="34">
        <f>MROUND(T$3*INDEX('College Enrollment Projections'!$AJ$2:$AP$62,MATCH('Campus Enrol Disaggregation'!$O15,'College Enrollment Projections'!$AI$2:$AI$62,0),MATCH('Campus Enrol Disaggregation'!T$2,'College Enrollment Projections'!$AJ$1:$AP$1,0)),50)</f>
        <v>1000</v>
      </c>
      <c r="U15" s="34">
        <f>MROUND(U$3*INDEX('College Enrollment Projections'!$AJ$2:$AP$62,MATCH('Campus Enrol Disaggregation'!$O15,'College Enrollment Projections'!$AI$2:$AI$62,0),MATCH('Campus Enrol Disaggregation'!U$2,'College Enrollment Projections'!$AJ$1:$AP$1,0)),50)</f>
        <v>3600</v>
      </c>
      <c r="V15" s="34">
        <f>MROUND(V$3*INDEX('College Enrollment Projections'!$AJ$2:$AP$62,MATCH('Campus Enrol Disaggregation'!$O15,'College Enrollment Projections'!$AI$2:$AI$62,0),MATCH('Campus Enrol Disaggregation'!V$2,'College Enrollment Projections'!$AJ$1:$AP$1,0)),50)</f>
        <v>25450</v>
      </c>
      <c r="W15" s="38">
        <f>MROUND(INDEX('MAG College Enrollment Forecast'!$B$4:$H$64,MATCH($O15,'MAG College Enrollment Forecast'!$A$4:$A$64,0),MATCH(W$4,'MAG College Enrollment Forecast'!$B$1:$H$1,0)),50)</f>
        <v>20950</v>
      </c>
      <c r="X15" s="38">
        <f>MROUND(INDEX('MAG College Enrollment Forecast'!$B$4:$H$64,MATCH($O15,'MAG College Enrollment Forecast'!$A$4:$A$64,0),MATCH(X$4,'MAG College Enrollment Forecast'!$B$1:$H$1,0)),50)</f>
        <v>0</v>
      </c>
      <c r="Y15" s="38">
        <f>MROUND(INDEX('MAG College Enrollment Forecast'!$B$4:$H$64,MATCH($O15,'MAG College Enrollment Forecast'!$A$4:$A$64,0),MATCH(Y$4,'MAG College Enrollment Forecast'!$B$1:$H$1,0)),50)</f>
        <v>0</v>
      </c>
      <c r="Z15" s="38">
        <f>MROUND(INDEX('MAG College Enrollment Forecast'!$B$4:$H$64,MATCH($O15,'MAG College Enrollment Forecast'!$A$4:$A$64,0),MATCH(Z$4,'MAG College Enrollment Forecast'!$B$1:$H$1,0)),50)</f>
        <v>0</v>
      </c>
      <c r="AA15" s="33">
        <f>MROUND(AA$3*INDEX('College Enrollment Projections'!$AJ$2:$AP$62,MATCH('Campus Enrol Disaggregation'!$O15,'College Enrollment Projections'!$AI$2:$AI$62,0),MATCH('Campus Enrol Disaggregation'!AA$2,'College Enrollment Projections'!$AJ$1:$AP$1,0)),50)</f>
        <v>12050</v>
      </c>
      <c r="AB15" s="33">
        <f>MROUND(AB$3*INDEX('College Enrollment Projections'!$AJ$2:$AP$62,MATCH('Campus Enrol Disaggregation'!$O15,'College Enrollment Projections'!$AI$2:$AI$62,0),MATCH('Campus Enrol Disaggregation'!AB$2,'College Enrollment Projections'!$AJ$1:$AP$1,0)),50)</f>
        <v>3150</v>
      </c>
      <c r="AC15" s="33">
        <f>MROUND(AC$3*INDEX('College Enrollment Projections'!$AJ$2:$AP$62,MATCH('Campus Enrol Disaggregation'!$O15,'College Enrollment Projections'!$AI$2:$AI$62,0),MATCH('Campus Enrol Disaggregation'!AC$2,'College Enrollment Projections'!$AJ$1:$AP$1,0)),50)</f>
        <v>0</v>
      </c>
      <c r="AD15" s="26">
        <f t="shared" si="0"/>
        <v>114500</v>
      </c>
    </row>
    <row r="16" spans="15:30" x14ac:dyDescent="0.25">
      <c r="O16" s="3">
        <v>2001</v>
      </c>
      <c r="P16" s="34">
        <f>MROUND(P$3*INDEX('College Enrollment Projections'!$AJ$2:$AP$62,MATCH('Campus Enrol Disaggregation'!$O16,'College Enrollment Projections'!$AI$2:$AI$62,0),MATCH('Campus Enrol Disaggregation'!P$2,'College Enrollment Projections'!$AJ$1:$AP$1,0)),50)</f>
        <v>32750</v>
      </c>
      <c r="Q16" s="34">
        <f>MROUND(Q$3*INDEX('College Enrollment Projections'!$AJ$2:$AP$62,MATCH('Campus Enrol Disaggregation'!$O16,'College Enrollment Projections'!$AI$2:$AI$62,0),MATCH('Campus Enrol Disaggregation'!Q$2,'College Enrollment Projections'!$AJ$1:$AP$1,0)),50)</f>
        <v>0</v>
      </c>
      <c r="R16" s="34">
        <f>MROUND(R$3*INDEX('College Enrollment Projections'!$AJ$2:$AP$62,MATCH('Campus Enrol Disaggregation'!$O16,'College Enrollment Projections'!$AI$2:$AI$62,0),MATCH('Campus Enrol Disaggregation'!R$2,'College Enrollment Projections'!$AJ$1:$AP$1,0)),50)</f>
        <v>12800</v>
      </c>
      <c r="S16" s="34">
        <f>MROUND(S$3*INDEX('College Enrollment Projections'!$AJ$2:$AP$62,MATCH('Campus Enrol Disaggregation'!$O16,'College Enrollment Projections'!$AI$2:$AI$62,0),MATCH('Campus Enrol Disaggregation'!S$2,'College Enrollment Projections'!$AJ$1:$AP$1,0)),50)</f>
        <v>4450</v>
      </c>
      <c r="T16" s="34">
        <f>MROUND(T$3*INDEX('College Enrollment Projections'!$AJ$2:$AP$62,MATCH('Campus Enrol Disaggregation'!$O16,'College Enrollment Projections'!$AI$2:$AI$62,0),MATCH('Campus Enrol Disaggregation'!T$2,'College Enrollment Projections'!$AJ$1:$AP$1,0)),50)</f>
        <v>1100</v>
      </c>
      <c r="U16" s="34">
        <f>MROUND(U$3*INDEX('College Enrollment Projections'!$AJ$2:$AP$62,MATCH('Campus Enrol Disaggregation'!$O16,'College Enrollment Projections'!$AI$2:$AI$62,0),MATCH('Campus Enrol Disaggregation'!U$2,'College Enrollment Projections'!$AJ$1:$AP$1,0)),50)</f>
        <v>3950</v>
      </c>
      <c r="V16" s="34">
        <f>MROUND(V$3*INDEX('College Enrollment Projections'!$AJ$2:$AP$62,MATCH('Campus Enrol Disaggregation'!$O16,'College Enrollment Projections'!$AI$2:$AI$62,0),MATCH('Campus Enrol Disaggregation'!V$2,'College Enrollment Projections'!$AJ$1:$AP$1,0)),50)</f>
        <v>26950</v>
      </c>
      <c r="W16" s="38">
        <f>MROUND(INDEX('MAG College Enrollment Forecast'!$B$4:$H$64,MATCH($O16,'MAG College Enrollment Forecast'!$A$4:$A$64,0),MATCH(W$4,'MAG College Enrollment Forecast'!$B$1:$H$1,0)),50)</f>
        <v>22600</v>
      </c>
      <c r="X16" s="38">
        <f>MROUND(INDEX('MAG College Enrollment Forecast'!$B$4:$H$64,MATCH($O16,'MAG College Enrollment Forecast'!$A$4:$A$64,0),MATCH(X$4,'MAG College Enrollment Forecast'!$B$1:$H$1,0)),50)</f>
        <v>0</v>
      </c>
      <c r="Y16" s="38">
        <f>MROUND(INDEX('MAG College Enrollment Forecast'!$B$4:$H$64,MATCH($O16,'MAG College Enrollment Forecast'!$A$4:$A$64,0),MATCH(Y$4,'MAG College Enrollment Forecast'!$B$1:$H$1,0)),50)</f>
        <v>0</v>
      </c>
      <c r="Z16" s="38">
        <f>MROUND(INDEX('MAG College Enrollment Forecast'!$B$4:$H$64,MATCH($O16,'MAG College Enrollment Forecast'!$A$4:$A$64,0),MATCH(Z$4,'MAG College Enrollment Forecast'!$B$1:$H$1,0)),50)</f>
        <v>0</v>
      </c>
      <c r="AA16" s="33">
        <f>MROUND(AA$3*INDEX('College Enrollment Projections'!$AJ$2:$AP$62,MATCH('Campus Enrol Disaggregation'!$O16,'College Enrollment Projections'!$AI$2:$AI$62,0),MATCH('Campus Enrol Disaggregation'!AA$2,'College Enrollment Projections'!$AJ$1:$AP$1,0)),50)</f>
        <v>12700</v>
      </c>
      <c r="AB16" s="33">
        <f>MROUND(AB$3*INDEX('College Enrollment Projections'!$AJ$2:$AP$62,MATCH('Campus Enrol Disaggregation'!$O16,'College Enrollment Projections'!$AI$2:$AI$62,0),MATCH('Campus Enrol Disaggregation'!AB$2,'College Enrollment Projections'!$AJ$1:$AP$1,0)),50)</f>
        <v>3350</v>
      </c>
      <c r="AC16" s="33">
        <f>MROUND(AC$3*INDEX('College Enrollment Projections'!$AJ$2:$AP$62,MATCH('Campus Enrol Disaggregation'!$O16,'College Enrollment Projections'!$AI$2:$AI$62,0),MATCH('Campus Enrol Disaggregation'!AC$2,'College Enrollment Projections'!$AJ$1:$AP$1,0)),50)</f>
        <v>0</v>
      </c>
      <c r="AD16" s="26">
        <f t="shared" si="0"/>
        <v>120650</v>
      </c>
    </row>
    <row r="17" spans="15:30" x14ac:dyDescent="0.25">
      <c r="O17" s="3">
        <v>2002</v>
      </c>
      <c r="P17" s="34">
        <f>MROUND(P$3*INDEX('College Enrollment Projections'!$AJ$2:$AP$62,MATCH('Campus Enrol Disaggregation'!$O17,'College Enrollment Projections'!$AI$2:$AI$62,0),MATCH('Campus Enrol Disaggregation'!P$2,'College Enrollment Projections'!$AJ$1:$AP$1,0)),50)</f>
        <v>32400</v>
      </c>
      <c r="Q17" s="34">
        <f>MROUND(Q$3*INDEX('College Enrollment Projections'!$AJ$2:$AP$62,MATCH('Campus Enrol Disaggregation'!$O17,'College Enrollment Projections'!$AI$2:$AI$62,0),MATCH('Campus Enrol Disaggregation'!Q$2,'College Enrollment Projections'!$AJ$1:$AP$1,0)),50)</f>
        <v>0</v>
      </c>
      <c r="R17" s="34">
        <f>MROUND(R$3*INDEX('College Enrollment Projections'!$AJ$2:$AP$62,MATCH('Campus Enrol Disaggregation'!$O17,'College Enrollment Projections'!$AI$2:$AI$62,0),MATCH('Campus Enrol Disaggregation'!R$2,'College Enrollment Projections'!$AJ$1:$AP$1,0)),50)</f>
        <v>12600</v>
      </c>
      <c r="S17" s="34">
        <f>MROUND(S$3*INDEX('College Enrollment Projections'!$AJ$2:$AP$62,MATCH('Campus Enrol Disaggregation'!$O17,'College Enrollment Projections'!$AI$2:$AI$62,0),MATCH('Campus Enrol Disaggregation'!S$2,'College Enrollment Projections'!$AJ$1:$AP$1,0)),50)</f>
        <v>4400</v>
      </c>
      <c r="T17" s="34">
        <f>MROUND(T$3*INDEX('College Enrollment Projections'!$AJ$2:$AP$62,MATCH('Campus Enrol Disaggregation'!$O17,'College Enrollment Projections'!$AI$2:$AI$62,0),MATCH('Campus Enrol Disaggregation'!T$2,'College Enrollment Projections'!$AJ$1:$AP$1,0)),50)</f>
        <v>1100</v>
      </c>
      <c r="U17" s="34">
        <f>MROUND(U$3*INDEX('College Enrollment Projections'!$AJ$2:$AP$62,MATCH('Campus Enrol Disaggregation'!$O17,'College Enrollment Projections'!$AI$2:$AI$62,0),MATCH('Campus Enrol Disaggregation'!U$2,'College Enrollment Projections'!$AJ$1:$AP$1,0)),50)</f>
        <v>3900</v>
      </c>
      <c r="V17" s="34">
        <f>MROUND(V$3*INDEX('College Enrollment Projections'!$AJ$2:$AP$62,MATCH('Campus Enrol Disaggregation'!$O17,'College Enrollment Projections'!$AI$2:$AI$62,0),MATCH('Campus Enrol Disaggregation'!V$2,'College Enrollment Projections'!$AJ$1:$AP$1,0)),50)</f>
        <v>27600</v>
      </c>
      <c r="W17" s="38">
        <f>MROUND(INDEX('MAG College Enrollment Forecast'!$B$4:$H$64,MATCH($O17,'MAG College Enrollment Forecast'!$A$4:$A$64,0),MATCH(W$4,'MAG College Enrollment Forecast'!$B$1:$H$1,0)),50)</f>
        <v>23600</v>
      </c>
      <c r="X17" s="38">
        <f>MROUND(INDEX('MAG College Enrollment Forecast'!$B$4:$H$64,MATCH($O17,'MAG College Enrollment Forecast'!$A$4:$A$64,0),MATCH(X$4,'MAG College Enrollment Forecast'!$B$1:$H$1,0)),50)</f>
        <v>0</v>
      </c>
      <c r="Y17" s="38">
        <f>MROUND(INDEX('MAG College Enrollment Forecast'!$B$4:$H$64,MATCH($O17,'MAG College Enrollment Forecast'!$A$4:$A$64,0),MATCH(Y$4,'MAG College Enrollment Forecast'!$B$1:$H$1,0)),50)</f>
        <v>0</v>
      </c>
      <c r="Z17" s="38">
        <f>MROUND(INDEX('MAG College Enrollment Forecast'!$B$4:$H$64,MATCH($O17,'MAG College Enrollment Forecast'!$A$4:$A$64,0),MATCH(Z$4,'MAG College Enrollment Forecast'!$B$1:$H$1,0)),50)</f>
        <v>0</v>
      </c>
      <c r="AA17" s="33">
        <f>MROUND(AA$3*INDEX('College Enrollment Projections'!$AJ$2:$AP$62,MATCH('Campus Enrol Disaggregation'!$O17,'College Enrollment Projections'!$AI$2:$AI$62,0),MATCH('Campus Enrol Disaggregation'!AA$2,'College Enrollment Projections'!$AJ$1:$AP$1,0)),50)</f>
        <v>13600</v>
      </c>
      <c r="AB17" s="33">
        <f>MROUND(AB$3*INDEX('College Enrollment Projections'!$AJ$2:$AP$62,MATCH('Campus Enrol Disaggregation'!$O17,'College Enrollment Projections'!$AI$2:$AI$62,0),MATCH('Campus Enrol Disaggregation'!AB$2,'College Enrollment Projections'!$AJ$1:$AP$1,0)),50)</f>
        <v>3550</v>
      </c>
      <c r="AC17" s="33">
        <f>MROUND(AC$3*INDEX('College Enrollment Projections'!$AJ$2:$AP$62,MATCH('Campus Enrol Disaggregation'!$O17,'College Enrollment Projections'!$AI$2:$AI$62,0),MATCH('Campus Enrol Disaggregation'!AC$2,'College Enrollment Projections'!$AJ$1:$AP$1,0)),50)</f>
        <v>0</v>
      </c>
      <c r="AD17" s="26">
        <f t="shared" si="0"/>
        <v>122750</v>
      </c>
    </row>
    <row r="18" spans="15:30" x14ac:dyDescent="0.25">
      <c r="O18" s="3">
        <v>2003</v>
      </c>
      <c r="P18" s="34">
        <f>MROUND(P$3*INDEX('College Enrollment Projections'!$AJ$2:$AP$62,MATCH('Campus Enrol Disaggregation'!$O18,'College Enrollment Projections'!$AI$2:$AI$62,0),MATCH('Campus Enrol Disaggregation'!P$2,'College Enrollment Projections'!$AJ$1:$AP$1,0)),50)</f>
        <v>33000</v>
      </c>
      <c r="Q18" s="34">
        <f>MROUND(Q$3*INDEX('College Enrollment Projections'!$AJ$2:$AP$62,MATCH('Campus Enrol Disaggregation'!$O18,'College Enrollment Projections'!$AI$2:$AI$62,0),MATCH('Campus Enrol Disaggregation'!Q$2,'College Enrollment Projections'!$AJ$1:$AP$1,0)),50)</f>
        <v>1300</v>
      </c>
      <c r="R18" s="34">
        <f>MROUND(R$3*INDEX('College Enrollment Projections'!$AJ$2:$AP$62,MATCH('Campus Enrol Disaggregation'!$O18,'College Enrollment Projections'!$AI$2:$AI$62,0),MATCH('Campus Enrol Disaggregation'!R$2,'College Enrollment Projections'!$AJ$1:$AP$1,0)),50)</f>
        <v>12750</v>
      </c>
      <c r="S18" s="34">
        <f>MROUND(S$3*INDEX('College Enrollment Projections'!$AJ$2:$AP$62,MATCH('Campus Enrol Disaggregation'!$O18,'College Enrollment Projections'!$AI$2:$AI$62,0),MATCH('Campus Enrol Disaggregation'!S$2,'College Enrollment Projections'!$AJ$1:$AP$1,0)),50)</f>
        <v>4450</v>
      </c>
      <c r="T18" s="34">
        <f>MROUND(T$3*INDEX('College Enrollment Projections'!$AJ$2:$AP$62,MATCH('Campus Enrol Disaggregation'!$O18,'College Enrollment Projections'!$AI$2:$AI$62,0),MATCH('Campus Enrol Disaggregation'!T$2,'College Enrollment Projections'!$AJ$1:$AP$1,0)),50)</f>
        <v>1100</v>
      </c>
      <c r="U18" s="34">
        <f>MROUND(U$3*INDEX('College Enrollment Projections'!$AJ$2:$AP$62,MATCH('Campus Enrol Disaggregation'!$O18,'College Enrollment Projections'!$AI$2:$AI$62,0),MATCH('Campus Enrol Disaggregation'!U$2,'College Enrollment Projections'!$AJ$1:$AP$1,0)),50)</f>
        <v>3950</v>
      </c>
      <c r="V18" s="34">
        <f>MROUND(V$3*INDEX('College Enrollment Projections'!$AJ$2:$AP$62,MATCH('Campus Enrol Disaggregation'!$O18,'College Enrollment Projections'!$AI$2:$AI$62,0),MATCH('Campus Enrol Disaggregation'!V$2,'College Enrollment Projections'!$AJ$1:$AP$1,0)),50)</f>
        <v>27700</v>
      </c>
      <c r="W18" s="38">
        <f>MROUND(INDEX('MAG College Enrollment Forecast'!$B$4:$H$64,MATCH($O18,'MAG College Enrollment Forecast'!$A$4:$A$64,0),MATCH(W$4,'MAG College Enrollment Forecast'!$B$1:$H$1,0)),50)</f>
        <v>23800</v>
      </c>
      <c r="X18" s="38">
        <f>MROUND(INDEX('MAG College Enrollment Forecast'!$B$4:$H$64,MATCH($O18,'MAG College Enrollment Forecast'!$A$4:$A$64,0),MATCH(X$4,'MAG College Enrollment Forecast'!$B$1:$H$1,0)),50)</f>
        <v>0</v>
      </c>
      <c r="Y18" s="38">
        <f>MROUND(INDEX('MAG College Enrollment Forecast'!$B$4:$H$64,MATCH($O18,'MAG College Enrollment Forecast'!$A$4:$A$64,0),MATCH(Y$4,'MAG College Enrollment Forecast'!$B$1:$H$1,0)),50)</f>
        <v>0</v>
      </c>
      <c r="Z18" s="38">
        <f>MROUND(INDEX('MAG College Enrollment Forecast'!$B$4:$H$64,MATCH($O18,'MAG College Enrollment Forecast'!$A$4:$A$64,0),MATCH(Z$4,'MAG College Enrollment Forecast'!$B$1:$H$1,0)),50)</f>
        <v>0</v>
      </c>
      <c r="AA18" s="33">
        <f>MROUND(AA$3*INDEX('College Enrollment Projections'!$AJ$2:$AP$62,MATCH('Campus Enrol Disaggregation'!$O18,'College Enrollment Projections'!$AI$2:$AI$62,0),MATCH('Campus Enrol Disaggregation'!AA$2,'College Enrollment Projections'!$AJ$1:$AP$1,0)),50)</f>
        <v>14150</v>
      </c>
      <c r="AB18" s="33">
        <f>MROUND(AB$3*INDEX('College Enrollment Projections'!$AJ$2:$AP$62,MATCH('Campus Enrol Disaggregation'!$O18,'College Enrollment Projections'!$AI$2:$AI$62,0),MATCH('Campus Enrol Disaggregation'!AB$2,'College Enrollment Projections'!$AJ$1:$AP$1,0)),50)</f>
        <v>3700</v>
      </c>
      <c r="AC18" s="33">
        <f>MROUND(AC$3*INDEX('College Enrollment Projections'!$AJ$2:$AP$62,MATCH('Campus Enrol Disaggregation'!$O18,'College Enrollment Projections'!$AI$2:$AI$62,0),MATCH('Campus Enrol Disaggregation'!AC$2,'College Enrollment Projections'!$AJ$1:$AP$1,0)),50)</f>
        <v>0</v>
      </c>
      <c r="AD18" s="26">
        <f t="shared" si="0"/>
        <v>125900</v>
      </c>
    </row>
    <row r="19" spans="15:30" x14ac:dyDescent="0.25">
      <c r="O19" s="3">
        <v>2004</v>
      </c>
      <c r="P19" s="34">
        <f>MROUND(P$3*INDEX('College Enrollment Projections'!$AJ$2:$AP$62,MATCH('Campus Enrol Disaggregation'!$O19,'College Enrollment Projections'!$AI$2:$AI$62,0),MATCH('Campus Enrol Disaggregation'!P$2,'College Enrollment Projections'!$AJ$1:$AP$1,0)),50)</f>
        <v>33450</v>
      </c>
      <c r="Q19" s="34">
        <f>MROUND(Q$3*INDEX('College Enrollment Projections'!$AJ$2:$AP$62,MATCH('Campus Enrol Disaggregation'!$O19,'College Enrollment Projections'!$AI$2:$AI$62,0),MATCH('Campus Enrol Disaggregation'!Q$2,'College Enrollment Projections'!$AJ$1:$AP$1,0)),50)</f>
        <v>1400</v>
      </c>
      <c r="R19" s="34">
        <f>MROUND(R$3*INDEX('College Enrollment Projections'!$AJ$2:$AP$62,MATCH('Campus Enrol Disaggregation'!$O19,'College Enrollment Projections'!$AI$2:$AI$62,0),MATCH('Campus Enrol Disaggregation'!R$2,'College Enrollment Projections'!$AJ$1:$AP$1,0)),50)</f>
        <v>13550</v>
      </c>
      <c r="S19" s="34">
        <f>MROUND(S$3*INDEX('College Enrollment Projections'!$AJ$2:$AP$62,MATCH('Campus Enrol Disaggregation'!$O19,'College Enrollment Projections'!$AI$2:$AI$62,0),MATCH('Campus Enrol Disaggregation'!S$2,'College Enrollment Projections'!$AJ$1:$AP$1,0)),50)</f>
        <v>4750</v>
      </c>
      <c r="T19" s="34">
        <f>MROUND(T$3*INDEX('College Enrollment Projections'!$AJ$2:$AP$62,MATCH('Campus Enrol Disaggregation'!$O19,'College Enrollment Projections'!$AI$2:$AI$62,0),MATCH('Campus Enrol Disaggregation'!T$2,'College Enrollment Projections'!$AJ$1:$AP$1,0)),50)</f>
        <v>1200</v>
      </c>
      <c r="U19" s="34">
        <f>MROUND(U$3*INDEX('College Enrollment Projections'!$AJ$2:$AP$62,MATCH('Campus Enrol Disaggregation'!$O19,'College Enrollment Projections'!$AI$2:$AI$62,0),MATCH('Campus Enrol Disaggregation'!U$2,'College Enrollment Projections'!$AJ$1:$AP$1,0)),50)</f>
        <v>4200</v>
      </c>
      <c r="V19" s="34">
        <f>MROUND(V$3*INDEX('College Enrollment Projections'!$AJ$2:$AP$62,MATCH('Campus Enrol Disaggregation'!$O19,'College Enrollment Projections'!$AI$2:$AI$62,0),MATCH('Campus Enrol Disaggregation'!V$2,'College Enrollment Projections'!$AJ$1:$AP$1,0)),50)</f>
        <v>28150</v>
      </c>
      <c r="W19" s="38">
        <f>MROUND(INDEX('MAG College Enrollment Forecast'!$B$4:$H$64,MATCH($O19,'MAG College Enrollment Forecast'!$A$4:$A$64,0),MATCH(W$4,'MAG College Enrollment Forecast'!$B$1:$H$1,0)),50)</f>
        <v>24150</v>
      </c>
      <c r="X19" s="38">
        <f>MROUND(INDEX('MAG College Enrollment Forecast'!$B$4:$H$64,MATCH($O19,'MAG College Enrollment Forecast'!$A$4:$A$64,0),MATCH(X$4,'MAG College Enrollment Forecast'!$B$1:$H$1,0)),50)</f>
        <v>0</v>
      </c>
      <c r="Y19" s="38">
        <f>MROUND(INDEX('MAG College Enrollment Forecast'!$B$4:$H$64,MATCH($O19,'MAG College Enrollment Forecast'!$A$4:$A$64,0),MATCH(Y$4,'MAG College Enrollment Forecast'!$B$1:$H$1,0)),50)</f>
        <v>0</v>
      </c>
      <c r="Z19" s="38">
        <f>MROUND(INDEX('MAG College Enrollment Forecast'!$B$4:$H$64,MATCH($O19,'MAG College Enrollment Forecast'!$A$4:$A$64,0),MATCH(Z$4,'MAG College Enrollment Forecast'!$B$1:$H$1,0)),50)</f>
        <v>0</v>
      </c>
      <c r="AA19" s="33">
        <f>MROUND(AA$3*INDEX('College Enrollment Projections'!$AJ$2:$AP$62,MATCH('Campus Enrol Disaggregation'!$O19,'College Enrollment Projections'!$AI$2:$AI$62,0),MATCH('Campus Enrol Disaggregation'!AA$2,'College Enrollment Projections'!$AJ$1:$AP$1,0)),50)</f>
        <v>13900</v>
      </c>
      <c r="AB19" s="33">
        <f>MROUND(AB$3*INDEX('College Enrollment Projections'!$AJ$2:$AP$62,MATCH('Campus Enrol Disaggregation'!$O19,'College Enrollment Projections'!$AI$2:$AI$62,0),MATCH('Campus Enrol Disaggregation'!AB$2,'College Enrollment Projections'!$AJ$1:$AP$1,0)),50)</f>
        <v>3650</v>
      </c>
      <c r="AC19" s="33">
        <f>MROUND(AC$3*INDEX('College Enrollment Projections'!$AJ$2:$AP$62,MATCH('Campus Enrol Disaggregation'!$O19,'College Enrollment Projections'!$AI$2:$AI$62,0),MATCH('Campus Enrol Disaggregation'!AC$2,'College Enrollment Projections'!$AJ$1:$AP$1,0)),50)</f>
        <v>0</v>
      </c>
      <c r="AD19" s="26">
        <f t="shared" si="0"/>
        <v>128400</v>
      </c>
    </row>
    <row r="20" spans="15:30" x14ac:dyDescent="0.25">
      <c r="O20" s="3">
        <v>2005</v>
      </c>
      <c r="P20" s="34">
        <f>MROUND(P$3*INDEX('College Enrollment Projections'!$AJ$2:$AP$62,MATCH('Campus Enrol Disaggregation'!$O20,'College Enrollment Projections'!$AI$2:$AI$62,0),MATCH('Campus Enrol Disaggregation'!P$2,'College Enrollment Projections'!$AJ$1:$AP$1,0)),50)</f>
        <v>32900</v>
      </c>
      <c r="Q20" s="34">
        <f>MROUND(Q$3*INDEX('College Enrollment Projections'!$AJ$2:$AP$62,MATCH('Campus Enrol Disaggregation'!$O20,'College Enrollment Projections'!$AI$2:$AI$62,0),MATCH('Campus Enrol Disaggregation'!Q$2,'College Enrollment Projections'!$AJ$1:$AP$1,0)),50)</f>
        <v>1500</v>
      </c>
      <c r="R20" s="34">
        <f>MROUND(R$3*INDEX('College Enrollment Projections'!$AJ$2:$AP$62,MATCH('Campus Enrol Disaggregation'!$O20,'College Enrollment Projections'!$AI$2:$AI$62,0),MATCH('Campus Enrol Disaggregation'!R$2,'College Enrollment Projections'!$AJ$1:$AP$1,0)),50)</f>
        <v>13500</v>
      </c>
      <c r="S20" s="34">
        <f>MROUND(S$3*INDEX('College Enrollment Projections'!$AJ$2:$AP$62,MATCH('Campus Enrol Disaggregation'!$O20,'College Enrollment Projections'!$AI$2:$AI$62,0),MATCH('Campus Enrol Disaggregation'!S$2,'College Enrollment Projections'!$AJ$1:$AP$1,0)),50)</f>
        <v>4700</v>
      </c>
      <c r="T20" s="34">
        <f>MROUND(T$3*INDEX('College Enrollment Projections'!$AJ$2:$AP$62,MATCH('Campus Enrol Disaggregation'!$O20,'College Enrollment Projections'!$AI$2:$AI$62,0),MATCH('Campus Enrol Disaggregation'!T$2,'College Enrollment Projections'!$AJ$1:$AP$1,0)),50)</f>
        <v>1200</v>
      </c>
      <c r="U20" s="34">
        <f>MROUND(U$3*INDEX('College Enrollment Projections'!$AJ$2:$AP$62,MATCH('Campus Enrol Disaggregation'!$O20,'College Enrollment Projections'!$AI$2:$AI$62,0),MATCH('Campus Enrol Disaggregation'!U$2,'College Enrollment Projections'!$AJ$1:$AP$1,0)),50)</f>
        <v>4200</v>
      </c>
      <c r="V20" s="34">
        <f>MROUND(V$3*INDEX('College Enrollment Projections'!$AJ$2:$AP$62,MATCH('Campus Enrol Disaggregation'!$O20,'College Enrollment Projections'!$AI$2:$AI$62,0),MATCH('Campus Enrol Disaggregation'!V$2,'College Enrollment Projections'!$AJ$1:$AP$1,0)),50)</f>
        <v>28250</v>
      </c>
      <c r="W20" s="38">
        <f>MROUND(INDEX('MAG College Enrollment Forecast'!$B$4:$H$64,MATCH($O20,'MAG College Enrollment Forecast'!$A$4:$A$64,0),MATCH(W$4,'MAG College Enrollment Forecast'!$B$1:$H$1,0)),50)</f>
        <v>24500</v>
      </c>
      <c r="X20" s="38">
        <f>MROUND(INDEX('MAG College Enrollment Forecast'!$B$4:$H$64,MATCH($O20,'MAG College Enrollment Forecast'!$A$4:$A$64,0),MATCH(X$4,'MAG College Enrollment Forecast'!$B$1:$H$1,0)),50)</f>
        <v>0</v>
      </c>
      <c r="Y20" s="38">
        <f>MROUND(INDEX('MAG College Enrollment Forecast'!$B$4:$H$64,MATCH($O20,'MAG College Enrollment Forecast'!$A$4:$A$64,0),MATCH(Y$4,'MAG College Enrollment Forecast'!$B$1:$H$1,0)),50)</f>
        <v>0</v>
      </c>
      <c r="Z20" s="38">
        <f>MROUND(INDEX('MAG College Enrollment Forecast'!$B$4:$H$64,MATCH($O20,'MAG College Enrollment Forecast'!$A$4:$A$64,0),MATCH(Z$4,'MAG College Enrollment Forecast'!$B$1:$H$1,0)),50)</f>
        <v>0</v>
      </c>
      <c r="AA20" s="33">
        <f>MROUND(AA$3*INDEX('College Enrollment Projections'!$AJ$2:$AP$62,MATCH('Campus Enrol Disaggregation'!$O20,'College Enrollment Projections'!$AI$2:$AI$62,0),MATCH('Campus Enrol Disaggregation'!AA$2,'College Enrollment Projections'!$AJ$1:$AP$1,0)),50)</f>
        <v>13650</v>
      </c>
      <c r="AB20" s="33">
        <f>MROUND(AB$3*INDEX('College Enrollment Projections'!$AJ$2:$AP$62,MATCH('Campus Enrol Disaggregation'!$O20,'College Enrollment Projections'!$AI$2:$AI$62,0),MATCH('Campus Enrol Disaggregation'!AB$2,'College Enrollment Projections'!$AJ$1:$AP$1,0)),50)</f>
        <v>3600</v>
      </c>
      <c r="AC20" s="33">
        <f>MROUND(AC$3*INDEX('College Enrollment Projections'!$AJ$2:$AP$62,MATCH('Campus Enrol Disaggregation'!$O20,'College Enrollment Projections'!$AI$2:$AI$62,0),MATCH('Campus Enrol Disaggregation'!AC$2,'College Enrollment Projections'!$AJ$1:$AP$1,0)),50)</f>
        <v>0</v>
      </c>
      <c r="AD20" s="26">
        <f t="shared" si="0"/>
        <v>128000</v>
      </c>
    </row>
    <row r="21" spans="15:30" x14ac:dyDescent="0.25">
      <c r="O21" s="3">
        <v>2006</v>
      </c>
      <c r="P21" s="34">
        <f>MROUND(P$3*INDEX('College Enrollment Projections'!$AJ$2:$AP$62,MATCH('Campus Enrol Disaggregation'!$O21,'College Enrollment Projections'!$AI$2:$AI$62,0),MATCH('Campus Enrol Disaggregation'!P$2,'College Enrollment Projections'!$AJ$1:$AP$1,0)),50)</f>
        <v>32700</v>
      </c>
      <c r="Q21" s="34">
        <f>MROUND(Q$3*INDEX('College Enrollment Projections'!$AJ$2:$AP$62,MATCH('Campus Enrol Disaggregation'!$O21,'College Enrollment Projections'!$AI$2:$AI$62,0),MATCH('Campus Enrol Disaggregation'!Q$2,'College Enrollment Projections'!$AJ$1:$AP$1,0)),50)</f>
        <v>1600</v>
      </c>
      <c r="R21" s="34">
        <f>MROUND(R$3*INDEX('College Enrollment Projections'!$AJ$2:$AP$62,MATCH('Campus Enrol Disaggregation'!$O21,'College Enrollment Projections'!$AI$2:$AI$62,0),MATCH('Campus Enrol Disaggregation'!R$2,'College Enrollment Projections'!$AJ$1:$AP$1,0)),50)</f>
        <v>13250</v>
      </c>
      <c r="S21" s="34">
        <f>MROUND(S$3*INDEX('College Enrollment Projections'!$AJ$2:$AP$62,MATCH('Campus Enrol Disaggregation'!$O21,'College Enrollment Projections'!$AI$2:$AI$62,0),MATCH('Campus Enrol Disaggregation'!S$2,'College Enrollment Projections'!$AJ$1:$AP$1,0)),50)</f>
        <v>4650</v>
      </c>
      <c r="T21" s="34">
        <f>MROUND(T$3*INDEX('College Enrollment Projections'!$AJ$2:$AP$62,MATCH('Campus Enrol Disaggregation'!$O21,'College Enrollment Projections'!$AI$2:$AI$62,0),MATCH('Campus Enrol Disaggregation'!T$2,'College Enrollment Projections'!$AJ$1:$AP$1,0)),50)</f>
        <v>1150</v>
      </c>
      <c r="U21" s="34">
        <f>MROUND(U$3*INDEX('College Enrollment Projections'!$AJ$2:$AP$62,MATCH('Campus Enrol Disaggregation'!$O21,'College Enrollment Projections'!$AI$2:$AI$62,0),MATCH('Campus Enrol Disaggregation'!U$2,'College Enrollment Projections'!$AJ$1:$AP$1,0)),50)</f>
        <v>4100</v>
      </c>
      <c r="V21" s="34">
        <f>MROUND(V$3*INDEX('College Enrollment Projections'!$AJ$2:$AP$62,MATCH('Campus Enrol Disaggregation'!$O21,'College Enrollment Projections'!$AI$2:$AI$62,0),MATCH('Campus Enrol Disaggregation'!V$2,'College Enrollment Projections'!$AJ$1:$AP$1,0)),50)</f>
        <v>27850</v>
      </c>
      <c r="W21" s="38">
        <f>MROUND(INDEX('MAG College Enrollment Forecast'!$B$4:$H$64,MATCH($O21,'MAG College Enrollment Forecast'!$A$4:$A$64,0),MATCH(W$4,'MAG College Enrollment Forecast'!$B$1:$H$1,0)),50)</f>
        <v>23300</v>
      </c>
      <c r="X21" s="38">
        <f>MROUND(INDEX('MAG College Enrollment Forecast'!$B$4:$H$64,MATCH($O21,'MAG College Enrollment Forecast'!$A$4:$A$64,0),MATCH(X$4,'MAG College Enrollment Forecast'!$B$1:$H$1,0)),50)</f>
        <v>0</v>
      </c>
      <c r="Y21" s="38">
        <f>MROUND(INDEX('MAG College Enrollment Forecast'!$B$4:$H$64,MATCH($O21,'MAG College Enrollment Forecast'!$A$4:$A$64,0),MATCH(Y$4,'MAG College Enrollment Forecast'!$B$1:$H$1,0)),50)</f>
        <v>0</v>
      </c>
      <c r="Z21" s="38">
        <f>MROUND(INDEX('MAG College Enrollment Forecast'!$B$4:$H$64,MATCH($O21,'MAG College Enrollment Forecast'!$A$4:$A$64,0),MATCH(Z$4,'MAG College Enrollment Forecast'!$B$1:$H$1,0)),50)</f>
        <v>0</v>
      </c>
      <c r="AA21" s="33">
        <f>MROUND(AA$3*INDEX('College Enrollment Projections'!$AJ$2:$AP$62,MATCH('Campus Enrol Disaggregation'!$O21,'College Enrollment Projections'!$AI$2:$AI$62,0),MATCH('Campus Enrol Disaggregation'!AA$2,'College Enrollment Projections'!$AJ$1:$AP$1,0)),50)</f>
        <v>13750</v>
      </c>
      <c r="AB21" s="33">
        <f>MROUND(AB$3*INDEX('College Enrollment Projections'!$AJ$2:$AP$62,MATCH('Campus Enrol Disaggregation'!$O21,'College Enrollment Projections'!$AI$2:$AI$62,0),MATCH('Campus Enrol Disaggregation'!AB$2,'College Enrollment Projections'!$AJ$1:$AP$1,0)),50)</f>
        <v>3600</v>
      </c>
      <c r="AC21" s="33">
        <f>MROUND(AC$3*INDEX('College Enrollment Projections'!$AJ$2:$AP$62,MATCH('Campus Enrol Disaggregation'!$O21,'College Enrollment Projections'!$AI$2:$AI$62,0),MATCH('Campus Enrol Disaggregation'!AC$2,'College Enrollment Projections'!$AJ$1:$AP$1,0)),50)</f>
        <v>2500</v>
      </c>
      <c r="AD21" s="26">
        <f t="shared" si="0"/>
        <v>128450</v>
      </c>
    </row>
    <row r="22" spans="15:30" x14ac:dyDescent="0.25">
      <c r="O22" s="3">
        <v>2007</v>
      </c>
      <c r="P22" s="34">
        <f>MROUND(P$3*INDEX('College Enrollment Projections'!$AJ$2:$AP$62,MATCH('Campus Enrol Disaggregation'!$O22,'College Enrollment Projections'!$AI$2:$AI$62,0),MATCH('Campus Enrol Disaggregation'!P$2,'College Enrollment Projections'!$AJ$1:$AP$1,0)),50)</f>
        <v>32950</v>
      </c>
      <c r="Q22" s="34">
        <f>MROUND(Q$3*INDEX('College Enrollment Projections'!$AJ$2:$AP$62,MATCH('Campus Enrol Disaggregation'!$O22,'College Enrollment Projections'!$AI$2:$AI$62,0),MATCH('Campus Enrol Disaggregation'!Q$2,'College Enrollment Projections'!$AJ$1:$AP$1,0)),50)</f>
        <v>1700</v>
      </c>
      <c r="R22" s="34">
        <f>MROUND(R$3*INDEX('College Enrollment Projections'!$AJ$2:$AP$62,MATCH('Campus Enrol Disaggregation'!$O22,'College Enrollment Projections'!$AI$2:$AI$62,0),MATCH('Campus Enrol Disaggregation'!R$2,'College Enrollment Projections'!$AJ$1:$AP$1,0)),50)</f>
        <v>13250</v>
      </c>
      <c r="S22" s="34">
        <f>MROUND(S$3*INDEX('College Enrollment Projections'!$AJ$2:$AP$62,MATCH('Campus Enrol Disaggregation'!$O22,'College Enrollment Projections'!$AI$2:$AI$62,0),MATCH('Campus Enrol Disaggregation'!S$2,'College Enrollment Projections'!$AJ$1:$AP$1,0)),50)</f>
        <v>4650</v>
      </c>
      <c r="T22" s="34">
        <f>MROUND(T$3*INDEX('College Enrollment Projections'!$AJ$2:$AP$62,MATCH('Campus Enrol Disaggregation'!$O22,'College Enrollment Projections'!$AI$2:$AI$62,0),MATCH('Campus Enrol Disaggregation'!T$2,'College Enrollment Projections'!$AJ$1:$AP$1,0)),50)</f>
        <v>1150</v>
      </c>
      <c r="U22" s="34">
        <f>MROUND(U$3*INDEX('College Enrollment Projections'!$AJ$2:$AP$62,MATCH('Campus Enrol Disaggregation'!$O22,'College Enrollment Projections'!$AI$2:$AI$62,0),MATCH('Campus Enrol Disaggregation'!U$2,'College Enrollment Projections'!$AJ$1:$AP$1,0)),50)</f>
        <v>4100</v>
      </c>
      <c r="V22" s="34">
        <f>MROUND(V$3*INDEX('College Enrollment Projections'!$AJ$2:$AP$62,MATCH('Campus Enrol Disaggregation'!$O22,'College Enrollment Projections'!$AI$2:$AI$62,0),MATCH('Campus Enrol Disaggregation'!V$2,'College Enrollment Projections'!$AJ$1:$AP$1,0)),50)</f>
        <v>27300</v>
      </c>
      <c r="W22" s="38">
        <f>MROUND(INDEX('MAG College Enrollment Forecast'!$B$4:$H$64,MATCH($O22,'MAG College Enrollment Forecast'!$A$4:$A$64,0),MATCH(W$4,'MAG College Enrollment Forecast'!$B$1:$H$1,0)),50)</f>
        <v>23850</v>
      </c>
      <c r="X22" s="38">
        <f>MROUND(INDEX('MAG College Enrollment Forecast'!$B$4:$H$64,MATCH($O22,'MAG College Enrollment Forecast'!$A$4:$A$64,0),MATCH(X$4,'MAG College Enrollment Forecast'!$B$1:$H$1,0)),50)</f>
        <v>0</v>
      </c>
      <c r="Y22" s="38">
        <f>MROUND(INDEX('MAG College Enrollment Forecast'!$B$4:$H$64,MATCH($O22,'MAG College Enrollment Forecast'!$A$4:$A$64,0),MATCH(Y$4,'MAG College Enrollment Forecast'!$B$1:$H$1,0)),50)</f>
        <v>0</v>
      </c>
      <c r="Z22" s="38">
        <f>MROUND(INDEX('MAG College Enrollment Forecast'!$B$4:$H$64,MATCH($O22,'MAG College Enrollment Forecast'!$A$4:$A$64,0),MATCH(Z$4,'MAG College Enrollment Forecast'!$B$1:$H$1,0)),50)</f>
        <v>0</v>
      </c>
      <c r="AA22" s="33">
        <f>MROUND(AA$3*INDEX('College Enrollment Projections'!$AJ$2:$AP$62,MATCH('Campus Enrol Disaggregation'!$O22,'College Enrollment Projections'!$AI$2:$AI$62,0),MATCH('Campus Enrol Disaggregation'!AA$2,'College Enrollment Projections'!$AJ$1:$AP$1,0)),50)</f>
        <v>13600</v>
      </c>
      <c r="AB22" s="33">
        <f>MROUND(AB$3*INDEX('College Enrollment Projections'!$AJ$2:$AP$62,MATCH('Campus Enrol Disaggregation'!$O22,'College Enrollment Projections'!$AI$2:$AI$62,0),MATCH('Campus Enrol Disaggregation'!AB$2,'College Enrollment Projections'!$AJ$1:$AP$1,0)),50)</f>
        <v>3550</v>
      </c>
      <c r="AC22" s="33">
        <f>MROUND(AC$3*INDEX('College Enrollment Projections'!$AJ$2:$AP$62,MATCH('Campus Enrol Disaggregation'!$O22,'College Enrollment Projections'!$AI$2:$AI$62,0),MATCH('Campus Enrol Disaggregation'!AC$2,'College Enrollment Projections'!$AJ$1:$AP$1,0)),50)</f>
        <v>2650</v>
      </c>
      <c r="AD22" s="26">
        <f t="shared" si="0"/>
        <v>128750</v>
      </c>
    </row>
    <row r="23" spans="15:30" x14ac:dyDescent="0.25">
      <c r="O23" s="3">
        <v>2008</v>
      </c>
      <c r="P23" s="34">
        <f>MROUND(P$3*INDEX('College Enrollment Projections'!$AJ$2:$AP$62,MATCH('Campus Enrol Disaggregation'!$O23,'College Enrollment Projections'!$AI$2:$AI$62,0),MATCH('Campus Enrol Disaggregation'!P$2,'College Enrollment Projections'!$AJ$1:$AP$1,0)),50)</f>
        <v>33000</v>
      </c>
      <c r="Q23" s="34">
        <f>MROUND(Q$3*INDEX('College Enrollment Projections'!$AJ$2:$AP$62,MATCH('Campus Enrol Disaggregation'!$O23,'College Enrollment Projections'!$AI$2:$AI$62,0),MATCH('Campus Enrol Disaggregation'!Q$2,'College Enrollment Projections'!$AJ$1:$AP$1,0)),50)</f>
        <v>1800</v>
      </c>
      <c r="R23" s="34">
        <f>MROUND(R$3*INDEX('College Enrollment Projections'!$AJ$2:$AP$62,MATCH('Campus Enrol Disaggregation'!$O23,'College Enrollment Projections'!$AI$2:$AI$62,0),MATCH('Campus Enrol Disaggregation'!R$2,'College Enrollment Projections'!$AJ$1:$AP$1,0)),50)</f>
        <v>15750</v>
      </c>
      <c r="S23" s="34">
        <f>MROUND(S$3*INDEX('College Enrollment Projections'!$AJ$2:$AP$62,MATCH('Campus Enrol Disaggregation'!$O23,'College Enrollment Projections'!$AI$2:$AI$62,0),MATCH('Campus Enrol Disaggregation'!S$2,'College Enrollment Projections'!$AJ$1:$AP$1,0)),50)</f>
        <v>5500</v>
      </c>
      <c r="T23" s="34">
        <f>MROUND(T$3*INDEX('College Enrollment Projections'!$AJ$2:$AP$62,MATCH('Campus Enrol Disaggregation'!$O23,'College Enrollment Projections'!$AI$2:$AI$62,0),MATCH('Campus Enrol Disaggregation'!T$2,'College Enrollment Projections'!$AJ$1:$AP$1,0)),50)</f>
        <v>1350</v>
      </c>
      <c r="U23" s="34">
        <f>MROUND(U$3*INDEX('College Enrollment Projections'!$AJ$2:$AP$62,MATCH('Campus Enrol Disaggregation'!$O23,'College Enrollment Projections'!$AI$2:$AI$62,0),MATCH('Campus Enrol Disaggregation'!U$2,'College Enrollment Projections'!$AJ$1:$AP$1,0)),50)</f>
        <v>4900</v>
      </c>
      <c r="V23" s="34">
        <f>MROUND(V$3*INDEX('College Enrollment Projections'!$AJ$2:$AP$62,MATCH('Campus Enrol Disaggregation'!$O23,'College Enrollment Projections'!$AI$2:$AI$62,0),MATCH('Campus Enrol Disaggregation'!V$2,'College Enrollment Projections'!$AJ$1:$AP$1,0)),50)</f>
        <v>27450</v>
      </c>
      <c r="W23" s="38">
        <f>MROUND(INDEX('MAG College Enrollment Forecast'!$B$4:$H$64,MATCH($O23,'MAG College Enrollment Forecast'!$A$4:$A$64,0),MATCH(W$4,'MAG College Enrollment Forecast'!$B$1:$H$1,0)),50)</f>
        <v>27050</v>
      </c>
      <c r="X23" s="38">
        <f>MROUND(INDEX('MAG College Enrollment Forecast'!$B$4:$H$64,MATCH($O23,'MAG College Enrollment Forecast'!$A$4:$A$64,0),MATCH(X$4,'MAG College Enrollment Forecast'!$B$1:$H$1,0)),50)</f>
        <v>0</v>
      </c>
      <c r="Y23" s="38">
        <f>MROUND(INDEX('MAG College Enrollment Forecast'!$B$4:$H$64,MATCH($O23,'MAG College Enrollment Forecast'!$A$4:$A$64,0),MATCH(Y$4,'MAG College Enrollment Forecast'!$B$1:$H$1,0)),50)</f>
        <v>0</v>
      </c>
      <c r="Z23" s="38">
        <f>MROUND(INDEX('MAG College Enrollment Forecast'!$B$4:$H$64,MATCH($O23,'MAG College Enrollment Forecast'!$A$4:$A$64,0),MATCH(Z$4,'MAG College Enrollment Forecast'!$B$1:$H$1,0)),50)</f>
        <v>0</v>
      </c>
      <c r="AA23" s="33">
        <f>MROUND(AA$3*INDEX('College Enrollment Projections'!$AJ$2:$AP$62,MATCH('Campus Enrol Disaggregation'!$O23,'College Enrollment Projections'!$AI$2:$AI$62,0),MATCH('Campus Enrol Disaggregation'!AA$2,'College Enrollment Projections'!$AJ$1:$AP$1,0)),50)</f>
        <v>16100</v>
      </c>
      <c r="AB23" s="33">
        <f>MROUND(AB$3*INDEX('College Enrollment Projections'!$AJ$2:$AP$62,MATCH('Campus Enrol Disaggregation'!$O23,'College Enrollment Projections'!$AI$2:$AI$62,0),MATCH('Campus Enrol Disaggregation'!AB$2,'College Enrollment Projections'!$AJ$1:$AP$1,0)),50)</f>
        <v>4250</v>
      </c>
      <c r="AC23" s="33">
        <f>MROUND(AC$3*INDEX('College Enrollment Projections'!$AJ$2:$AP$62,MATCH('Campus Enrol Disaggregation'!$O23,'College Enrollment Projections'!$AI$2:$AI$62,0),MATCH('Campus Enrol Disaggregation'!AC$2,'College Enrollment Projections'!$AJ$1:$AP$1,0)),50)</f>
        <v>2850</v>
      </c>
      <c r="AD23" s="26">
        <f t="shared" si="0"/>
        <v>140000</v>
      </c>
    </row>
    <row r="24" spans="15:30" x14ac:dyDescent="0.25">
      <c r="O24" s="3">
        <v>2009</v>
      </c>
      <c r="P24" s="34">
        <f>MROUND(P$3*INDEX('College Enrollment Projections'!$AJ$2:$AP$62,MATCH('Campus Enrol Disaggregation'!$O24,'College Enrollment Projections'!$AI$2:$AI$62,0),MATCH('Campus Enrol Disaggregation'!P$2,'College Enrollment Projections'!$AJ$1:$AP$1,0)),50)</f>
        <v>32950</v>
      </c>
      <c r="Q24" s="34">
        <f>MROUND(Q$3*INDEX('College Enrollment Projections'!$AJ$2:$AP$62,MATCH('Campus Enrol Disaggregation'!$O24,'College Enrollment Projections'!$AI$2:$AI$62,0),MATCH('Campus Enrol Disaggregation'!Q$2,'College Enrollment Projections'!$AJ$1:$AP$1,0)),50)</f>
        <v>1900</v>
      </c>
      <c r="R24" s="34">
        <f>MROUND(R$3*INDEX('College Enrollment Projections'!$AJ$2:$AP$62,MATCH('Campus Enrol Disaggregation'!$O24,'College Enrollment Projections'!$AI$2:$AI$62,0),MATCH('Campus Enrol Disaggregation'!R$2,'College Enrollment Projections'!$AJ$1:$AP$1,0)),50)</f>
        <v>21050</v>
      </c>
      <c r="S24" s="34">
        <f>MROUND(S$3*INDEX('College Enrollment Projections'!$AJ$2:$AP$62,MATCH('Campus Enrol Disaggregation'!$O24,'College Enrollment Projections'!$AI$2:$AI$62,0),MATCH('Campus Enrol Disaggregation'!S$2,'College Enrollment Projections'!$AJ$1:$AP$1,0)),50)</f>
        <v>7350</v>
      </c>
      <c r="T24" s="34">
        <f>MROUND(T$3*INDEX('College Enrollment Projections'!$AJ$2:$AP$62,MATCH('Campus Enrol Disaggregation'!$O24,'College Enrollment Projections'!$AI$2:$AI$62,0),MATCH('Campus Enrol Disaggregation'!T$2,'College Enrollment Projections'!$AJ$1:$AP$1,0)),50)</f>
        <v>1850</v>
      </c>
      <c r="U24" s="34">
        <f>MROUND(U$3*INDEX('College Enrollment Projections'!$AJ$2:$AP$62,MATCH('Campus Enrol Disaggregation'!$O24,'College Enrollment Projections'!$AI$2:$AI$62,0),MATCH('Campus Enrol Disaggregation'!U$2,'College Enrollment Projections'!$AJ$1:$AP$1,0)),50)</f>
        <v>6550</v>
      </c>
      <c r="V24" s="34">
        <f>MROUND(V$3*INDEX('College Enrollment Projections'!$AJ$2:$AP$62,MATCH('Campus Enrol Disaggregation'!$O24,'College Enrollment Projections'!$AI$2:$AI$62,0),MATCH('Campus Enrol Disaggregation'!V$2,'College Enrollment Projections'!$AJ$1:$AP$1,0)),50)</f>
        <v>29300</v>
      </c>
      <c r="W24" s="38">
        <f>MROUND(INDEX('MAG College Enrollment Forecast'!$B$4:$H$64,MATCH($O24,'MAG College Enrollment Forecast'!$A$4:$A$64,0),MATCH(W$4,'MAG College Enrollment Forecast'!$B$1:$H$1,0)),50)</f>
        <v>29050</v>
      </c>
      <c r="X24" s="38">
        <f>MROUND(INDEX('MAG College Enrollment Forecast'!$B$4:$H$64,MATCH($O24,'MAG College Enrollment Forecast'!$A$4:$A$64,0),MATCH(X$4,'MAG College Enrollment Forecast'!$B$1:$H$1,0)),50)</f>
        <v>0</v>
      </c>
      <c r="Y24" s="38">
        <f>MROUND(INDEX('MAG College Enrollment Forecast'!$B$4:$H$64,MATCH($O24,'MAG College Enrollment Forecast'!$A$4:$A$64,0),MATCH(Y$4,'MAG College Enrollment Forecast'!$B$1:$H$1,0)),50)</f>
        <v>0</v>
      </c>
      <c r="Z24" s="38">
        <f>MROUND(INDEX('MAG College Enrollment Forecast'!$B$4:$H$64,MATCH($O24,'MAG College Enrollment Forecast'!$A$4:$A$64,0),MATCH(Z$4,'MAG College Enrollment Forecast'!$B$1:$H$1,0)),50)</f>
        <v>0</v>
      </c>
      <c r="AA24" s="33">
        <f>MROUND(AA$3*INDEX('College Enrollment Projections'!$AJ$2:$AP$62,MATCH('Campus Enrol Disaggregation'!$O24,'College Enrollment Projections'!$AI$2:$AI$62,0),MATCH('Campus Enrol Disaggregation'!AA$2,'College Enrollment Projections'!$AJ$1:$AP$1,0)),50)</f>
        <v>17900</v>
      </c>
      <c r="AB24" s="33">
        <f>MROUND(AB$3*INDEX('College Enrollment Projections'!$AJ$2:$AP$62,MATCH('Campus Enrol Disaggregation'!$O24,'College Enrollment Projections'!$AI$2:$AI$62,0),MATCH('Campus Enrol Disaggregation'!AB$2,'College Enrollment Projections'!$AJ$1:$AP$1,0)),50)</f>
        <v>4700</v>
      </c>
      <c r="AC24" s="33">
        <f>MROUND(AC$3*INDEX('College Enrollment Projections'!$AJ$2:$AP$62,MATCH('Campus Enrol Disaggregation'!$O24,'College Enrollment Projections'!$AI$2:$AI$62,0),MATCH('Campus Enrol Disaggregation'!AC$2,'College Enrollment Projections'!$AJ$1:$AP$1,0)),50)</f>
        <v>3050</v>
      </c>
      <c r="AD24" s="26">
        <f t="shared" si="0"/>
        <v>155650</v>
      </c>
    </row>
    <row r="25" spans="15:30" x14ac:dyDescent="0.25">
      <c r="O25" s="3">
        <v>2010</v>
      </c>
      <c r="P25" s="34">
        <f>MROUND(P$3*INDEX('College Enrollment Projections'!$AJ$2:$AP$62,MATCH('Campus Enrol Disaggregation'!$O25,'College Enrollment Projections'!$AI$2:$AI$62,0),MATCH('Campus Enrol Disaggregation'!P$2,'College Enrollment Projections'!$AJ$1:$AP$1,0)),50)</f>
        <v>32950</v>
      </c>
      <c r="Q25" s="34">
        <f>MROUND(Q$3*INDEX('College Enrollment Projections'!$AJ$2:$AP$62,MATCH('Campus Enrol Disaggregation'!$O25,'College Enrollment Projections'!$AI$2:$AI$62,0),MATCH('Campus Enrol Disaggregation'!Q$2,'College Enrollment Projections'!$AJ$1:$AP$1,0)),50)</f>
        <v>2000</v>
      </c>
      <c r="R25" s="34">
        <f>MROUND(R$3*INDEX('College Enrollment Projections'!$AJ$2:$AP$62,MATCH('Campus Enrol Disaggregation'!$O25,'College Enrollment Projections'!$AI$2:$AI$62,0),MATCH('Campus Enrol Disaggregation'!R$2,'College Enrollment Projections'!$AJ$1:$AP$1,0)),50)</f>
        <v>20200</v>
      </c>
      <c r="S25" s="34">
        <f>MROUND(S$3*INDEX('College Enrollment Projections'!$AJ$2:$AP$62,MATCH('Campus Enrol Disaggregation'!$O25,'College Enrollment Projections'!$AI$2:$AI$62,0),MATCH('Campus Enrol Disaggregation'!S$2,'College Enrollment Projections'!$AJ$1:$AP$1,0)),50)</f>
        <v>7050</v>
      </c>
      <c r="T25" s="34">
        <f>MROUND(T$3*INDEX('College Enrollment Projections'!$AJ$2:$AP$62,MATCH('Campus Enrol Disaggregation'!$O25,'College Enrollment Projections'!$AI$2:$AI$62,0),MATCH('Campus Enrol Disaggregation'!T$2,'College Enrollment Projections'!$AJ$1:$AP$1,0)),50)</f>
        <v>1750</v>
      </c>
      <c r="U25" s="34">
        <f>MROUND(U$3*INDEX('College Enrollment Projections'!$AJ$2:$AP$62,MATCH('Campus Enrol Disaggregation'!$O25,'College Enrollment Projections'!$AI$2:$AI$62,0),MATCH('Campus Enrol Disaggregation'!U$2,'College Enrollment Projections'!$AJ$1:$AP$1,0)),50)</f>
        <v>6250</v>
      </c>
      <c r="V25" s="34">
        <f>MROUND(V$3*INDEX('College Enrollment Projections'!$AJ$2:$AP$62,MATCH('Campus Enrol Disaggregation'!$O25,'College Enrollment Projections'!$AI$2:$AI$62,0),MATCH('Campus Enrol Disaggregation'!V$2,'College Enrollment Projections'!$AJ$1:$AP$1,0)),50)</f>
        <v>30800</v>
      </c>
      <c r="W25" s="38">
        <f>MROUND(INDEX('MAG College Enrollment Forecast'!$B$4:$H$64,MATCH($O25,'MAG College Enrollment Forecast'!$A$4:$A$64,0),MATCH(W$4,'MAG College Enrollment Forecast'!$B$1:$H$1,0)),50)</f>
        <v>31750</v>
      </c>
      <c r="X25" s="38">
        <f>MROUND(INDEX('MAG College Enrollment Forecast'!$B$4:$H$64,MATCH($O25,'MAG College Enrollment Forecast'!$A$4:$A$64,0),MATCH(X$4,'MAG College Enrollment Forecast'!$B$1:$H$1,0)),50)</f>
        <v>0</v>
      </c>
      <c r="Y25" s="38">
        <f>MROUND(INDEX('MAG College Enrollment Forecast'!$B$4:$H$64,MATCH($O25,'MAG College Enrollment Forecast'!$A$4:$A$64,0),MATCH(Y$4,'MAG College Enrollment Forecast'!$B$1:$H$1,0)),50)</f>
        <v>0</v>
      </c>
      <c r="Z25" s="38">
        <f>MROUND(INDEX('MAG College Enrollment Forecast'!$B$4:$H$64,MATCH($O25,'MAG College Enrollment Forecast'!$A$4:$A$64,0),MATCH(Z$4,'MAG College Enrollment Forecast'!$B$1:$H$1,0)),50)</f>
        <v>0</v>
      </c>
      <c r="AA25" s="33">
        <f>MROUND(AA$3*INDEX('College Enrollment Projections'!$AJ$2:$AP$62,MATCH('Campus Enrol Disaggregation'!$O25,'College Enrollment Projections'!$AI$2:$AI$62,0),MATCH('Campus Enrol Disaggregation'!AA$2,'College Enrollment Projections'!$AJ$1:$AP$1,0)),50)</f>
        <v>18400</v>
      </c>
      <c r="AB25" s="33">
        <f>MROUND(AB$3*INDEX('College Enrollment Projections'!$AJ$2:$AP$62,MATCH('Campus Enrol Disaggregation'!$O25,'College Enrollment Projections'!$AI$2:$AI$62,0),MATCH('Campus Enrol Disaggregation'!AB$2,'College Enrollment Projections'!$AJ$1:$AP$1,0)),50)</f>
        <v>4850</v>
      </c>
      <c r="AC25" s="33">
        <f>MROUND(AC$3*INDEX('College Enrollment Projections'!$AJ$2:$AP$62,MATCH('Campus Enrol Disaggregation'!$O25,'College Enrollment Projections'!$AI$2:$AI$62,0),MATCH('Campus Enrol Disaggregation'!AC$2,'College Enrollment Projections'!$AJ$1:$AP$1,0)),50)</f>
        <v>3150</v>
      </c>
      <c r="AD25" s="26">
        <f t="shared" si="0"/>
        <v>159150</v>
      </c>
    </row>
    <row r="26" spans="15:30" x14ac:dyDescent="0.25">
      <c r="O26" s="3">
        <v>2011</v>
      </c>
      <c r="P26" s="34">
        <f>MROUND(P$3*INDEX('College Enrollment Projections'!$AJ$2:$AP$62,MATCH('Campus Enrol Disaggregation'!$O26,'College Enrollment Projections'!$AI$2:$AI$62,0),MATCH('Campus Enrol Disaggregation'!P$2,'College Enrollment Projections'!$AJ$1:$AP$1,0)),50)</f>
        <v>33000</v>
      </c>
      <c r="Q26" s="34">
        <f>MROUND(Q$3*INDEX('College Enrollment Projections'!$AJ$2:$AP$62,MATCH('Campus Enrol Disaggregation'!$O26,'College Enrollment Projections'!$AI$2:$AI$62,0),MATCH('Campus Enrol Disaggregation'!Q$2,'College Enrollment Projections'!$AJ$1:$AP$1,0)),50)</f>
        <v>2100</v>
      </c>
      <c r="R26" s="34">
        <f>MROUND(R$3*INDEX('College Enrollment Projections'!$AJ$2:$AP$62,MATCH('Campus Enrol Disaggregation'!$O26,'College Enrollment Projections'!$AI$2:$AI$62,0),MATCH('Campus Enrol Disaggregation'!R$2,'College Enrollment Projections'!$AJ$1:$AP$1,0)),50)</f>
        <v>19400</v>
      </c>
      <c r="S26" s="34">
        <f>MROUND(S$3*INDEX('College Enrollment Projections'!$AJ$2:$AP$62,MATCH('Campus Enrol Disaggregation'!$O26,'College Enrollment Projections'!$AI$2:$AI$62,0),MATCH('Campus Enrol Disaggregation'!S$2,'College Enrollment Projections'!$AJ$1:$AP$1,0)),50)</f>
        <v>6800</v>
      </c>
      <c r="T26" s="34">
        <f>MROUND(T$3*INDEX('College Enrollment Projections'!$AJ$2:$AP$62,MATCH('Campus Enrol Disaggregation'!$O26,'College Enrollment Projections'!$AI$2:$AI$62,0),MATCH('Campus Enrol Disaggregation'!T$2,'College Enrollment Projections'!$AJ$1:$AP$1,0)),50)</f>
        <v>1700</v>
      </c>
      <c r="U26" s="34">
        <f>MROUND(U$3*INDEX('College Enrollment Projections'!$AJ$2:$AP$62,MATCH('Campus Enrol Disaggregation'!$O26,'College Enrollment Projections'!$AI$2:$AI$62,0),MATCH('Campus Enrol Disaggregation'!U$2,'College Enrollment Projections'!$AJ$1:$AP$1,0)),50)</f>
        <v>6000</v>
      </c>
      <c r="V26" s="34">
        <f>MROUND(V$3*INDEX('College Enrollment Projections'!$AJ$2:$AP$62,MATCH('Campus Enrol Disaggregation'!$O26,'College Enrollment Projections'!$AI$2:$AI$62,0),MATCH('Campus Enrol Disaggregation'!V$2,'College Enrollment Projections'!$AJ$1:$AP$1,0)),50)</f>
        <v>31850</v>
      </c>
      <c r="W26" s="38">
        <f>MROUND(INDEX('MAG College Enrollment Forecast'!$B$4:$H$64,MATCH($O26,'MAG College Enrollment Forecast'!$A$4:$A$64,0),MATCH(W$4,'MAG College Enrollment Forecast'!$B$1:$H$1,0)),50)</f>
        <v>32750</v>
      </c>
      <c r="X26" s="38">
        <f>MROUND(INDEX('MAG College Enrollment Forecast'!$B$4:$H$64,MATCH($O26,'MAG College Enrollment Forecast'!$A$4:$A$64,0),MATCH(X$4,'MAG College Enrollment Forecast'!$B$1:$H$1,0)),50)</f>
        <v>0</v>
      </c>
      <c r="Y26" s="38">
        <f>MROUND(INDEX('MAG College Enrollment Forecast'!$B$4:$H$64,MATCH($O26,'MAG College Enrollment Forecast'!$A$4:$A$64,0),MATCH(Y$4,'MAG College Enrollment Forecast'!$B$1:$H$1,0)),50)</f>
        <v>0</v>
      </c>
      <c r="Z26" s="38">
        <f>MROUND(INDEX('MAG College Enrollment Forecast'!$B$4:$H$64,MATCH($O26,'MAG College Enrollment Forecast'!$A$4:$A$64,0),MATCH(Z$4,'MAG College Enrollment Forecast'!$B$1:$H$1,0)),50)</f>
        <v>0</v>
      </c>
      <c r="AA26" s="33">
        <f>MROUND(AA$3*INDEX('College Enrollment Projections'!$AJ$2:$AP$62,MATCH('Campus Enrol Disaggregation'!$O26,'College Enrollment Projections'!$AI$2:$AI$62,0),MATCH('Campus Enrol Disaggregation'!AA$2,'College Enrollment Projections'!$AJ$1:$AP$1,0)),50)</f>
        <v>19750</v>
      </c>
      <c r="AB26" s="33">
        <f>MROUND(AB$3*INDEX('College Enrollment Projections'!$AJ$2:$AP$62,MATCH('Campus Enrol Disaggregation'!$O26,'College Enrollment Projections'!$AI$2:$AI$62,0),MATCH('Campus Enrol Disaggregation'!AB$2,'College Enrollment Projections'!$AJ$1:$AP$1,0)),50)</f>
        <v>5200</v>
      </c>
      <c r="AC26" s="33">
        <f>MROUND(AC$3*INDEX('College Enrollment Projections'!$AJ$2:$AP$62,MATCH('Campus Enrol Disaggregation'!$O26,'College Enrollment Projections'!$AI$2:$AI$62,0),MATCH('Campus Enrol Disaggregation'!AC$2,'College Enrollment Projections'!$AJ$1:$AP$1,0)),50)</f>
        <v>3350</v>
      </c>
      <c r="AD26" s="26">
        <f t="shared" si="0"/>
        <v>161900</v>
      </c>
    </row>
    <row r="27" spans="15:30" x14ac:dyDescent="0.25">
      <c r="O27" s="3">
        <v>2012</v>
      </c>
      <c r="P27" s="34">
        <f>MROUND(P$3*INDEX('College Enrollment Projections'!$AJ$2:$AP$62,MATCH('Campus Enrol Disaggregation'!$O27,'College Enrollment Projections'!$AI$2:$AI$62,0),MATCH('Campus Enrol Disaggregation'!P$2,'College Enrollment Projections'!$AJ$1:$AP$1,0)),50)</f>
        <v>34400</v>
      </c>
      <c r="Q27" s="34">
        <f>MROUND(Q$3*INDEX('College Enrollment Projections'!$AJ$2:$AP$62,MATCH('Campus Enrol Disaggregation'!$O27,'College Enrollment Projections'!$AI$2:$AI$62,0),MATCH('Campus Enrol Disaggregation'!Q$2,'College Enrollment Projections'!$AJ$1:$AP$1,0)),50)</f>
        <v>2200</v>
      </c>
      <c r="R27" s="34">
        <f>MROUND(R$3*INDEX('College Enrollment Projections'!$AJ$2:$AP$62,MATCH('Campus Enrol Disaggregation'!$O27,'College Enrollment Projections'!$AI$2:$AI$62,0),MATCH('Campus Enrol Disaggregation'!R$2,'College Enrollment Projections'!$AJ$1:$AP$1,0)),50)</f>
        <v>18900</v>
      </c>
      <c r="S27" s="34">
        <f>MROUND(S$3*INDEX('College Enrollment Projections'!$AJ$2:$AP$62,MATCH('Campus Enrol Disaggregation'!$O27,'College Enrollment Projections'!$AI$2:$AI$62,0),MATCH('Campus Enrol Disaggregation'!S$2,'College Enrollment Projections'!$AJ$1:$AP$1,0)),50)</f>
        <v>6600</v>
      </c>
      <c r="T27" s="34">
        <f>MROUND(T$3*INDEX('College Enrollment Projections'!$AJ$2:$AP$62,MATCH('Campus Enrol Disaggregation'!$O27,'College Enrollment Projections'!$AI$2:$AI$62,0),MATCH('Campus Enrol Disaggregation'!T$2,'College Enrollment Projections'!$AJ$1:$AP$1,0)),50)</f>
        <v>1650</v>
      </c>
      <c r="U27" s="34">
        <f>MROUND(U$3*INDEX('College Enrollment Projections'!$AJ$2:$AP$62,MATCH('Campus Enrol Disaggregation'!$O27,'College Enrollment Projections'!$AI$2:$AI$62,0),MATCH('Campus Enrol Disaggregation'!U$2,'College Enrollment Projections'!$AJ$1:$AP$1,0)),50)</f>
        <v>5850</v>
      </c>
      <c r="V27" s="34">
        <f>MROUND(V$3*INDEX('College Enrollment Projections'!$AJ$2:$AP$62,MATCH('Campus Enrol Disaggregation'!$O27,'College Enrollment Projections'!$AI$2:$AI$62,0),MATCH('Campus Enrol Disaggregation'!V$2,'College Enrollment Projections'!$AJ$1:$AP$1,0)),50)</f>
        <v>32400</v>
      </c>
      <c r="W27" s="38">
        <f>MROUND(INDEX('MAG College Enrollment Forecast'!$B$4:$H$64,MATCH($O27,'MAG College Enrollment Forecast'!$A$4:$A$64,0),MATCH(W$4,'MAG College Enrollment Forecast'!$B$1:$H$1,0)),50)</f>
        <v>31800</v>
      </c>
      <c r="X27" s="38">
        <f>MROUND(INDEX('MAG College Enrollment Forecast'!$B$4:$H$64,MATCH($O27,'MAG College Enrollment Forecast'!$A$4:$A$64,0),MATCH(X$4,'MAG College Enrollment Forecast'!$B$1:$H$1,0)),50)</f>
        <v>0</v>
      </c>
      <c r="Y27" s="38">
        <f>MROUND(INDEX('MAG College Enrollment Forecast'!$B$4:$H$64,MATCH($O27,'MAG College Enrollment Forecast'!$A$4:$A$64,0),MATCH(Y$4,'MAG College Enrollment Forecast'!$B$1:$H$1,0)),50)</f>
        <v>0</v>
      </c>
      <c r="Z27" s="38">
        <f>MROUND(INDEX('MAG College Enrollment Forecast'!$B$4:$H$64,MATCH($O27,'MAG College Enrollment Forecast'!$A$4:$A$64,0),MATCH(Z$4,'MAG College Enrollment Forecast'!$B$1:$H$1,0)),50)</f>
        <v>0</v>
      </c>
      <c r="AA27" s="33">
        <f>MROUND(AA$3*INDEX('College Enrollment Projections'!$AJ$2:$AP$62,MATCH('Campus Enrol Disaggregation'!$O27,'College Enrollment Projections'!$AI$2:$AI$62,0),MATCH('Campus Enrol Disaggregation'!AA$2,'College Enrollment Projections'!$AJ$1:$AP$1,0)),50)</f>
        <v>20600</v>
      </c>
      <c r="AB27" s="33">
        <f>MROUND(AB$3*INDEX('College Enrollment Projections'!$AJ$2:$AP$62,MATCH('Campus Enrol Disaggregation'!$O27,'College Enrollment Projections'!$AI$2:$AI$62,0),MATCH('Campus Enrol Disaggregation'!AB$2,'College Enrollment Projections'!$AJ$1:$AP$1,0)),50)</f>
        <v>5400</v>
      </c>
      <c r="AC27" s="33">
        <f>MROUND(AC$3*INDEX('College Enrollment Projections'!$AJ$2:$AP$62,MATCH('Campus Enrol Disaggregation'!$O27,'College Enrollment Projections'!$AI$2:$AI$62,0),MATCH('Campus Enrol Disaggregation'!AC$2,'College Enrollment Projections'!$AJ$1:$AP$1,0)),50)</f>
        <v>3300</v>
      </c>
      <c r="AD27" s="26">
        <f t="shared" si="0"/>
        <v>163100</v>
      </c>
    </row>
    <row r="28" spans="15:30" x14ac:dyDescent="0.25">
      <c r="O28" s="3">
        <v>2013</v>
      </c>
      <c r="P28" s="34">
        <f>MROUND(P$3*INDEX('College Enrollment Projections'!$AJ$2:$AP$62,MATCH('Campus Enrol Disaggregation'!$O28,'College Enrollment Projections'!$AI$2:$AI$62,0),MATCH('Campus Enrol Disaggregation'!P$2,'College Enrollment Projections'!$AJ$1:$AP$1,0)),50)</f>
        <v>31100</v>
      </c>
      <c r="Q28" s="34">
        <f>MROUND(Q$3*INDEX('College Enrollment Projections'!$AJ$2:$AP$62,MATCH('Campus Enrol Disaggregation'!$O28,'College Enrollment Projections'!$AI$2:$AI$62,0),MATCH('Campus Enrol Disaggregation'!Q$2,'College Enrollment Projections'!$AJ$1:$AP$1,0)),50)</f>
        <v>2200</v>
      </c>
      <c r="R28" s="34">
        <f>MROUND(R$3*INDEX('College Enrollment Projections'!$AJ$2:$AP$62,MATCH('Campus Enrol Disaggregation'!$O28,'College Enrollment Projections'!$AI$2:$AI$62,0),MATCH('Campus Enrol Disaggregation'!R$2,'College Enrollment Projections'!$AJ$1:$AP$1,0)),50)</f>
        <v>18500</v>
      </c>
      <c r="S28" s="34">
        <f>MROUND(S$3*INDEX('College Enrollment Projections'!$AJ$2:$AP$62,MATCH('Campus Enrol Disaggregation'!$O28,'College Enrollment Projections'!$AI$2:$AI$62,0),MATCH('Campus Enrol Disaggregation'!S$2,'College Enrollment Projections'!$AJ$1:$AP$1,0)),50)</f>
        <v>6450</v>
      </c>
      <c r="T28" s="34">
        <f>MROUND(T$3*INDEX('College Enrollment Projections'!$AJ$2:$AP$62,MATCH('Campus Enrol Disaggregation'!$O28,'College Enrollment Projections'!$AI$2:$AI$62,0),MATCH('Campus Enrol Disaggregation'!T$2,'College Enrollment Projections'!$AJ$1:$AP$1,0)),50)</f>
        <v>1600</v>
      </c>
      <c r="U28" s="34">
        <f>MROUND(U$3*INDEX('College Enrollment Projections'!$AJ$2:$AP$62,MATCH('Campus Enrol Disaggregation'!$O28,'College Enrollment Projections'!$AI$2:$AI$62,0),MATCH('Campus Enrol Disaggregation'!U$2,'College Enrollment Projections'!$AJ$1:$AP$1,0)),50)</f>
        <v>5750</v>
      </c>
      <c r="V28" s="34">
        <f>MROUND(V$3*INDEX('College Enrollment Projections'!$AJ$2:$AP$62,MATCH('Campus Enrol Disaggregation'!$O28,'College Enrollment Projections'!$AI$2:$AI$62,0),MATCH('Campus Enrol Disaggregation'!V$2,'College Enrollment Projections'!$AJ$1:$AP$1,0)),50)</f>
        <v>35250</v>
      </c>
      <c r="W28" s="38">
        <f>MROUND(INDEX('MAG College Enrollment Forecast'!$B$4:$H$64,MATCH($O28,'MAG College Enrollment Forecast'!$A$4:$A$64,0),MATCH(W$4,'MAG College Enrollment Forecast'!$B$1:$H$1,0)),50)</f>
        <v>30900</v>
      </c>
      <c r="X28" s="38">
        <f>MROUND(INDEX('MAG College Enrollment Forecast'!$B$4:$H$64,MATCH($O28,'MAG College Enrollment Forecast'!$A$4:$A$64,0),MATCH(X$4,'MAG College Enrollment Forecast'!$B$1:$H$1,0)),50)</f>
        <v>0</v>
      </c>
      <c r="Y28" s="38">
        <f>MROUND(INDEX('MAG College Enrollment Forecast'!$B$4:$H$64,MATCH($O28,'MAG College Enrollment Forecast'!$A$4:$A$64,0),MATCH(Y$4,'MAG College Enrollment Forecast'!$B$1:$H$1,0)),50)</f>
        <v>0</v>
      </c>
      <c r="Z28" s="38">
        <f>MROUND(INDEX('MAG College Enrollment Forecast'!$B$4:$H$64,MATCH($O28,'MAG College Enrollment Forecast'!$A$4:$A$64,0),MATCH(Z$4,'MAG College Enrollment Forecast'!$B$1:$H$1,0)),50)</f>
        <v>0</v>
      </c>
      <c r="AA28" s="33">
        <f>MROUND(AA$3*INDEX('College Enrollment Projections'!$AJ$2:$AP$62,MATCH('Campus Enrol Disaggregation'!$O28,'College Enrollment Projections'!$AI$2:$AI$62,0),MATCH('Campus Enrol Disaggregation'!AA$2,'College Enrollment Projections'!$AJ$1:$AP$1,0)),50)</f>
        <v>19450</v>
      </c>
      <c r="AB28" s="33">
        <f>MROUND(AB$3*INDEX('College Enrollment Projections'!$AJ$2:$AP$62,MATCH('Campus Enrol Disaggregation'!$O28,'College Enrollment Projections'!$AI$2:$AI$62,0),MATCH('Campus Enrol Disaggregation'!AB$2,'College Enrollment Projections'!$AJ$1:$AP$1,0)),50)</f>
        <v>5100</v>
      </c>
      <c r="AC28" s="33">
        <f>MROUND(AC$3*INDEX('College Enrollment Projections'!$AJ$2:$AP$62,MATCH('Campus Enrol Disaggregation'!$O28,'College Enrollment Projections'!$AI$2:$AI$62,0),MATCH('Campus Enrol Disaggregation'!AC$2,'College Enrollment Projections'!$AJ$1:$AP$1,0)),50)</f>
        <v>3100</v>
      </c>
      <c r="AD28" s="26">
        <f t="shared" si="0"/>
        <v>159400</v>
      </c>
    </row>
    <row r="29" spans="15:30" x14ac:dyDescent="0.25">
      <c r="O29" s="3">
        <v>2014</v>
      </c>
      <c r="P29" s="34">
        <f>MROUND(P$3*INDEX('College Enrollment Projections'!$AJ$2:$AP$62,MATCH('Campus Enrol Disaggregation'!$O29,'College Enrollment Projections'!$AI$2:$AI$62,0),MATCH('Campus Enrol Disaggregation'!P$2,'College Enrollment Projections'!$AJ$1:$AP$1,0)),50)</f>
        <v>30500</v>
      </c>
      <c r="Q29" s="34">
        <f>MROUND(Q$3*INDEX('College Enrollment Projections'!$AJ$2:$AP$62,MATCH('Campus Enrol Disaggregation'!$O29,'College Enrollment Projections'!$AI$2:$AI$62,0),MATCH('Campus Enrol Disaggregation'!Q$2,'College Enrollment Projections'!$AJ$1:$AP$1,0)),50)</f>
        <v>2150</v>
      </c>
      <c r="R29" s="34">
        <f>MROUND(R$3*INDEX('College Enrollment Projections'!$AJ$2:$AP$62,MATCH('Campus Enrol Disaggregation'!$O29,'College Enrollment Projections'!$AI$2:$AI$62,0),MATCH('Campus Enrol Disaggregation'!R$2,'College Enrollment Projections'!$AJ$1:$AP$1,0)),50)</f>
        <v>17650</v>
      </c>
      <c r="S29" s="34">
        <f>MROUND(S$3*INDEX('College Enrollment Projections'!$AJ$2:$AP$62,MATCH('Campus Enrol Disaggregation'!$O29,'College Enrollment Projections'!$AI$2:$AI$62,0),MATCH('Campus Enrol Disaggregation'!S$2,'College Enrollment Projections'!$AJ$1:$AP$1,0)),50)</f>
        <v>6200</v>
      </c>
      <c r="T29" s="34">
        <f>MROUND(T$3*INDEX('College Enrollment Projections'!$AJ$2:$AP$62,MATCH('Campus Enrol Disaggregation'!$O29,'College Enrollment Projections'!$AI$2:$AI$62,0),MATCH('Campus Enrol Disaggregation'!T$2,'College Enrollment Projections'!$AJ$1:$AP$1,0)),50)</f>
        <v>1550</v>
      </c>
      <c r="U29" s="34">
        <f>MROUND(U$3*INDEX('College Enrollment Projections'!$AJ$2:$AP$62,MATCH('Campus Enrol Disaggregation'!$O29,'College Enrollment Projections'!$AI$2:$AI$62,0),MATCH('Campus Enrol Disaggregation'!U$2,'College Enrollment Projections'!$AJ$1:$AP$1,0)),50)</f>
        <v>5500</v>
      </c>
      <c r="V29" s="34">
        <f>MROUND(V$3*INDEX('College Enrollment Projections'!$AJ$2:$AP$62,MATCH('Campus Enrol Disaggregation'!$O29,'College Enrollment Projections'!$AI$2:$AI$62,0),MATCH('Campus Enrol Disaggregation'!V$2,'College Enrollment Projections'!$AJ$1:$AP$1,0)),50)</f>
        <v>31150</v>
      </c>
      <c r="W29" s="38">
        <f>MROUND(INDEX('MAG College Enrollment Forecast'!$B$4:$H$64,MATCH($O29,'MAG College Enrollment Forecast'!$A$4:$A$64,0),MATCH(W$4,'MAG College Enrollment Forecast'!$B$1:$H$1,0)),50)</f>
        <v>31600</v>
      </c>
      <c r="X29" s="38">
        <f>MROUND(INDEX('MAG College Enrollment Forecast'!$B$4:$H$64,MATCH($O29,'MAG College Enrollment Forecast'!$A$4:$A$64,0),MATCH(X$4,'MAG College Enrollment Forecast'!$B$1:$H$1,0)),50)</f>
        <v>0</v>
      </c>
      <c r="Y29" s="38">
        <f>MROUND(INDEX('MAG College Enrollment Forecast'!$B$4:$H$64,MATCH($O29,'MAG College Enrollment Forecast'!$A$4:$A$64,0),MATCH(Y$4,'MAG College Enrollment Forecast'!$B$1:$H$1,0)),50)</f>
        <v>0</v>
      </c>
      <c r="Z29" s="38">
        <f>MROUND(INDEX('MAG College Enrollment Forecast'!$B$4:$H$64,MATCH($O29,'MAG College Enrollment Forecast'!$A$4:$A$64,0),MATCH(Z$4,'MAG College Enrollment Forecast'!$B$1:$H$1,0)),50)</f>
        <v>0</v>
      </c>
      <c r="AA29" s="33">
        <f>MROUND(AA$3*INDEX('College Enrollment Projections'!$AJ$2:$AP$62,MATCH('Campus Enrol Disaggregation'!$O29,'College Enrollment Projections'!$AI$2:$AI$62,0),MATCH('Campus Enrol Disaggregation'!AA$2,'College Enrollment Projections'!$AJ$1:$AP$1,0)),50)</f>
        <v>20250</v>
      </c>
      <c r="AB29" s="33">
        <f>MROUND(AB$3*INDEX('College Enrollment Projections'!$AJ$2:$AP$62,MATCH('Campus Enrol Disaggregation'!$O29,'College Enrollment Projections'!$AI$2:$AI$62,0),MATCH('Campus Enrol Disaggregation'!AB$2,'College Enrollment Projections'!$AJ$1:$AP$1,0)),50)</f>
        <v>5300</v>
      </c>
      <c r="AC29" s="33">
        <f>MROUND(AC$3*INDEX('College Enrollment Projections'!$AJ$2:$AP$62,MATCH('Campus Enrol Disaggregation'!$O29,'College Enrollment Projections'!$AI$2:$AI$62,0),MATCH('Campus Enrol Disaggregation'!AC$2,'College Enrollment Projections'!$AJ$1:$AP$1,0)),50)</f>
        <v>3000</v>
      </c>
      <c r="AD29" s="26">
        <f t="shared" si="0"/>
        <v>154850</v>
      </c>
    </row>
    <row r="30" spans="15:30" x14ac:dyDescent="0.25">
      <c r="O30" s="3">
        <v>2015</v>
      </c>
      <c r="P30" s="34">
        <f>MROUND(P$3*INDEX('College Enrollment Projections'!$AJ$2:$AP$62,MATCH('Campus Enrol Disaggregation'!$O30,'College Enrollment Projections'!$AI$2:$AI$62,0),MATCH('Campus Enrol Disaggregation'!P$2,'College Enrollment Projections'!$AJ$1:$AP$1,0)),50)</f>
        <v>33450</v>
      </c>
      <c r="Q30" s="34">
        <f>MROUND(Q$3*INDEX('College Enrollment Projections'!$AJ$2:$AP$62,MATCH('Campus Enrol Disaggregation'!$O30,'College Enrollment Projections'!$AI$2:$AI$62,0),MATCH('Campus Enrol Disaggregation'!Q$2,'College Enrollment Projections'!$AJ$1:$AP$1,0)),50)</f>
        <v>2150</v>
      </c>
      <c r="R30" s="34">
        <f>MROUND(R$3*INDEX('College Enrollment Projections'!$AJ$2:$AP$62,MATCH('Campus Enrol Disaggregation'!$O30,'College Enrollment Projections'!$AI$2:$AI$62,0),MATCH('Campus Enrol Disaggregation'!R$2,'College Enrollment Projections'!$AJ$1:$AP$1,0)),50)</f>
        <v>16450</v>
      </c>
      <c r="S30" s="34">
        <f>MROUND(S$3*INDEX('College Enrollment Projections'!$AJ$2:$AP$62,MATCH('Campus Enrol Disaggregation'!$O30,'College Enrollment Projections'!$AI$2:$AI$62,0),MATCH('Campus Enrol Disaggregation'!S$2,'College Enrollment Projections'!$AJ$1:$AP$1,0)),50)</f>
        <v>5750</v>
      </c>
      <c r="T30" s="34">
        <f>MROUND(T$3*INDEX('College Enrollment Projections'!$AJ$2:$AP$62,MATCH('Campus Enrol Disaggregation'!$O30,'College Enrollment Projections'!$AI$2:$AI$62,0),MATCH('Campus Enrol Disaggregation'!T$2,'College Enrollment Projections'!$AJ$1:$AP$1,0)),50)</f>
        <v>1450</v>
      </c>
      <c r="U30" s="34">
        <f>MROUND(U$3*INDEX('College Enrollment Projections'!$AJ$2:$AP$62,MATCH('Campus Enrol Disaggregation'!$O30,'College Enrollment Projections'!$AI$2:$AI$62,0),MATCH('Campus Enrol Disaggregation'!U$2,'College Enrollment Projections'!$AJ$1:$AP$1,0)),50)</f>
        <v>5100</v>
      </c>
      <c r="V30" s="34">
        <f>MROUND(V$3*INDEX('College Enrollment Projections'!$AJ$2:$AP$62,MATCH('Campus Enrol Disaggregation'!$O30,'College Enrollment Projections'!$AI$2:$AI$62,0),MATCH('Campus Enrol Disaggregation'!V$2,'College Enrollment Projections'!$AJ$1:$AP$1,0)),50)</f>
        <v>31300</v>
      </c>
      <c r="W30" s="38">
        <f>MROUND(INDEX('MAG College Enrollment Forecast'!$B$4:$H$64,MATCH($O30,'MAG College Enrollment Forecast'!$A$4:$A$64,0),MATCH(W$4,'MAG College Enrollment Forecast'!$B$1:$H$1,0)),50)</f>
        <v>33550</v>
      </c>
      <c r="X30" s="38">
        <f>MROUND(INDEX('MAG College Enrollment Forecast'!$B$4:$H$64,MATCH($O30,'MAG College Enrollment Forecast'!$A$4:$A$64,0),MATCH(X$4,'MAG College Enrollment Forecast'!$B$1:$H$1,0)),50)</f>
        <v>0</v>
      </c>
      <c r="Y30" s="38">
        <f>MROUND(INDEX('MAG College Enrollment Forecast'!$B$4:$H$64,MATCH($O30,'MAG College Enrollment Forecast'!$A$4:$A$64,0),MATCH(Y$4,'MAG College Enrollment Forecast'!$B$1:$H$1,0)),50)</f>
        <v>0</v>
      </c>
      <c r="Z30" s="38">
        <f>MROUND(INDEX('MAG College Enrollment Forecast'!$B$4:$H$64,MATCH($O30,'MAG College Enrollment Forecast'!$A$4:$A$64,0),MATCH(Z$4,'MAG College Enrollment Forecast'!$B$1:$H$1,0)),50)</f>
        <v>0</v>
      </c>
      <c r="AA30" s="33">
        <f>MROUND(AA$3*INDEX('College Enrollment Projections'!$AJ$2:$AP$62,MATCH('Campus Enrol Disaggregation'!$O30,'College Enrollment Projections'!$AI$2:$AI$62,0),MATCH('Campus Enrol Disaggregation'!AA$2,'College Enrollment Projections'!$AJ$1:$AP$1,0)),50)</f>
        <v>19750</v>
      </c>
      <c r="AB30" s="33">
        <f>MROUND(AB$3*INDEX('College Enrollment Projections'!$AJ$2:$AP$62,MATCH('Campus Enrol Disaggregation'!$O30,'College Enrollment Projections'!$AI$2:$AI$62,0),MATCH('Campus Enrol Disaggregation'!AB$2,'College Enrollment Projections'!$AJ$1:$AP$1,0)),50)</f>
        <v>5200</v>
      </c>
      <c r="AC30" s="33">
        <f>MROUND(AC$3*INDEX('College Enrollment Projections'!$AJ$2:$AP$62,MATCH('Campus Enrol Disaggregation'!$O30,'College Enrollment Projections'!$AI$2:$AI$62,0),MATCH('Campus Enrol Disaggregation'!AC$2,'College Enrollment Projections'!$AJ$1:$AP$1,0)),50)</f>
        <v>2800</v>
      </c>
      <c r="AD30" s="26">
        <f t="shared" si="0"/>
        <v>156950</v>
      </c>
    </row>
    <row r="31" spans="15:30" x14ac:dyDescent="0.25">
      <c r="O31" s="3">
        <v>2016</v>
      </c>
      <c r="P31" s="34">
        <f>MROUND(P$3*INDEX('College Enrollment Projections'!$AJ$2:$AP$62,MATCH('Campus Enrol Disaggregation'!$O31,'College Enrollment Projections'!$AI$2:$AI$62,0),MATCH('Campus Enrol Disaggregation'!P$2,'College Enrollment Projections'!$AJ$1:$AP$1,0)),50)</f>
        <v>34250</v>
      </c>
      <c r="Q31" s="34">
        <f>MROUND(Q$3*INDEX('College Enrollment Projections'!$AJ$2:$AP$62,MATCH('Campus Enrol Disaggregation'!$O31,'College Enrollment Projections'!$AI$2:$AI$62,0),MATCH('Campus Enrol Disaggregation'!Q$2,'College Enrollment Projections'!$AJ$1:$AP$1,0)),50)</f>
        <v>2100</v>
      </c>
      <c r="R31" s="34">
        <f>MROUND(R$3*INDEX('College Enrollment Projections'!$AJ$2:$AP$62,MATCH('Campus Enrol Disaggregation'!$O31,'College Enrollment Projections'!$AI$2:$AI$62,0),MATCH('Campus Enrol Disaggregation'!R$2,'College Enrollment Projections'!$AJ$1:$AP$1,0)),50)</f>
        <v>16950</v>
      </c>
      <c r="S31" s="34">
        <f>MROUND(S$3*INDEX('College Enrollment Projections'!$AJ$2:$AP$62,MATCH('Campus Enrol Disaggregation'!$O31,'College Enrollment Projections'!$AI$2:$AI$62,0),MATCH('Campus Enrol Disaggregation'!S$2,'College Enrollment Projections'!$AJ$1:$AP$1,0)),50)</f>
        <v>5950</v>
      </c>
      <c r="T31" s="34">
        <f>MROUND(T$3*INDEX('College Enrollment Projections'!$AJ$2:$AP$62,MATCH('Campus Enrol Disaggregation'!$O31,'College Enrollment Projections'!$AI$2:$AI$62,0),MATCH('Campus Enrol Disaggregation'!T$2,'College Enrollment Projections'!$AJ$1:$AP$1,0)),50)</f>
        <v>1500</v>
      </c>
      <c r="U31" s="34">
        <f>MROUND(U$3*INDEX('College Enrollment Projections'!$AJ$2:$AP$62,MATCH('Campus Enrol Disaggregation'!$O31,'College Enrollment Projections'!$AI$2:$AI$62,0),MATCH('Campus Enrol Disaggregation'!U$2,'College Enrollment Projections'!$AJ$1:$AP$1,0)),50)</f>
        <v>5250</v>
      </c>
      <c r="V31" s="34">
        <f>MROUND(V$3*INDEX('College Enrollment Projections'!$AJ$2:$AP$62,MATCH('Campus Enrol Disaggregation'!$O31,'College Enrollment Projections'!$AI$2:$AI$62,0),MATCH('Campus Enrol Disaggregation'!V$2,'College Enrollment Projections'!$AJ$1:$AP$1,0)),50)</f>
        <v>31600</v>
      </c>
      <c r="W31" s="38">
        <f>MROUND(INDEX('MAG College Enrollment Forecast'!$B$4:$H$64,MATCH($O31,'MAG College Enrollment Forecast'!$A$4:$A$64,0),MATCH(W$4,'MAG College Enrollment Forecast'!$B$1:$H$1,0)),50)</f>
        <v>35150</v>
      </c>
      <c r="X31" s="38">
        <f>MROUND(INDEX('MAG College Enrollment Forecast'!$B$4:$H$64,MATCH($O31,'MAG College Enrollment Forecast'!$A$4:$A$64,0),MATCH(X$4,'MAG College Enrollment Forecast'!$B$1:$H$1,0)),50)</f>
        <v>0</v>
      </c>
      <c r="Y31" s="38">
        <f>MROUND(INDEX('MAG College Enrollment Forecast'!$B$4:$H$64,MATCH($O31,'MAG College Enrollment Forecast'!$A$4:$A$64,0),MATCH(Y$4,'MAG College Enrollment Forecast'!$B$1:$H$1,0)),50)</f>
        <v>0</v>
      </c>
      <c r="Z31" s="38">
        <f>MROUND(INDEX('MAG College Enrollment Forecast'!$B$4:$H$64,MATCH($O31,'MAG College Enrollment Forecast'!$A$4:$A$64,0),MATCH(Z$4,'MAG College Enrollment Forecast'!$B$1:$H$1,0)),50)</f>
        <v>0</v>
      </c>
      <c r="AA31" s="33">
        <f>MROUND(AA$3*INDEX('College Enrollment Projections'!$AJ$2:$AP$62,MATCH('Campus Enrol Disaggregation'!$O31,'College Enrollment Projections'!$AI$2:$AI$62,0),MATCH('Campus Enrol Disaggregation'!AA$2,'College Enrollment Projections'!$AJ$1:$AP$1,0)),50)</f>
        <v>20500</v>
      </c>
      <c r="AB31" s="33">
        <f>MROUND(AB$3*INDEX('College Enrollment Projections'!$AJ$2:$AP$62,MATCH('Campus Enrol Disaggregation'!$O31,'College Enrollment Projections'!$AI$2:$AI$62,0),MATCH('Campus Enrol Disaggregation'!AB$2,'College Enrollment Projections'!$AJ$1:$AP$1,0)),50)</f>
        <v>5400</v>
      </c>
      <c r="AC31" s="33">
        <f>MROUND(AC$3*INDEX('College Enrollment Projections'!$AJ$2:$AP$62,MATCH('Campus Enrol Disaggregation'!$O31,'College Enrollment Projections'!$AI$2:$AI$62,0),MATCH('Campus Enrol Disaggregation'!AC$2,'College Enrollment Projections'!$AJ$1:$AP$1,0)),50)</f>
        <v>2700</v>
      </c>
      <c r="AD31" s="26">
        <f t="shared" si="0"/>
        <v>161350</v>
      </c>
    </row>
    <row r="32" spans="15:30" x14ac:dyDescent="0.25">
      <c r="O32" s="3">
        <v>2017</v>
      </c>
      <c r="P32" s="34">
        <f>MROUND(P$3*INDEX('College Enrollment Projections'!$AJ$2:$AP$62,MATCH('Campus Enrol Disaggregation'!$O32,'College Enrollment Projections'!$AI$2:$AI$62,0),MATCH('Campus Enrol Disaggregation'!P$2,'College Enrollment Projections'!$AJ$1:$AP$1,0)),50)</f>
        <v>34350</v>
      </c>
      <c r="Q32" s="34">
        <f>MROUND(Q$3*INDEX('College Enrollment Projections'!$AJ$2:$AP$62,MATCH('Campus Enrol Disaggregation'!$O32,'College Enrollment Projections'!$AI$2:$AI$62,0),MATCH('Campus Enrol Disaggregation'!Q$2,'College Enrollment Projections'!$AJ$1:$AP$1,0)),50)</f>
        <v>2050</v>
      </c>
      <c r="R32" s="34">
        <f>MROUND(R$3*INDEX('College Enrollment Projections'!$AJ$2:$AP$62,MATCH('Campus Enrol Disaggregation'!$O32,'College Enrollment Projections'!$AI$2:$AI$62,0),MATCH('Campus Enrol Disaggregation'!R$2,'College Enrollment Projections'!$AJ$1:$AP$1,0)),50)</f>
        <v>17050</v>
      </c>
      <c r="S32" s="34">
        <f>MROUND(S$3*INDEX('College Enrollment Projections'!$AJ$2:$AP$62,MATCH('Campus Enrol Disaggregation'!$O32,'College Enrollment Projections'!$AI$2:$AI$62,0),MATCH('Campus Enrol Disaggregation'!S$2,'College Enrollment Projections'!$AJ$1:$AP$1,0)),50)</f>
        <v>5950</v>
      </c>
      <c r="T32" s="34">
        <f>MROUND(T$3*INDEX('College Enrollment Projections'!$AJ$2:$AP$62,MATCH('Campus Enrol Disaggregation'!$O32,'College Enrollment Projections'!$AI$2:$AI$62,0),MATCH('Campus Enrol Disaggregation'!T$2,'College Enrollment Projections'!$AJ$1:$AP$1,0)),50)</f>
        <v>1500</v>
      </c>
      <c r="U32" s="34">
        <f>MROUND(U$3*INDEX('College Enrollment Projections'!$AJ$2:$AP$62,MATCH('Campus Enrol Disaggregation'!$O32,'College Enrollment Projections'!$AI$2:$AI$62,0),MATCH('Campus Enrol Disaggregation'!U$2,'College Enrollment Projections'!$AJ$1:$AP$1,0)),50)</f>
        <v>5300</v>
      </c>
      <c r="V32" s="34">
        <f>MROUND(V$3*INDEX('College Enrollment Projections'!$AJ$2:$AP$62,MATCH('Campus Enrol Disaggregation'!$O32,'College Enrollment Projections'!$AI$2:$AI$62,0),MATCH('Campus Enrol Disaggregation'!V$2,'College Enrollment Projections'!$AJ$1:$AP$1,0)),50)</f>
        <v>32300</v>
      </c>
      <c r="W32" s="38">
        <f>MROUND(INDEX('MAG College Enrollment Forecast'!$B$4:$H$64,MATCH($O32,'MAG College Enrollment Forecast'!$A$4:$A$64,0),MATCH(W$4,'MAG College Enrollment Forecast'!$B$1:$H$1,0)),50)</f>
        <v>37800</v>
      </c>
      <c r="X32" s="38">
        <f>MROUND(INDEX('MAG College Enrollment Forecast'!$B$4:$H$64,MATCH($O32,'MAG College Enrollment Forecast'!$A$4:$A$64,0),MATCH(X$4,'MAG College Enrollment Forecast'!$B$1:$H$1,0)),50)</f>
        <v>0</v>
      </c>
      <c r="Y32" s="38">
        <f>MROUND(INDEX('MAG College Enrollment Forecast'!$B$4:$H$64,MATCH($O32,'MAG College Enrollment Forecast'!$A$4:$A$64,0),MATCH(Y$4,'MAG College Enrollment Forecast'!$B$1:$H$1,0)),50)</f>
        <v>0</v>
      </c>
      <c r="Z32" s="38">
        <f>MROUND(INDEX('MAG College Enrollment Forecast'!$B$4:$H$64,MATCH($O32,'MAG College Enrollment Forecast'!$A$4:$A$64,0),MATCH(Z$4,'MAG College Enrollment Forecast'!$B$1:$H$1,0)),50)</f>
        <v>0</v>
      </c>
      <c r="AA32" s="33">
        <f>MROUND(AA$3*INDEX('College Enrollment Projections'!$AJ$2:$AP$62,MATCH('Campus Enrol Disaggregation'!$O32,'College Enrollment Projections'!$AI$2:$AI$62,0),MATCH('Campus Enrol Disaggregation'!AA$2,'College Enrollment Projections'!$AJ$1:$AP$1,0)),50)</f>
        <v>21350</v>
      </c>
      <c r="AB32" s="33">
        <f>MROUND(AB$3*INDEX('College Enrollment Projections'!$AJ$2:$AP$62,MATCH('Campus Enrol Disaggregation'!$O32,'College Enrollment Projections'!$AI$2:$AI$62,0),MATCH('Campus Enrol Disaggregation'!AB$2,'College Enrollment Projections'!$AJ$1:$AP$1,0)),50)</f>
        <v>5600</v>
      </c>
      <c r="AC32" s="33">
        <f>MROUND(AC$3*INDEX('College Enrollment Projections'!$AJ$2:$AP$62,MATCH('Campus Enrol Disaggregation'!$O32,'College Enrollment Projections'!$AI$2:$AI$62,0),MATCH('Campus Enrol Disaggregation'!AC$2,'College Enrollment Projections'!$AJ$1:$AP$1,0)),50)</f>
        <v>2550</v>
      </c>
      <c r="AD32" s="26">
        <f t="shared" si="0"/>
        <v>165800</v>
      </c>
    </row>
    <row r="33" spans="15:30" x14ac:dyDescent="0.25">
      <c r="O33" s="3">
        <v>2018</v>
      </c>
      <c r="P33" s="34">
        <f>MROUND(P$3*INDEX('College Enrollment Projections'!$AJ$2:$AP$62,MATCH('Campus Enrol Disaggregation'!$O33,'College Enrollment Projections'!$AI$2:$AI$62,0),MATCH('Campus Enrol Disaggregation'!P$2,'College Enrollment Projections'!$AJ$1:$AP$1,0)),50)</f>
        <v>34500</v>
      </c>
      <c r="Q33" s="34">
        <f>MROUND(Q$3*INDEX('College Enrollment Projections'!$AJ$2:$AP$62,MATCH('Campus Enrol Disaggregation'!$O33,'College Enrollment Projections'!$AI$2:$AI$62,0),MATCH('Campus Enrol Disaggregation'!Q$2,'College Enrollment Projections'!$AJ$1:$AP$1,0)),50)</f>
        <v>2000</v>
      </c>
      <c r="R33" s="34">
        <f>MROUND(R$3*INDEX('College Enrollment Projections'!$AJ$2:$AP$62,MATCH('Campus Enrol Disaggregation'!$O33,'College Enrollment Projections'!$AI$2:$AI$62,0),MATCH('Campus Enrol Disaggregation'!R$2,'College Enrollment Projections'!$AJ$1:$AP$1,0)),50)</f>
        <v>15400</v>
      </c>
      <c r="S33" s="34">
        <f>MROUND(S$3*INDEX('College Enrollment Projections'!$AJ$2:$AP$62,MATCH('Campus Enrol Disaggregation'!$O33,'College Enrollment Projections'!$AI$2:$AI$62,0),MATCH('Campus Enrol Disaggregation'!S$2,'College Enrollment Projections'!$AJ$1:$AP$1,0)),50)</f>
        <v>5400</v>
      </c>
      <c r="T33" s="34">
        <f>MROUND(T$3*INDEX('College Enrollment Projections'!$AJ$2:$AP$62,MATCH('Campus Enrol Disaggregation'!$O33,'College Enrollment Projections'!$AI$2:$AI$62,0),MATCH('Campus Enrol Disaggregation'!T$2,'College Enrollment Projections'!$AJ$1:$AP$1,0)),50)</f>
        <v>1350</v>
      </c>
      <c r="U33" s="34">
        <f>MROUND(U$3*INDEX('College Enrollment Projections'!$AJ$2:$AP$62,MATCH('Campus Enrol Disaggregation'!$O33,'College Enrollment Projections'!$AI$2:$AI$62,0),MATCH('Campus Enrol Disaggregation'!U$2,'College Enrollment Projections'!$AJ$1:$AP$1,0)),50)</f>
        <v>4750</v>
      </c>
      <c r="V33" s="34">
        <f>MROUND(V$3*INDEX('College Enrollment Projections'!$AJ$2:$AP$62,MATCH('Campus Enrol Disaggregation'!$O33,'College Enrollment Projections'!$AI$2:$AI$62,0),MATCH('Campus Enrol Disaggregation'!V$2,'College Enrollment Projections'!$AJ$1:$AP$1,0)),50)</f>
        <v>32150</v>
      </c>
      <c r="W33" s="38">
        <f>MROUND(INDEX('MAG College Enrollment Forecast'!$B$4:$H$64,MATCH($O33,'MAG College Enrollment Forecast'!$A$4:$A$64,0),MATCH(W$4,'MAG College Enrollment Forecast'!$B$1:$H$1,0)),50)</f>
        <v>39950</v>
      </c>
      <c r="X33" s="38">
        <f>MROUND(INDEX('MAG College Enrollment Forecast'!$B$4:$H$64,MATCH($O33,'MAG College Enrollment Forecast'!$A$4:$A$64,0),MATCH(X$4,'MAG College Enrollment Forecast'!$B$1:$H$1,0)),50)</f>
        <v>0</v>
      </c>
      <c r="Y33" s="38">
        <f>MROUND(INDEX('MAG College Enrollment Forecast'!$B$4:$H$64,MATCH($O33,'MAG College Enrollment Forecast'!$A$4:$A$64,0),MATCH(Y$4,'MAG College Enrollment Forecast'!$B$1:$H$1,0)),50)</f>
        <v>0</v>
      </c>
      <c r="Z33" s="38">
        <f>MROUND(INDEX('MAG College Enrollment Forecast'!$B$4:$H$64,MATCH($O33,'MAG College Enrollment Forecast'!$A$4:$A$64,0),MATCH(Z$4,'MAG College Enrollment Forecast'!$B$1:$H$1,0)),50)</f>
        <v>0</v>
      </c>
      <c r="AA33" s="33">
        <f>MROUND(AA$3*INDEX('College Enrollment Projections'!$AJ$2:$AP$62,MATCH('Campus Enrol Disaggregation'!$O33,'College Enrollment Projections'!$AI$2:$AI$62,0),MATCH('Campus Enrol Disaggregation'!AA$2,'College Enrollment Projections'!$AJ$1:$AP$1,0)),50)</f>
        <v>21250</v>
      </c>
      <c r="AB33" s="33">
        <f>MROUND(AB$3*INDEX('College Enrollment Projections'!$AJ$2:$AP$62,MATCH('Campus Enrol Disaggregation'!$O33,'College Enrollment Projections'!$AI$2:$AI$62,0),MATCH('Campus Enrol Disaggregation'!AB$2,'College Enrollment Projections'!$AJ$1:$AP$1,0)),50)</f>
        <v>5600</v>
      </c>
      <c r="AC33" s="33">
        <f>MROUND(AC$3*INDEX('College Enrollment Projections'!$AJ$2:$AP$62,MATCH('Campus Enrol Disaggregation'!$O33,'College Enrollment Projections'!$AI$2:$AI$62,0),MATCH('Campus Enrol Disaggregation'!AC$2,'College Enrollment Projections'!$AJ$1:$AP$1,0)),50)</f>
        <v>2500</v>
      </c>
      <c r="AD33" s="26">
        <f t="shared" si="0"/>
        <v>164850</v>
      </c>
    </row>
    <row r="34" spans="15:30" x14ac:dyDescent="0.25">
      <c r="O34" s="3">
        <v>2019</v>
      </c>
      <c r="P34" s="34">
        <f>MROUND(P$3*INDEX('College Enrollment Projections'!$AJ$2:$AP$62,MATCH('Campus Enrol Disaggregation'!$O34,'College Enrollment Projections'!$AI$2:$AI$62,0),MATCH('Campus Enrol Disaggregation'!P$2,'College Enrollment Projections'!$AJ$1:$AP$1,0)),50)</f>
        <v>34300</v>
      </c>
      <c r="Q34" s="34">
        <f>MROUND(Q$3*INDEX('College Enrollment Projections'!$AJ$2:$AP$62,MATCH('Campus Enrol Disaggregation'!$O34,'College Enrollment Projections'!$AI$2:$AI$62,0),MATCH('Campus Enrol Disaggregation'!Q$2,'College Enrollment Projections'!$AJ$1:$AP$1,0)),50)</f>
        <v>1950</v>
      </c>
      <c r="R34" s="34">
        <f>MROUND(R$3*INDEX('College Enrollment Projections'!$AJ$2:$AP$62,MATCH('Campus Enrol Disaggregation'!$O34,'College Enrollment Projections'!$AI$2:$AI$62,0),MATCH('Campus Enrol Disaggregation'!R$2,'College Enrollment Projections'!$AJ$1:$AP$1,0)),50)</f>
        <v>15600</v>
      </c>
      <c r="S34" s="34">
        <f>MROUND(S$3*INDEX('College Enrollment Projections'!$AJ$2:$AP$62,MATCH('Campus Enrol Disaggregation'!$O34,'College Enrollment Projections'!$AI$2:$AI$62,0),MATCH('Campus Enrol Disaggregation'!S$2,'College Enrollment Projections'!$AJ$1:$AP$1,0)),50)</f>
        <v>5450</v>
      </c>
      <c r="T34" s="34">
        <f>MROUND(T$3*INDEX('College Enrollment Projections'!$AJ$2:$AP$62,MATCH('Campus Enrol Disaggregation'!$O34,'College Enrollment Projections'!$AI$2:$AI$62,0),MATCH('Campus Enrol Disaggregation'!T$2,'College Enrollment Projections'!$AJ$1:$AP$1,0)),50)</f>
        <v>1350</v>
      </c>
      <c r="U34" s="34">
        <f>MROUND(U$3*INDEX('College Enrollment Projections'!$AJ$2:$AP$62,MATCH('Campus Enrol Disaggregation'!$O34,'College Enrollment Projections'!$AI$2:$AI$62,0),MATCH('Campus Enrol Disaggregation'!U$2,'College Enrollment Projections'!$AJ$1:$AP$1,0)),50)</f>
        <v>4850</v>
      </c>
      <c r="V34" s="34">
        <f>MROUND(V$3*INDEX('College Enrollment Projections'!$AJ$2:$AP$62,MATCH('Campus Enrol Disaggregation'!$O34,'College Enrollment Projections'!$AI$2:$AI$62,0),MATCH('Campus Enrol Disaggregation'!V$2,'College Enrollment Projections'!$AJ$1:$AP$1,0)),50)</f>
        <v>32000</v>
      </c>
      <c r="W34" s="38">
        <f>MROUND(INDEX('MAG College Enrollment Forecast'!$B$4:$H$64,MATCH($O34,'MAG College Enrollment Forecast'!$A$4:$A$64,0),MATCH(W$4,'MAG College Enrollment Forecast'!$B$1:$H$1,0)),50)</f>
        <v>40300</v>
      </c>
      <c r="X34" s="38">
        <f>MROUND(INDEX('MAG College Enrollment Forecast'!$B$4:$H$64,MATCH($O34,'MAG College Enrollment Forecast'!$A$4:$A$64,0),MATCH(X$4,'MAG College Enrollment Forecast'!$B$1:$H$1,0)),50)</f>
        <v>1300</v>
      </c>
      <c r="Y34" s="38">
        <f>MROUND(INDEX('MAG College Enrollment Forecast'!$B$4:$H$64,MATCH($O34,'MAG College Enrollment Forecast'!$A$4:$A$64,0),MATCH(Y$4,'MAG College Enrollment Forecast'!$B$1:$H$1,0)),50)</f>
        <v>0</v>
      </c>
      <c r="Z34" s="38">
        <f>MROUND(INDEX('MAG College Enrollment Forecast'!$B$4:$H$64,MATCH($O34,'MAG College Enrollment Forecast'!$A$4:$A$64,0),MATCH(Z$4,'MAG College Enrollment Forecast'!$B$1:$H$1,0)),50)</f>
        <v>0</v>
      </c>
      <c r="AA34" s="33">
        <f>MROUND(AA$3*INDEX('College Enrollment Projections'!$AJ$2:$AP$62,MATCH('Campus Enrol Disaggregation'!$O34,'College Enrollment Projections'!$AI$2:$AI$62,0),MATCH('Campus Enrol Disaggregation'!AA$2,'College Enrollment Projections'!$AJ$1:$AP$1,0)),50)</f>
        <v>22300</v>
      </c>
      <c r="AB34" s="33">
        <f>MROUND(AB$3*INDEX('College Enrollment Projections'!$AJ$2:$AP$62,MATCH('Campus Enrol Disaggregation'!$O34,'College Enrollment Projections'!$AI$2:$AI$62,0),MATCH('Campus Enrol Disaggregation'!AB$2,'College Enrollment Projections'!$AJ$1:$AP$1,0)),50)</f>
        <v>5850</v>
      </c>
      <c r="AC34" s="33">
        <f>MROUND(AC$3*INDEX('College Enrollment Projections'!$AJ$2:$AP$62,MATCH('Campus Enrol Disaggregation'!$O34,'College Enrollment Projections'!$AI$2:$AI$62,0),MATCH('Campus Enrol Disaggregation'!AC$2,'College Enrollment Projections'!$AJ$1:$AP$1,0)),50)</f>
        <v>2200</v>
      </c>
      <c r="AD34" s="26">
        <f t="shared" si="0"/>
        <v>167450</v>
      </c>
    </row>
    <row r="35" spans="15:30" x14ac:dyDescent="0.25">
      <c r="O35" s="3">
        <v>2020</v>
      </c>
      <c r="P35" s="34">
        <f>MROUND(P$3*INDEX('College Enrollment Projections'!$AJ$2:$AP$62,MATCH('Campus Enrol Disaggregation'!$O35,'College Enrollment Projections'!$AI$2:$AI$62,0),MATCH('Campus Enrol Disaggregation'!P$2,'College Enrollment Projections'!$AJ$1:$AP$1,0)),50)</f>
        <v>36450</v>
      </c>
      <c r="Q35" s="34">
        <f>MROUND(Q$3*INDEX('College Enrollment Projections'!$AJ$2:$AP$62,MATCH('Campus Enrol Disaggregation'!$O35,'College Enrollment Projections'!$AI$2:$AI$62,0),MATCH('Campus Enrol Disaggregation'!Q$2,'College Enrollment Projections'!$AJ$1:$AP$1,0)),50)</f>
        <v>2000</v>
      </c>
      <c r="R35" s="34">
        <f>MROUND(R$3*INDEX('College Enrollment Projections'!$AJ$2:$AP$62,MATCH('Campus Enrol Disaggregation'!$O35,'College Enrollment Projections'!$AI$2:$AI$62,0),MATCH('Campus Enrol Disaggregation'!R$2,'College Enrollment Projections'!$AJ$1:$AP$1,0)),50)</f>
        <v>14400</v>
      </c>
      <c r="S35" s="34">
        <f>MROUND(S$3*INDEX('College Enrollment Projections'!$AJ$2:$AP$62,MATCH('Campus Enrol Disaggregation'!$O35,'College Enrollment Projections'!$AI$2:$AI$62,0),MATCH('Campus Enrol Disaggregation'!S$2,'College Enrollment Projections'!$AJ$1:$AP$1,0)),50)</f>
        <v>5050</v>
      </c>
      <c r="T35" s="34">
        <f>MROUND(T$3*INDEX('College Enrollment Projections'!$AJ$2:$AP$62,MATCH('Campus Enrol Disaggregation'!$O35,'College Enrollment Projections'!$AI$2:$AI$62,0),MATCH('Campus Enrol Disaggregation'!T$2,'College Enrollment Projections'!$AJ$1:$AP$1,0)),50)</f>
        <v>1250</v>
      </c>
      <c r="U35" s="34">
        <f>MROUND(U$3*INDEX('College Enrollment Projections'!$AJ$2:$AP$62,MATCH('Campus Enrol Disaggregation'!$O35,'College Enrollment Projections'!$AI$2:$AI$62,0),MATCH('Campus Enrol Disaggregation'!U$2,'College Enrollment Projections'!$AJ$1:$AP$1,0)),50)</f>
        <v>4450</v>
      </c>
      <c r="V35" s="34">
        <f>MROUND(V$3*INDEX('College Enrollment Projections'!$AJ$2:$AP$62,MATCH('Campus Enrol Disaggregation'!$O35,'College Enrollment Projections'!$AI$2:$AI$62,0),MATCH('Campus Enrol Disaggregation'!V$2,'College Enrollment Projections'!$AJ$1:$AP$1,0)),50)</f>
        <v>32200</v>
      </c>
      <c r="W35" s="38">
        <f>MROUND(INDEX('MAG College Enrollment Forecast'!$B$4:$H$64,MATCH($O35,'MAG College Enrollment Forecast'!$A$4:$A$64,0),MATCH(W$4,'MAG College Enrollment Forecast'!$B$1:$H$1,0)),50)</f>
        <v>39450</v>
      </c>
      <c r="X35" s="38">
        <f>MROUND(INDEX('MAG College Enrollment Forecast'!$B$4:$H$64,MATCH($O35,'MAG College Enrollment Forecast'!$A$4:$A$64,0),MATCH(X$4,'MAG College Enrollment Forecast'!$B$1:$H$1,0)),50)</f>
        <v>1350</v>
      </c>
      <c r="Y35" s="38">
        <f>MROUND(INDEX('MAG College Enrollment Forecast'!$B$4:$H$64,MATCH($O35,'MAG College Enrollment Forecast'!$A$4:$A$64,0),MATCH(Y$4,'MAG College Enrollment Forecast'!$B$1:$H$1,0)),50)</f>
        <v>0</v>
      </c>
      <c r="Z35" s="38">
        <f>MROUND(INDEX('MAG College Enrollment Forecast'!$B$4:$H$64,MATCH($O35,'MAG College Enrollment Forecast'!$A$4:$A$64,0),MATCH(Z$4,'MAG College Enrollment Forecast'!$B$1:$H$1,0)),50)</f>
        <v>0</v>
      </c>
      <c r="AA35" s="33">
        <f>MROUND(AA$3*INDEX('College Enrollment Projections'!$AJ$2:$AP$62,MATCH('Campus Enrol Disaggregation'!$O35,'College Enrollment Projections'!$AI$2:$AI$62,0),MATCH('Campus Enrol Disaggregation'!AA$2,'College Enrollment Projections'!$AJ$1:$AP$1,0)),50)</f>
        <v>22250</v>
      </c>
      <c r="AB35" s="33">
        <f>MROUND(AB$3*INDEX('College Enrollment Projections'!$AJ$2:$AP$62,MATCH('Campus Enrol Disaggregation'!$O35,'College Enrollment Projections'!$AI$2:$AI$62,0),MATCH('Campus Enrol Disaggregation'!AB$2,'College Enrollment Projections'!$AJ$1:$AP$1,0)),50)</f>
        <v>5850</v>
      </c>
      <c r="AC35" s="33">
        <f>MROUND(AC$3*INDEX('College Enrollment Projections'!$AJ$2:$AP$62,MATCH('Campus Enrol Disaggregation'!$O35,'College Enrollment Projections'!$AI$2:$AI$62,0),MATCH('Campus Enrol Disaggregation'!AC$2,'College Enrollment Projections'!$AJ$1:$AP$1,0)),50)</f>
        <v>1850</v>
      </c>
      <c r="AD35" s="26">
        <f t="shared" si="0"/>
        <v>166550</v>
      </c>
    </row>
    <row r="36" spans="15:30" x14ac:dyDescent="0.25">
      <c r="O36" s="3">
        <v>2021</v>
      </c>
      <c r="P36" s="34">
        <f>MROUND(P$3*INDEX('College Enrollment Projections'!$AJ$2:$AP$62,MATCH('Campus Enrol Disaggregation'!$O36,'College Enrollment Projections'!$AI$2:$AI$62,0),MATCH('Campus Enrol Disaggregation'!P$2,'College Enrollment Projections'!$AJ$1:$AP$1,0)),50)</f>
        <v>35600</v>
      </c>
      <c r="Q36" s="34">
        <f>MROUND(Q$3*INDEX('College Enrollment Projections'!$AJ$2:$AP$62,MATCH('Campus Enrol Disaggregation'!$O36,'College Enrollment Projections'!$AI$2:$AI$62,0),MATCH('Campus Enrol Disaggregation'!Q$2,'College Enrollment Projections'!$AJ$1:$AP$1,0)),50)</f>
        <v>2000</v>
      </c>
      <c r="R36" s="34">
        <f>MROUND(R$3*INDEX('College Enrollment Projections'!$AJ$2:$AP$62,MATCH('Campus Enrol Disaggregation'!$O36,'College Enrollment Projections'!$AI$2:$AI$62,0),MATCH('Campus Enrol Disaggregation'!R$2,'College Enrollment Projections'!$AJ$1:$AP$1,0)),50)</f>
        <v>14350</v>
      </c>
      <c r="S36" s="34">
        <f>MROUND(S$3*INDEX('College Enrollment Projections'!$AJ$2:$AP$62,MATCH('Campus Enrol Disaggregation'!$O36,'College Enrollment Projections'!$AI$2:$AI$62,0),MATCH('Campus Enrol Disaggregation'!S$2,'College Enrollment Projections'!$AJ$1:$AP$1,0)),50)</f>
        <v>5050</v>
      </c>
      <c r="T36" s="34">
        <f>MROUND(T$3*INDEX('College Enrollment Projections'!$AJ$2:$AP$62,MATCH('Campus Enrol Disaggregation'!$O36,'College Enrollment Projections'!$AI$2:$AI$62,0),MATCH('Campus Enrol Disaggregation'!T$2,'College Enrollment Projections'!$AJ$1:$AP$1,0)),50)</f>
        <v>1250</v>
      </c>
      <c r="U36" s="34">
        <f>MROUND(U$3*INDEX('College Enrollment Projections'!$AJ$2:$AP$62,MATCH('Campus Enrol Disaggregation'!$O36,'College Enrollment Projections'!$AI$2:$AI$62,0),MATCH('Campus Enrol Disaggregation'!U$2,'College Enrollment Projections'!$AJ$1:$AP$1,0)),50)</f>
        <v>4450</v>
      </c>
      <c r="V36" s="34">
        <f>MROUND(V$3*INDEX('College Enrollment Projections'!$AJ$2:$AP$62,MATCH('Campus Enrol Disaggregation'!$O36,'College Enrollment Projections'!$AI$2:$AI$62,0),MATCH('Campus Enrol Disaggregation'!V$2,'College Enrollment Projections'!$AJ$1:$AP$1,0)),50)</f>
        <v>33550</v>
      </c>
      <c r="W36" s="38">
        <f>MROUND(INDEX('MAG College Enrollment Forecast'!$B$4:$H$64,MATCH($O36,'MAG College Enrollment Forecast'!$A$4:$A$64,0),MATCH(W$4,'MAG College Enrollment Forecast'!$B$1:$H$1,0)),50)</f>
        <v>39700</v>
      </c>
      <c r="X36" s="38">
        <f>MROUND(INDEX('MAG College Enrollment Forecast'!$B$4:$H$64,MATCH($O36,'MAG College Enrollment Forecast'!$A$4:$A$64,0),MATCH(X$4,'MAG College Enrollment Forecast'!$B$1:$H$1,0)),50)</f>
        <v>1400</v>
      </c>
      <c r="Y36" s="38">
        <f>MROUND(INDEX('MAG College Enrollment Forecast'!$B$4:$H$64,MATCH($O36,'MAG College Enrollment Forecast'!$A$4:$A$64,0),MATCH(Y$4,'MAG College Enrollment Forecast'!$B$1:$H$1,0)),50)</f>
        <v>0</v>
      </c>
      <c r="Z36" s="38">
        <f>MROUND(INDEX('MAG College Enrollment Forecast'!$B$4:$H$64,MATCH($O36,'MAG College Enrollment Forecast'!$A$4:$A$64,0),MATCH(Z$4,'MAG College Enrollment Forecast'!$B$1:$H$1,0)),50)</f>
        <v>0</v>
      </c>
      <c r="AA36" s="33">
        <f>MROUND(AA$3*INDEX('College Enrollment Projections'!$AJ$2:$AP$62,MATCH('Campus Enrol Disaggregation'!$O36,'College Enrollment Projections'!$AI$2:$AI$62,0),MATCH('Campus Enrol Disaggregation'!AA$2,'College Enrollment Projections'!$AJ$1:$AP$1,0)),50)</f>
        <v>22400</v>
      </c>
      <c r="AB36" s="33">
        <f>MROUND(AB$3*INDEX('College Enrollment Projections'!$AJ$2:$AP$62,MATCH('Campus Enrol Disaggregation'!$O36,'College Enrollment Projections'!$AI$2:$AI$62,0),MATCH('Campus Enrol Disaggregation'!AB$2,'College Enrollment Projections'!$AJ$1:$AP$1,0)),50)</f>
        <v>5900</v>
      </c>
      <c r="AC36" s="33">
        <f>MROUND(AC$3*INDEX('College Enrollment Projections'!$AJ$2:$AP$62,MATCH('Campus Enrol Disaggregation'!$O36,'College Enrollment Projections'!$AI$2:$AI$62,0),MATCH('Campus Enrol Disaggregation'!AC$2,'College Enrollment Projections'!$AJ$1:$AP$1,0)),50)</f>
        <v>1550</v>
      </c>
      <c r="AD36" s="26">
        <f t="shared" si="0"/>
        <v>167200</v>
      </c>
    </row>
    <row r="37" spans="15:30" x14ac:dyDescent="0.25">
      <c r="O37" s="3">
        <v>2022</v>
      </c>
      <c r="P37" s="34">
        <f>MROUND(P$3*INDEX('College Enrollment Projections'!$AJ$2:$AP$62,MATCH('Campus Enrol Disaggregation'!$O37,'College Enrollment Projections'!$AI$2:$AI$62,0),MATCH('Campus Enrol Disaggregation'!P$2,'College Enrollment Projections'!$AJ$1:$AP$1,0)),50)</f>
        <v>34750</v>
      </c>
      <c r="Q37" s="34">
        <f>MROUND(Q$3*INDEX('College Enrollment Projections'!$AJ$2:$AP$62,MATCH('Campus Enrol Disaggregation'!$O37,'College Enrollment Projections'!$AI$2:$AI$62,0),MATCH('Campus Enrol Disaggregation'!Q$2,'College Enrollment Projections'!$AJ$1:$AP$1,0)),50)</f>
        <v>2000</v>
      </c>
      <c r="R37" s="34">
        <f>MROUND(R$3*INDEX('College Enrollment Projections'!$AJ$2:$AP$62,MATCH('Campus Enrol Disaggregation'!$O37,'College Enrollment Projections'!$AI$2:$AI$62,0),MATCH('Campus Enrol Disaggregation'!R$2,'College Enrollment Projections'!$AJ$1:$AP$1,0)),50)</f>
        <v>13900</v>
      </c>
      <c r="S37" s="34">
        <f>MROUND(S$3*INDEX('College Enrollment Projections'!$AJ$2:$AP$62,MATCH('Campus Enrol Disaggregation'!$O37,'College Enrollment Projections'!$AI$2:$AI$62,0),MATCH('Campus Enrol Disaggregation'!S$2,'College Enrollment Projections'!$AJ$1:$AP$1,0)),50)</f>
        <v>4850</v>
      </c>
      <c r="T37" s="34">
        <f>MROUND(T$3*INDEX('College Enrollment Projections'!$AJ$2:$AP$62,MATCH('Campus Enrol Disaggregation'!$O37,'College Enrollment Projections'!$AI$2:$AI$62,0),MATCH('Campus Enrol Disaggregation'!T$2,'College Enrollment Projections'!$AJ$1:$AP$1,0)),50)</f>
        <v>1200</v>
      </c>
      <c r="U37" s="34">
        <f>MROUND(U$3*INDEX('College Enrollment Projections'!$AJ$2:$AP$62,MATCH('Campus Enrol Disaggregation'!$O37,'College Enrollment Projections'!$AI$2:$AI$62,0),MATCH('Campus Enrol Disaggregation'!U$2,'College Enrollment Projections'!$AJ$1:$AP$1,0)),50)</f>
        <v>4300</v>
      </c>
      <c r="V37" s="34">
        <f>MROUND(V$3*INDEX('College Enrollment Projections'!$AJ$2:$AP$62,MATCH('Campus Enrol Disaggregation'!$O37,'College Enrollment Projections'!$AI$2:$AI$62,0),MATCH('Campus Enrol Disaggregation'!V$2,'College Enrollment Projections'!$AJ$1:$AP$1,0)),50)</f>
        <v>33800</v>
      </c>
      <c r="W37" s="38">
        <f>MROUND(INDEX('MAG College Enrollment Forecast'!$B$4:$H$64,MATCH($O37,'MAG College Enrollment Forecast'!$A$4:$A$64,0),MATCH(W$4,'MAG College Enrollment Forecast'!$B$1:$H$1,0)),50)</f>
        <v>41500</v>
      </c>
      <c r="X37" s="38">
        <f>MROUND(INDEX('MAG College Enrollment Forecast'!$B$4:$H$64,MATCH($O37,'MAG College Enrollment Forecast'!$A$4:$A$64,0),MATCH(X$4,'MAG College Enrollment Forecast'!$B$1:$H$1,0)),50)</f>
        <v>1450</v>
      </c>
      <c r="Y37" s="38">
        <f>MROUND(INDEX('MAG College Enrollment Forecast'!$B$4:$H$64,MATCH($O37,'MAG College Enrollment Forecast'!$A$4:$A$64,0),MATCH(Y$4,'MAG College Enrollment Forecast'!$B$1:$H$1,0)),50)</f>
        <v>0</v>
      </c>
      <c r="Z37" s="38">
        <f>MROUND(INDEX('MAG College Enrollment Forecast'!$B$4:$H$64,MATCH($O37,'MAG College Enrollment Forecast'!$A$4:$A$64,0),MATCH(Z$4,'MAG College Enrollment Forecast'!$B$1:$H$1,0)),50)</f>
        <v>0</v>
      </c>
      <c r="AA37" s="33">
        <f>MROUND(AA$3*INDEX('College Enrollment Projections'!$AJ$2:$AP$62,MATCH('Campus Enrol Disaggregation'!$O37,'College Enrollment Projections'!$AI$2:$AI$62,0),MATCH('Campus Enrol Disaggregation'!AA$2,'College Enrollment Projections'!$AJ$1:$AP$1,0)),50)</f>
        <v>22500</v>
      </c>
      <c r="AB37" s="33">
        <f>MROUND(AB$3*INDEX('College Enrollment Projections'!$AJ$2:$AP$62,MATCH('Campus Enrol Disaggregation'!$O37,'College Enrollment Projections'!$AI$2:$AI$62,0),MATCH('Campus Enrol Disaggregation'!AB$2,'College Enrollment Projections'!$AJ$1:$AP$1,0)),50)</f>
        <v>5900</v>
      </c>
      <c r="AC37" s="33">
        <f>MROUND(AC$3*INDEX('College Enrollment Projections'!$AJ$2:$AP$62,MATCH('Campus Enrol Disaggregation'!$O37,'College Enrollment Projections'!$AI$2:$AI$62,0),MATCH('Campus Enrol Disaggregation'!AC$2,'College Enrollment Projections'!$AJ$1:$AP$1,0)),50)</f>
        <v>2500</v>
      </c>
      <c r="AD37" s="26">
        <f t="shared" si="0"/>
        <v>168650</v>
      </c>
    </row>
    <row r="38" spans="15:30" x14ac:dyDescent="0.25">
      <c r="O38" s="3">
        <v>2023</v>
      </c>
      <c r="P38" s="34">
        <f>MROUND(P$3*INDEX('College Enrollment Projections'!$AJ$2:$AP$62,MATCH('Campus Enrol Disaggregation'!$O38,'College Enrollment Projections'!$AI$2:$AI$62,0),MATCH('Campus Enrol Disaggregation'!P$2,'College Enrollment Projections'!$AJ$1:$AP$1,0)),50)</f>
        <v>36400</v>
      </c>
      <c r="Q38" s="34">
        <f>MROUND(Q$3*INDEX('College Enrollment Projections'!$AJ$2:$AP$62,MATCH('Campus Enrol Disaggregation'!$O38,'College Enrollment Projections'!$AI$2:$AI$62,0),MATCH('Campus Enrol Disaggregation'!Q$2,'College Enrollment Projections'!$AJ$1:$AP$1,0)),50)</f>
        <v>2000</v>
      </c>
      <c r="R38" s="34">
        <f>MROUND(R$3*INDEX('College Enrollment Projections'!$AJ$2:$AP$62,MATCH('Campus Enrol Disaggregation'!$O38,'College Enrollment Projections'!$AI$2:$AI$62,0),MATCH('Campus Enrol Disaggregation'!R$2,'College Enrollment Projections'!$AJ$1:$AP$1,0)),50)</f>
        <v>17150</v>
      </c>
      <c r="S38" s="34">
        <f>MROUND(S$3*INDEX('College Enrollment Projections'!$AJ$2:$AP$62,MATCH('Campus Enrol Disaggregation'!$O38,'College Enrollment Projections'!$AI$2:$AI$62,0),MATCH('Campus Enrol Disaggregation'!S$2,'College Enrollment Projections'!$AJ$1:$AP$1,0)),50)</f>
        <v>6000</v>
      </c>
      <c r="T38" s="34">
        <f>MROUND(T$3*INDEX('College Enrollment Projections'!$AJ$2:$AP$62,MATCH('Campus Enrol Disaggregation'!$O38,'College Enrollment Projections'!$AI$2:$AI$62,0),MATCH('Campus Enrol Disaggregation'!T$2,'College Enrollment Projections'!$AJ$1:$AP$1,0)),50)</f>
        <v>1500</v>
      </c>
      <c r="U38" s="34">
        <f>MROUND(U$3*INDEX('College Enrollment Projections'!$AJ$2:$AP$62,MATCH('Campus Enrol Disaggregation'!$O38,'College Enrollment Projections'!$AI$2:$AI$62,0),MATCH('Campus Enrol Disaggregation'!U$2,'College Enrollment Projections'!$AJ$1:$AP$1,0)),50)</f>
        <v>5300</v>
      </c>
      <c r="V38" s="34">
        <f>MROUND(V$3*INDEX('College Enrollment Projections'!$AJ$2:$AP$62,MATCH('Campus Enrol Disaggregation'!$O38,'College Enrollment Projections'!$AI$2:$AI$62,0),MATCH('Campus Enrol Disaggregation'!V$2,'College Enrollment Projections'!$AJ$1:$AP$1,0)),50)</f>
        <v>35100</v>
      </c>
      <c r="W38" s="38">
        <f>MROUND(INDEX('MAG College Enrollment Forecast'!$B$4:$H$64,MATCH($O38,'MAG College Enrollment Forecast'!$A$4:$A$64,0),MATCH(W$4,'MAG College Enrollment Forecast'!$B$1:$H$1,0)),50)</f>
        <v>43100</v>
      </c>
      <c r="X38" s="38">
        <f>MROUND(INDEX('MAG College Enrollment Forecast'!$B$4:$H$64,MATCH($O38,'MAG College Enrollment Forecast'!$A$4:$A$64,0),MATCH(X$4,'MAG College Enrollment Forecast'!$B$1:$H$1,0)),50)</f>
        <v>1450</v>
      </c>
      <c r="Y38" s="38">
        <f>MROUND(INDEX('MAG College Enrollment Forecast'!$B$4:$H$64,MATCH($O38,'MAG College Enrollment Forecast'!$A$4:$A$64,0),MATCH(Y$4,'MAG College Enrollment Forecast'!$B$1:$H$1,0)),50)</f>
        <v>0</v>
      </c>
      <c r="Z38" s="38">
        <f>MROUND(INDEX('MAG College Enrollment Forecast'!$B$4:$H$64,MATCH($O38,'MAG College Enrollment Forecast'!$A$4:$A$64,0),MATCH(Z$4,'MAG College Enrollment Forecast'!$B$1:$H$1,0)),50)</f>
        <v>0</v>
      </c>
      <c r="AA38" s="33">
        <f>MROUND(AA$3*INDEX('College Enrollment Projections'!$AJ$2:$AP$62,MATCH('Campus Enrol Disaggregation'!$O38,'College Enrollment Projections'!$AI$2:$AI$62,0),MATCH('Campus Enrol Disaggregation'!AA$2,'College Enrollment Projections'!$AJ$1:$AP$1,0)),50)</f>
        <v>23650</v>
      </c>
      <c r="AB38" s="33">
        <f>MROUND(AB$3*INDEX('College Enrollment Projections'!$AJ$2:$AP$62,MATCH('Campus Enrol Disaggregation'!$O38,'College Enrollment Projections'!$AI$2:$AI$62,0),MATCH('Campus Enrol Disaggregation'!AB$2,'College Enrollment Projections'!$AJ$1:$AP$1,0)),50)</f>
        <v>6200</v>
      </c>
      <c r="AC38" s="33">
        <f>MROUND(AC$3*INDEX('College Enrollment Projections'!$AJ$2:$AP$62,MATCH('Campus Enrol Disaggregation'!$O38,'College Enrollment Projections'!$AI$2:$AI$62,0),MATCH('Campus Enrol Disaggregation'!AC$2,'College Enrollment Projections'!$AJ$1:$AP$1,0)),50)</f>
        <v>2500</v>
      </c>
      <c r="AD38" s="26">
        <f t="shared" si="0"/>
        <v>180350</v>
      </c>
    </row>
    <row r="39" spans="15:30" x14ac:dyDescent="0.25">
      <c r="O39" s="3">
        <v>2024</v>
      </c>
      <c r="P39" s="34">
        <f>MROUND(P$3*INDEX('College Enrollment Projections'!$AJ$2:$AP$62,MATCH('Campus Enrol Disaggregation'!$O39,'College Enrollment Projections'!$AI$2:$AI$62,0),MATCH('Campus Enrol Disaggregation'!P$2,'College Enrollment Projections'!$AJ$1:$AP$1,0)),50)</f>
        <v>36900</v>
      </c>
      <c r="Q39" s="34">
        <f>MROUND(Q$3*INDEX('College Enrollment Projections'!$AJ$2:$AP$62,MATCH('Campus Enrol Disaggregation'!$O39,'College Enrollment Projections'!$AI$2:$AI$62,0),MATCH('Campus Enrol Disaggregation'!Q$2,'College Enrollment Projections'!$AJ$1:$AP$1,0)),50)</f>
        <v>2000</v>
      </c>
      <c r="R39" s="34">
        <f>MROUND(R$3*INDEX('College Enrollment Projections'!$AJ$2:$AP$62,MATCH('Campus Enrol Disaggregation'!$O39,'College Enrollment Projections'!$AI$2:$AI$62,0),MATCH('Campus Enrol Disaggregation'!R$2,'College Enrollment Projections'!$AJ$1:$AP$1,0)),50)</f>
        <v>17200</v>
      </c>
      <c r="S39" s="34">
        <f>MROUND(S$3*INDEX('College Enrollment Projections'!$AJ$2:$AP$62,MATCH('Campus Enrol Disaggregation'!$O39,'College Enrollment Projections'!$AI$2:$AI$62,0),MATCH('Campus Enrol Disaggregation'!S$2,'College Enrollment Projections'!$AJ$1:$AP$1,0)),50)</f>
        <v>6000</v>
      </c>
      <c r="T39" s="34">
        <f>MROUND(T$3*INDEX('College Enrollment Projections'!$AJ$2:$AP$62,MATCH('Campus Enrol Disaggregation'!$O39,'College Enrollment Projections'!$AI$2:$AI$62,0),MATCH('Campus Enrol Disaggregation'!T$2,'College Enrollment Projections'!$AJ$1:$AP$1,0)),50)</f>
        <v>1500</v>
      </c>
      <c r="U39" s="34">
        <f>MROUND(U$3*INDEX('College Enrollment Projections'!$AJ$2:$AP$62,MATCH('Campus Enrol Disaggregation'!$O39,'College Enrollment Projections'!$AI$2:$AI$62,0),MATCH('Campus Enrol Disaggregation'!U$2,'College Enrollment Projections'!$AJ$1:$AP$1,0)),50)</f>
        <v>5350</v>
      </c>
      <c r="V39" s="34">
        <f>MROUND(V$3*INDEX('College Enrollment Projections'!$AJ$2:$AP$62,MATCH('Campus Enrol Disaggregation'!$O39,'College Enrollment Projections'!$AI$2:$AI$62,0),MATCH('Campus Enrol Disaggregation'!V$2,'College Enrollment Projections'!$AJ$1:$AP$1,0)),50)</f>
        <v>35600</v>
      </c>
      <c r="W39" s="38">
        <f>MROUND(INDEX('MAG College Enrollment Forecast'!$B$4:$H$64,MATCH($O39,'MAG College Enrollment Forecast'!$A$4:$A$64,0),MATCH(W$4,'MAG College Enrollment Forecast'!$B$1:$H$1,0)),50)</f>
        <v>44700</v>
      </c>
      <c r="X39" s="38">
        <f>MROUND(INDEX('MAG College Enrollment Forecast'!$B$4:$H$64,MATCH($O39,'MAG College Enrollment Forecast'!$A$4:$A$64,0),MATCH(X$4,'MAG College Enrollment Forecast'!$B$1:$H$1,0)),50)</f>
        <v>1500</v>
      </c>
      <c r="Y39" s="38">
        <f>MROUND(INDEX('MAG College Enrollment Forecast'!$B$4:$H$64,MATCH($O39,'MAG College Enrollment Forecast'!$A$4:$A$64,0),MATCH(Y$4,'MAG College Enrollment Forecast'!$B$1:$H$1,0)),50)</f>
        <v>0</v>
      </c>
      <c r="Z39" s="38">
        <f>MROUND(INDEX('MAG College Enrollment Forecast'!$B$4:$H$64,MATCH($O39,'MAG College Enrollment Forecast'!$A$4:$A$64,0),MATCH(Z$4,'MAG College Enrollment Forecast'!$B$1:$H$1,0)),50)</f>
        <v>0</v>
      </c>
      <c r="AA39" s="33">
        <f>MROUND(AA$3*INDEX('College Enrollment Projections'!$AJ$2:$AP$62,MATCH('Campus Enrol Disaggregation'!$O39,'College Enrollment Projections'!$AI$2:$AI$62,0),MATCH('Campus Enrol Disaggregation'!AA$2,'College Enrollment Projections'!$AJ$1:$AP$1,0)),50)</f>
        <v>23900</v>
      </c>
      <c r="AB39" s="33">
        <f>MROUND(AB$3*INDEX('College Enrollment Projections'!$AJ$2:$AP$62,MATCH('Campus Enrol Disaggregation'!$O39,'College Enrollment Projections'!$AI$2:$AI$62,0),MATCH('Campus Enrol Disaggregation'!AB$2,'College Enrollment Projections'!$AJ$1:$AP$1,0)),50)</f>
        <v>6300</v>
      </c>
      <c r="AC39" s="33">
        <f>MROUND(AC$3*INDEX('College Enrollment Projections'!$AJ$2:$AP$62,MATCH('Campus Enrol Disaggregation'!$O39,'College Enrollment Projections'!$AI$2:$AI$62,0),MATCH('Campus Enrol Disaggregation'!AC$2,'College Enrollment Projections'!$AJ$1:$AP$1,0)),50)</f>
        <v>2500</v>
      </c>
      <c r="AD39" s="26">
        <f t="shared" si="0"/>
        <v>183450</v>
      </c>
    </row>
    <row r="40" spans="15:30" x14ac:dyDescent="0.25">
      <c r="O40" s="3">
        <v>2025</v>
      </c>
      <c r="P40" s="34">
        <f>MROUND(P$3*INDEX('College Enrollment Projections'!$AJ$2:$AP$62,MATCH('Campus Enrol Disaggregation'!$O40,'College Enrollment Projections'!$AI$2:$AI$62,0),MATCH('Campus Enrol Disaggregation'!P$2,'College Enrollment Projections'!$AJ$1:$AP$1,0)),50)</f>
        <v>37500</v>
      </c>
      <c r="Q40" s="34">
        <f>MROUND(Q$3*INDEX('College Enrollment Projections'!$AJ$2:$AP$62,MATCH('Campus Enrol Disaggregation'!$O40,'College Enrollment Projections'!$AI$2:$AI$62,0),MATCH('Campus Enrol Disaggregation'!Q$2,'College Enrollment Projections'!$AJ$1:$AP$1,0)),50)</f>
        <v>2000</v>
      </c>
      <c r="R40" s="34">
        <f>MROUND(R$3*INDEX('College Enrollment Projections'!$AJ$2:$AP$62,MATCH('Campus Enrol Disaggregation'!$O40,'College Enrollment Projections'!$AI$2:$AI$62,0),MATCH('Campus Enrol Disaggregation'!R$2,'College Enrollment Projections'!$AJ$1:$AP$1,0)),50)</f>
        <v>17200</v>
      </c>
      <c r="S40" s="34">
        <f>MROUND(S$3*INDEX('College Enrollment Projections'!$AJ$2:$AP$62,MATCH('Campus Enrol Disaggregation'!$O40,'College Enrollment Projections'!$AI$2:$AI$62,0),MATCH('Campus Enrol Disaggregation'!S$2,'College Enrollment Projections'!$AJ$1:$AP$1,0)),50)</f>
        <v>6000</v>
      </c>
      <c r="T40" s="34">
        <f>MROUND(T$3*INDEX('College Enrollment Projections'!$AJ$2:$AP$62,MATCH('Campus Enrol Disaggregation'!$O40,'College Enrollment Projections'!$AI$2:$AI$62,0),MATCH('Campus Enrol Disaggregation'!T$2,'College Enrollment Projections'!$AJ$1:$AP$1,0)),50)</f>
        <v>1500</v>
      </c>
      <c r="U40" s="34">
        <f>MROUND(U$3*INDEX('College Enrollment Projections'!$AJ$2:$AP$62,MATCH('Campus Enrol Disaggregation'!$O40,'College Enrollment Projections'!$AI$2:$AI$62,0),MATCH('Campus Enrol Disaggregation'!U$2,'College Enrollment Projections'!$AJ$1:$AP$1,0)),50)</f>
        <v>5350</v>
      </c>
      <c r="V40" s="34">
        <f>MROUND(V$3*INDEX('College Enrollment Projections'!$AJ$2:$AP$62,MATCH('Campus Enrol Disaggregation'!$O40,'College Enrollment Projections'!$AI$2:$AI$62,0),MATCH('Campus Enrol Disaggregation'!V$2,'College Enrollment Projections'!$AJ$1:$AP$1,0)),50)</f>
        <v>35900</v>
      </c>
      <c r="W40" s="38">
        <f>MROUND(INDEX('MAG College Enrollment Forecast'!$B$4:$H$64,MATCH($O40,'MAG College Enrollment Forecast'!$A$4:$A$64,0),MATCH(W$4,'MAG College Enrollment Forecast'!$B$1:$H$1,0)),50)</f>
        <v>46400</v>
      </c>
      <c r="X40" s="38">
        <f>MROUND(INDEX('MAG College Enrollment Forecast'!$B$4:$H$64,MATCH($O40,'MAG College Enrollment Forecast'!$A$4:$A$64,0),MATCH(X$4,'MAG College Enrollment Forecast'!$B$1:$H$1,0)),50)</f>
        <v>1550</v>
      </c>
      <c r="Y40" s="38">
        <f>MROUND(INDEX('MAG College Enrollment Forecast'!$B$4:$H$64,MATCH($O40,'MAG College Enrollment Forecast'!$A$4:$A$64,0),MATCH(Y$4,'MAG College Enrollment Forecast'!$B$1:$H$1,0)),50)</f>
        <v>0</v>
      </c>
      <c r="Z40" s="38">
        <f>MROUND(INDEX('MAG College Enrollment Forecast'!$B$4:$H$64,MATCH($O40,'MAG College Enrollment Forecast'!$A$4:$A$64,0),MATCH(Z$4,'MAG College Enrollment Forecast'!$B$1:$H$1,0)),50)</f>
        <v>0</v>
      </c>
      <c r="AA40" s="33">
        <f>MROUND(AA$3*INDEX('College Enrollment Projections'!$AJ$2:$AP$62,MATCH('Campus Enrol Disaggregation'!$O40,'College Enrollment Projections'!$AI$2:$AI$62,0),MATCH('Campus Enrol Disaggregation'!AA$2,'College Enrollment Projections'!$AJ$1:$AP$1,0)),50)</f>
        <v>24100</v>
      </c>
      <c r="AB40" s="33">
        <f>MROUND(AB$3*INDEX('College Enrollment Projections'!$AJ$2:$AP$62,MATCH('Campus Enrol Disaggregation'!$O40,'College Enrollment Projections'!$AI$2:$AI$62,0),MATCH('Campus Enrol Disaggregation'!AB$2,'College Enrollment Projections'!$AJ$1:$AP$1,0)),50)</f>
        <v>6350</v>
      </c>
      <c r="AC40" s="33">
        <f>MROUND(AC$3*INDEX('College Enrollment Projections'!$AJ$2:$AP$62,MATCH('Campus Enrol Disaggregation'!$O40,'College Enrollment Projections'!$AI$2:$AI$62,0),MATCH('Campus Enrol Disaggregation'!AC$2,'College Enrollment Projections'!$AJ$1:$AP$1,0)),50)</f>
        <v>2500</v>
      </c>
      <c r="AD40" s="26">
        <f t="shared" si="0"/>
        <v>186350</v>
      </c>
    </row>
    <row r="41" spans="15:30" x14ac:dyDescent="0.25">
      <c r="O41" s="3">
        <v>2026</v>
      </c>
      <c r="P41" s="34">
        <f>MROUND(P$3*INDEX('College Enrollment Projections'!$AJ$2:$AP$62,MATCH('Campus Enrol Disaggregation'!$O41,'College Enrollment Projections'!$AI$2:$AI$62,0),MATCH('Campus Enrol Disaggregation'!P$2,'College Enrollment Projections'!$AJ$1:$AP$1,0)),50)</f>
        <v>37500</v>
      </c>
      <c r="Q41" s="34">
        <f>MROUND(Q$3*INDEX('College Enrollment Projections'!$AJ$2:$AP$62,MATCH('Campus Enrol Disaggregation'!$O41,'College Enrollment Projections'!$AI$2:$AI$62,0),MATCH('Campus Enrol Disaggregation'!Q$2,'College Enrollment Projections'!$AJ$1:$AP$1,0)),50)</f>
        <v>2000</v>
      </c>
      <c r="R41" s="34">
        <f>MROUND(R$3*INDEX('College Enrollment Projections'!$AJ$2:$AP$62,MATCH('Campus Enrol Disaggregation'!$O41,'College Enrollment Projections'!$AI$2:$AI$62,0),MATCH('Campus Enrol Disaggregation'!R$2,'College Enrollment Projections'!$AJ$1:$AP$1,0)),50)</f>
        <v>17150</v>
      </c>
      <c r="S41" s="34">
        <f>MROUND(S$3*INDEX('College Enrollment Projections'!$AJ$2:$AP$62,MATCH('Campus Enrol Disaggregation'!$O41,'College Enrollment Projections'!$AI$2:$AI$62,0),MATCH('Campus Enrol Disaggregation'!S$2,'College Enrollment Projections'!$AJ$1:$AP$1,0)),50)</f>
        <v>6000</v>
      </c>
      <c r="T41" s="34">
        <f>MROUND(T$3*INDEX('College Enrollment Projections'!$AJ$2:$AP$62,MATCH('Campus Enrol Disaggregation'!$O41,'College Enrollment Projections'!$AI$2:$AI$62,0),MATCH('Campus Enrol Disaggregation'!T$2,'College Enrollment Projections'!$AJ$1:$AP$1,0)),50)</f>
        <v>1500</v>
      </c>
      <c r="U41" s="34">
        <f>MROUND(U$3*INDEX('College Enrollment Projections'!$AJ$2:$AP$62,MATCH('Campus Enrol Disaggregation'!$O41,'College Enrollment Projections'!$AI$2:$AI$62,0),MATCH('Campus Enrol Disaggregation'!U$2,'College Enrollment Projections'!$AJ$1:$AP$1,0)),50)</f>
        <v>5300</v>
      </c>
      <c r="V41" s="34">
        <f>MROUND(V$3*INDEX('College Enrollment Projections'!$AJ$2:$AP$62,MATCH('Campus Enrol Disaggregation'!$O41,'College Enrollment Projections'!$AI$2:$AI$62,0),MATCH('Campus Enrol Disaggregation'!V$2,'College Enrollment Projections'!$AJ$1:$AP$1,0)),50)</f>
        <v>36100</v>
      </c>
      <c r="W41" s="38">
        <f>MROUND(INDEX('MAG College Enrollment Forecast'!$B$4:$H$64,MATCH($O41,'MAG College Enrollment Forecast'!$A$4:$A$64,0),MATCH(W$4,'MAG College Enrollment Forecast'!$B$1:$H$1,0)),50)</f>
        <v>47150</v>
      </c>
      <c r="X41" s="38">
        <f>MROUND(INDEX('MAG College Enrollment Forecast'!$B$4:$H$64,MATCH($O41,'MAG College Enrollment Forecast'!$A$4:$A$64,0),MATCH(X$4,'MAG College Enrollment Forecast'!$B$1:$H$1,0)),50)</f>
        <v>1600</v>
      </c>
      <c r="Y41" s="38">
        <f>MROUND(INDEX('MAG College Enrollment Forecast'!$B$4:$H$64,MATCH($O41,'MAG College Enrollment Forecast'!$A$4:$A$64,0),MATCH(Y$4,'MAG College Enrollment Forecast'!$B$1:$H$1,0)),50)</f>
        <v>0</v>
      </c>
      <c r="Z41" s="38">
        <f>MROUND(INDEX('MAG College Enrollment Forecast'!$B$4:$H$64,MATCH($O41,'MAG College Enrollment Forecast'!$A$4:$A$64,0),MATCH(Z$4,'MAG College Enrollment Forecast'!$B$1:$H$1,0)),50)</f>
        <v>550</v>
      </c>
      <c r="AA41" s="33">
        <f>MROUND(AA$3*INDEX('College Enrollment Projections'!$AJ$2:$AP$62,MATCH('Campus Enrol Disaggregation'!$O41,'College Enrollment Projections'!$AI$2:$AI$62,0),MATCH('Campus Enrol Disaggregation'!AA$2,'College Enrollment Projections'!$AJ$1:$AP$1,0)),50)</f>
        <v>24350</v>
      </c>
      <c r="AB41" s="33">
        <f>MROUND(AB$3*INDEX('College Enrollment Projections'!$AJ$2:$AP$62,MATCH('Campus Enrol Disaggregation'!$O41,'College Enrollment Projections'!$AI$2:$AI$62,0),MATCH('Campus Enrol Disaggregation'!AB$2,'College Enrollment Projections'!$AJ$1:$AP$1,0)),50)</f>
        <v>6400</v>
      </c>
      <c r="AC41" s="33">
        <f>MROUND(AC$3*INDEX('College Enrollment Projections'!$AJ$2:$AP$62,MATCH('Campus Enrol Disaggregation'!$O41,'College Enrollment Projections'!$AI$2:$AI$62,0),MATCH('Campus Enrol Disaggregation'!AC$2,'College Enrollment Projections'!$AJ$1:$AP$1,0)),50)</f>
        <v>2500</v>
      </c>
      <c r="AD41" s="26">
        <f t="shared" si="0"/>
        <v>188100</v>
      </c>
    </row>
    <row r="42" spans="15:30" x14ac:dyDescent="0.25">
      <c r="O42" s="3">
        <v>2027</v>
      </c>
      <c r="P42" s="34">
        <f>MROUND(P$3*INDEX('College Enrollment Projections'!$AJ$2:$AP$62,MATCH('Campus Enrol Disaggregation'!$O42,'College Enrollment Projections'!$AI$2:$AI$62,0),MATCH('Campus Enrol Disaggregation'!P$2,'College Enrollment Projections'!$AJ$1:$AP$1,0)),50)</f>
        <v>37550</v>
      </c>
      <c r="Q42" s="34">
        <f>MROUND(Q$3*INDEX('College Enrollment Projections'!$AJ$2:$AP$62,MATCH('Campus Enrol Disaggregation'!$O42,'College Enrollment Projections'!$AI$2:$AI$62,0),MATCH('Campus Enrol Disaggregation'!Q$2,'College Enrollment Projections'!$AJ$1:$AP$1,0)),50)</f>
        <v>2000</v>
      </c>
      <c r="R42" s="34">
        <f>MROUND(R$3*INDEX('College Enrollment Projections'!$AJ$2:$AP$62,MATCH('Campus Enrol Disaggregation'!$O42,'College Enrollment Projections'!$AI$2:$AI$62,0),MATCH('Campus Enrol Disaggregation'!R$2,'College Enrollment Projections'!$AJ$1:$AP$1,0)),50)</f>
        <v>17100</v>
      </c>
      <c r="S42" s="34">
        <f>MROUND(S$3*INDEX('College Enrollment Projections'!$AJ$2:$AP$62,MATCH('Campus Enrol Disaggregation'!$O42,'College Enrollment Projections'!$AI$2:$AI$62,0),MATCH('Campus Enrol Disaggregation'!S$2,'College Enrollment Projections'!$AJ$1:$AP$1,0)),50)</f>
        <v>6000</v>
      </c>
      <c r="T42" s="34">
        <f>MROUND(T$3*INDEX('College Enrollment Projections'!$AJ$2:$AP$62,MATCH('Campus Enrol Disaggregation'!$O42,'College Enrollment Projections'!$AI$2:$AI$62,0),MATCH('Campus Enrol Disaggregation'!T$2,'College Enrollment Projections'!$AJ$1:$AP$1,0)),50)</f>
        <v>1500</v>
      </c>
      <c r="U42" s="34">
        <f>MROUND(U$3*INDEX('College Enrollment Projections'!$AJ$2:$AP$62,MATCH('Campus Enrol Disaggregation'!$O42,'College Enrollment Projections'!$AI$2:$AI$62,0),MATCH('Campus Enrol Disaggregation'!U$2,'College Enrollment Projections'!$AJ$1:$AP$1,0)),50)</f>
        <v>5300</v>
      </c>
      <c r="V42" s="34">
        <f>MROUND(V$3*INDEX('College Enrollment Projections'!$AJ$2:$AP$62,MATCH('Campus Enrol Disaggregation'!$O42,'College Enrollment Projections'!$AI$2:$AI$62,0),MATCH('Campus Enrol Disaggregation'!V$2,'College Enrollment Projections'!$AJ$1:$AP$1,0)),50)</f>
        <v>36300</v>
      </c>
      <c r="W42" s="38">
        <f>MROUND(INDEX('MAG College Enrollment Forecast'!$B$4:$H$64,MATCH($O42,'MAG College Enrollment Forecast'!$A$4:$A$64,0),MATCH(W$4,'MAG College Enrollment Forecast'!$B$1:$H$1,0)),50)</f>
        <v>48100</v>
      </c>
      <c r="X42" s="38">
        <f>MROUND(INDEX('MAG College Enrollment Forecast'!$B$4:$H$64,MATCH($O42,'MAG College Enrollment Forecast'!$A$4:$A$64,0),MATCH(X$4,'MAG College Enrollment Forecast'!$B$1:$H$1,0)),50)</f>
        <v>1650</v>
      </c>
      <c r="Y42" s="38">
        <f>MROUND(INDEX('MAG College Enrollment Forecast'!$B$4:$H$64,MATCH($O42,'MAG College Enrollment Forecast'!$A$4:$A$64,0),MATCH(Y$4,'MAG College Enrollment Forecast'!$B$1:$H$1,0)),50)</f>
        <v>0</v>
      </c>
      <c r="Z42" s="38">
        <f>MROUND(INDEX('MAG College Enrollment Forecast'!$B$4:$H$64,MATCH($O42,'MAG College Enrollment Forecast'!$A$4:$A$64,0),MATCH(Z$4,'MAG College Enrollment Forecast'!$B$1:$H$1,0)),50)</f>
        <v>750</v>
      </c>
      <c r="AA42" s="33">
        <f>MROUND(AA$3*INDEX('College Enrollment Projections'!$AJ$2:$AP$62,MATCH('Campus Enrol Disaggregation'!$O42,'College Enrollment Projections'!$AI$2:$AI$62,0),MATCH('Campus Enrol Disaggregation'!AA$2,'College Enrollment Projections'!$AJ$1:$AP$1,0)),50)</f>
        <v>24600</v>
      </c>
      <c r="AB42" s="33">
        <f>MROUND(AB$3*INDEX('College Enrollment Projections'!$AJ$2:$AP$62,MATCH('Campus Enrol Disaggregation'!$O42,'College Enrollment Projections'!$AI$2:$AI$62,0),MATCH('Campus Enrol Disaggregation'!AB$2,'College Enrollment Projections'!$AJ$1:$AP$1,0)),50)</f>
        <v>6450</v>
      </c>
      <c r="AC42" s="33">
        <f>MROUND(AC$3*INDEX('College Enrollment Projections'!$AJ$2:$AP$62,MATCH('Campus Enrol Disaggregation'!$O42,'College Enrollment Projections'!$AI$2:$AI$62,0),MATCH('Campus Enrol Disaggregation'!AC$2,'College Enrollment Projections'!$AJ$1:$AP$1,0)),50)</f>
        <v>2500</v>
      </c>
      <c r="AD42" s="26">
        <f t="shared" si="0"/>
        <v>189800</v>
      </c>
    </row>
    <row r="43" spans="15:30" x14ac:dyDescent="0.25">
      <c r="O43" s="3">
        <v>2028</v>
      </c>
      <c r="P43" s="34">
        <f>MROUND(P$3*INDEX('College Enrollment Projections'!$AJ$2:$AP$62,MATCH('Campus Enrol Disaggregation'!$O43,'College Enrollment Projections'!$AI$2:$AI$62,0),MATCH('Campus Enrol Disaggregation'!P$2,'College Enrollment Projections'!$AJ$1:$AP$1,0)),50)</f>
        <v>37600</v>
      </c>
      <c r="Q43" s="34">
        <f>MROUND(Q$3*INDEX('College Enrollment Projections'!$AJ$2:$AP$62,MATCH('Campus Enrol Disaggregation'!$O43,'College Enrollment Projections'!$AI$2:$AI$62,0),MATCH('Campus Enrol Disaggregation'!Q$2,'College Enrollment Projections'!$AJ$1:$AP$1,0)),50)</f>
        <v>2000</v>
      </c>
      <c r="R43" s="34">
        <f>MROUND(R$3*INDEX('College Enrollment Projections'!$AJ$2:$AP$62,MATCH('Campus Enrol Disaggregation'!$O43,'College Enrollment Projections'!$AI$2:$AI$62,0),MATCH('Campus Enrol Disaggregation'!R$2,'College Enrollment Projections'!$AJ$1:$AP$1,0)),50)</f>
        <v>17000</v>
      </c>
      <c r="S43" s="34">
        <f>MROUND(S$3*INDEX('College Enrollment Projections'!$AJ$2:$AP$62,MATCH('Campus Enrol Disaggregation'!$O43,'College Enrollment Projections'!$AI$2:$AI$62,0),MATCH('Campus Enrol Disaggregation'!S$2,'College Enrollment Projections'!$AJ$1:$AP$1,0)),50)</f>
        <v>5950</v>
      </c>
      <c r="T43" s="34">
        <f>MROUND(T$3*INDEX('College Enrollment Projections'!$AJ$2:$AP$62,MATCH('Campus Enrol Disaggregation'!$O43,'College Enrollment Projections'!$AI$2:$AI$62,0),MATCH('Campus Enrol Disaggregation'!T$2,'College Enrollment Projections'!$AJ$1:$AP$1,0)),50)</f>
        <v>1500</v>
      </c>
      <c r="U43" s="34">
        <f>MROUND(U$3*INDEX('College Enrollment Projections'!$AJ$2:$AP$62,MATCH('Campus Enrol Disaggregation'!$O43,'College Enrollment Projections'!$AI$2:$AI$62,0),MATCH('Campus Enrol Disaggregation'!U$2,'College Enrollment Projections'!$AJ$1:$AP$1,0)),50)</f>
        <v>5300</v>
      </c>
      <c r="V43" s="34">
        <f>MROUND(V$3*INDEX('College Enrollment Projections'!$AJ$2:$AP$62,MATCH('Campus Enrol Disaggregation'!$O43,'College Enrollment Projections'!$AI$2:$AI$62,0),MATCH('Campus Enrol Disaggregation'!V$2,'College Enrollment Projections'!$AJ$1:$AP$1,0)),50)</f>
        <v>36350</v>
      </c>
      <c r="W43" s="38">
        <f>MROUND(INDEX('MAG College Enrollment Forecast'!$B$4:$H$64,MATCH($O43,'MAG College Enrollment Forecast'!$A$4:$A$64,0),MATCH(W$4,'MAG College Enrollment Forecast'!$B$1:$H$1,0)),50)</f>
        <v>48850</v>
      </c>
      <c r="X43" s="38">
        <f>MROUND(INDEX('MAG College Enrollment Forecast'!$B$4:$H$64,MATCH($O43,'MAG College Enrollment Forecast'!$A$4:$A$64,0),MATCH(X$4,'MAG College Enrollment Forecast'!$B$1:$H$1,0)),50)</f>
        <v>1700</v>
      </c>
      <c r="Y43" s="38">
        <f>MROUND(INDEX('MAG College Enrollment Forecast'!$B$4:$H$64,MATCH($O43,'MAG College Enrollment Forecast'!$A$4:$A$64,0),MATCH(Y$4,'MAG College Enrollment Forecast'!$B$1:$H$1,0)),50)</f>
        <v>0</v>
      </c>
      <c r="Z43" s="38">
        <f>MROUND(INDEX('MAG College Enrollment Forecast'!$B$4:$H$64,MATCH($O43,'MAG College Enrollment Forecast'!$A$4:$A$64,0),MATCH(Z$4,'MAG College Enrollment Forecast'!$B$1:$H$1,0)),50)</f>
        <v>900</v>
      </c>
      <c r="AA43" s="33">
        <f>MROUND(AA$3*INDEX('College Enrollment Projections'!$AJ$2:$AP$62,MATCH('Campus Enrol Disaggregation'!$O43,'College Enrollment Projections'!$AI$2:$AI$62,0),MATCH('Campus Enrol Disaggregation'!AA$2,'College Enrollment Projections'!$AJ$1:$AP$1,0)),50)</f>
        <v>24850</v>
      </c>
      <c r="AB43" s="33">
        <f>MROUND(AB$3*INDEX('College Enrollment Projections'!$AJ$2:$AP$62,MATCH('Campus Enrol Disaggregation'!$O43,'College Enrollment Projections'!$AI$2:$AI$62,0),MATCH('Campus Enrol Disaggregation'!AB$2,'College Enrollment Projections'!$AJ$1:$AP$1,0)),50)</f>
        <v>6550</v>
      </c>
      <c r="AC43" s="33">
        <f>MROUND(AC$3*INDEX('College Enrollment Projections'!$AJ$2:$AP$62,MATCH('Campus Enrol Disaggregation'!$O43,'College Enrollment Projections'!$AI$2:$AI$62,0),MATCH('Campus Enrol Disaggregation'!AC$2,'College Enrollment Projections'!$AJ$1:$AP$1,0)),50)</f>
        <v>2500</v>
      </c>
      <c r="AD43" s="26">
        <f t="shared" si="0"/>
        <v>191050</v>
      </c>
    </row>
    <row r="44" spans="15:30" x14ac:dyDescent="0.25">
      <c r="O44" s="3">
        <v>2029</v>
      </c>
      <c r="P44" s="34">
        <f>MROUND(P$3*INDEX('College Enrollment Projections'!$AJ$2:$AP$62,MATCH('Campus Enrol Disaggregation'!$O44,'College Enrollment Projections'!$AI$2:$AI$62,0),MATCH('Campus Enrol Disaggregation'!P$2,'College Enrollment Projections'!$AJ$1:$AP$1,0)),50)</f>
        <v>37650</v>
      </c>
      <c r="Q44" s="34">
        <f>MROUND(Q$3*INDEX('College Enrollment Projections'!$AJ$2:$AP$62,MATCH('Campus Enrol Disaggregation'!$O44,'College Enrollment Projections'!$AI$2:$AI$62,0),MATCH('Campus Enrol Disaggregation'!Q$2,'College Enrollment Projections'!$AJ$1:$AP$1,0)),50)</f>
        <v>2000</v>
      </c>
      <c r="R44" s="34">
        <f>MROUND(R$3*INDEX('College Enrollment Projections'!$AJ$2:$AP$62,MATCH('Campus Enrol Disaggregation'!$O44,'College Enrollment Projections'!$AI$2:$AI$62,0),MATCH('Campus Enrol Disaggregation'!R$2,'College Enrollment Projections'!$AJ$1:$AP$1,0)),50)</f>
        <v>17200</v>
      </c>
      <c r="S44" s="34">
        <f>MROUND(S$3*INDEX('College Enrollment Projections'!$AJ$2:$AP$62,MATCH('Campus Enrol Disaggregation'!$O44,'College Enrollment Projections'!$AI$2:$AI$62,0),MATCH('Campus Enrol Disaggregation'!S$2,'College Enrollment Projections'!$AJ$1:$AP$1,0)),50)</f>
        <v>6000</v>
      </c>
      <c r="T44" s="34">
        <f>MROUND(T$3*INDEX('College Enrollment Projections'!$AJ$2:$AP$62,MATCH('Campus Enrol Disaggregation'!$O44,'College Enrollment Projections'!$AI$2:$AI$62,0),MATCH('Campus Enrol Disaggregation'!T$2,'College Enrollment Projections'!$AJ$1:$AP$1,0)),50)</f>
        <v>1500</v>
      </c>
      <c r="U44" s="34">
        <f>MROUND(U$3*INDEX('College Enrollment Projections'!$AJ$2:$AP$62,MATCH('Campus Enrol Disaggregation'!$O44,'College Enrollment Projections'!$AI$2:$AI$62,0),MATCH('Campus Enrol Disaggregation'!U$2,'College Enrollment Projections'!$AJ$1:$AP$1,0)),50)</f>
        <v>5350</v>
      </c>
      <c r="V44" s="34">
        <f>MROUND(V$3*INDEX('College Enrollment Projections'!$AJ$2:$AP$62,MATCH('Campus Enrol Disaggregation'!$O44,'College Enrollment Projections'!$AI$2:$AI$62,0),MATCH('Campus Enrol Disaggregation'!V$2,'College Enrollment Projections'!$AJ$1:$AP$1,0)),50)</f>
        <v>36600</v>
      </c>
      <c r="W44" s="38">
        <f>MROUND(INDEX('MAG College Enrollment Forecast'!$B$4:$H$64,MATCH($O44,'MAG College Enrollment Forecast'!$A$4:$A$64,0),MATCH(W$4,'MAG College Enrollment Forecast'!$B$1:$H$1,0)),50)</f>
        <v>48850</v>
      </c>
      <c r="X44" s="38">
        <f>MROUND(INDEX('MAG College Enrollment Forecast'!$B$4:$H$64,MATCH($O44,'MAG College Enrollment Forecast'!$A$4:$A$64,0),MATCH(X$4,'MAG College Enrollment Forecast'!$B$1:$H$1,0)),50)</f>
        <v>1700</v>
      </c>
      <c r="Y44" s="38">
        <f>MROUND(INDEX('MAG College Enrollment Forecast'!$B$4:$H$64,MATCH($O44,'MAG College Enrollment Forecast'!$A$4:$A$64,0),MATCH(Y$4,'MAG College Enrollment Forecast'!$B$1:$H$1,0)),50)</f>
        <v>650</v>
      </c>
      <c r="Z44" s="38">
        <f>MROUND(INDEX('MAG College Enrollment Forecast'!$B$4:$H$64,MATCH($O44,'MAG College Enrollment Forecast'!$A$4:$A$64,0),MATCH(Z$4,'MAG College Enrollment Forecast'!$B$1:$H$1,0)),50)</f>
        <v>1050</v>
      </c>
      <c r="AA44" s="33">
        <f>MROUND(AA$3*INDEX('College Enrollment Projections'!$AJ$2:$AP$62,MATCH('Campus Enrol Disaggregation'!$O44,'College Enrollment Projections'!$AI$2:$AI$62,0),MATCH('Campus Enrol Disaggregation'!AA$2,'College Enrollment Projections'!$AJ$1:$AP$1,0)),50)</f>
        <v>25200</v>
      </c>
      <c r="AB44" s="33">
        <f>MROUND(AB$3*INDEX('College Enrollment Projections'!$AJ$2:$AP$62,MATCH('Campus Enrol Disaggregation'!$O44,'College Enrollment Projections'!$AI$2:$AI$62,0),MATCH('Campus Enrol Disaggregation'!AB$2,'College Enrollment Projections'!$AJ$1:$AP$1,0)),50)</f>
        <v>6650</v>
      </c>
      <c r="AC44" s="33">
        <f>MROUND(AC$3*INDEX('College Enrollment Projections'!$AJ$2:$AP$62,MATCH('Campus Enrol Disaggregation'!$O44,'College Enrollment Projections'!$AI$2:$AI$62,0),MATCH('Campus Enrol Disaggregation'!AC$2,'College Enrollment Projections'!$AJ$1:$AP$1,0)),50)</f>
        <v>2500</v>
      </c>
      <c r="AD44" s="26">
        <f t="shared" si="0"/>
        <v>192900</v>
      </c>
    </row>
    <row r="45" spans="15:30" x14ac:dyDescent="0.25">
      <c r="O45" s="3">
        <v>2030</v>
      </c>
      <c r="P45" s="34">
        <f>MROUND(P$3*INDEX('College Enrollment Projections'!$AJ$2:$AP$62,MATCH('Campus Enrol Disaggregation'!$O45,'College Enrollment Projections'!$AI$2:$AI$62,0),MATCH('Campus Enrol Disaggregation'!P$2,'College Enrollment Projections'!$AJ$1:$AP$1,0)),50)</f>
        <v>37650</v>
      </c>
      <c r="Q45" s="34">
        <f>MROUND(Q$3*INDEX('College Enrollment Projections'!$AJ$2:$AP$62,MATCH('Campus Enrol Disaggregation'!$O45,'College Enrollment Projections'!$AI$2:$AI$62,0),MATCH('Campus Enrol Disaggregation'!Q$2,'College Enrollment Projections'!$AJ$1:$AP$1,0)),50)</f>
        <v>2000</v>
      </c>
      <c r="R45" s="34">
        <f>MROUND(R$3*INDEX('College Enrollment Projections'!$AJ$2:$AP$62,MATCH('Campus Enrol Disaggregation'!$O45,'College Enrollment Projections'!$AI$2:$AI$62,0),MATCH('Campus Enrol Disaggregation'!R$2,'College Enrollment Projections'!$AJ$1:$AP$1,0)),50)</f>
        <v>17400</v>
      </c>
      <c r="S45" s="34">
        <f>MROUND(S$3*INDEX('College Enrollment Projections'!$AJ$2:$AP$62,MATCH('Campus Enrol Disaggregation'!$O45,'College Enrollment Projections'!$AI$2:$AI$62,0),MATCH('Campus Enrol Disaggregation'!S$2,'College Enrollment Projections'!$AJ$1:$AP$1,0)),50)</f>
        <v>6100</v>
      </c>
      <c r="T45" s="34">
        <f>MROUND(T$3*INDEX('College Enrollment Projections'!$AJ$2:$AP$62,MATCH('Campus Enrol Disaggregation'!$O45,'College Enrollment Projections'!$AI$2:$AI$62,0),MATCH('Campus Enrol Disaggregation'!T$2,'College Enrollment Projections'!$AJ$1:$AP$1,0)),50)</f>
        <v>1500</v>
      </c>
      <c r="U45" s="34">
        <f>MROUND(U$3*INDEX('College Enrollment Projections'!$AJ$2:$AP$62,MATCH('Campus Enrol Disaggregation'!$O45,'College Enrollment Projections'!$AI$2:$AI$62,0),MATCH('Campus Enrol Disaggregation'!U$2,'College Enrollment Projections'!$AJ$1:$AP$1,0)),50)</f>
        <v>5400</v>
      </c>
      <c r="V45" s="34">
        <f>MROUND(V$3*INDEX('College Enrollment Projections'!$AJ$2:$AP$62,MATCH('Campus Enrol Disaggregation'!$O45,'College Enrollment Projections'!$AI$2:$AI$62,0),MATCH('Campus Enrol Disaggregation'!V$2,'College Enrollment Projections'!$AJ$1:$AP$1,0)),50)</f>
        <v>36850</v>
      </c>
      <c r="W45" s="38">
        <f>MROUND(INDEX('MAG College Enrollment Forecast'!$B$4:$H$64,MATCH($O45,'MAG College Enrollment Forecast'!$A$4:$A$64,0),MATCH(W$4,'MAG College Enrollment Forecast'!$B$1:$H$1,0)),50)</f>
        <v>49750</v>
      </c>
      <c r="X45" s="38">
        <f>MROUND(INDEX('MAG College Enrollment Forecast'!$B$4:$H$64,MATCH($O45,'MAG College Enrollment Forecast'!$A$4:$A$64,0),MATCH(X$4,'MAG College Enrollment Forecast'!$B$1:$H$1,0)),50)</f>
        <v>1750</v>
      </c>
      <c r="Y45" s="38">
        <f>MROUND(INDEX('MAG College Enrollment Forecast'!$B$4:$H$64,MATCH($O45,'MAG College Enrollment Forecast'!$A$4:$A$64,0),MATCH(Y$4,'MAG College Enrollment Forecast'!$B$1:$H$1,0)),50)</f>
        <v>750</v>
      </c>
      <c r="Z45" s="38">
        <f>MROUND(INDEX('MAG College Enrollment Forecast'!$B$4:$H$64,MATCH($O45,'MAG College Enrollment Forecast'!$A$4:$A$64,0),MATCH(Z$4,'MAG College Enrollment Forecast'!$B$1:$H$1,0)),50)</f>
        <v>1200</v>
      </c>
      <c r="AA45" s="33">
        <f>MROUND(AA$3*INDEX('College Enrollment Projections'!$AJ$2:$AP$62,MATCH('Campus Enrol Disaggregation'!$O45,'College Enrollment Projections'!$AI$2:$AI$62,0),MATCH('Campus Enrol Disaggregation'!AA$2,'College Enrollment Projections'!$AJ$1:$AP$1,0)),50)</f>
        <v>25550</v>
      </c>
      <c r="AB45" s="33">
        <f>MROUND(AB$3*INDEX('College Enrollment Projections'!$AJ$2:$AP$62,MATCH('Campus Enrol Disaggregation'!$O45,'College Enrollment Projections'!$AI$2:$AI$62,0),MATCH('Campus Enrol Disaggregation'!AB$2,'College Enrollment Projections'!$AJ$1:$AP$1,0)),50)</f>
        <v>6700</v>
      </c>
      <c r="AC45" s="33">
        <f>MROUND(AC$3*INDEX('College Enrollment Projections'!$AJ$2:$AP$62,MATCH('Campus Enrol Disaggregation'!$O45,'College Enrollment Projections'!$AI$2:$AI$62,0),MATCH('Campus Enrol Disaggregation'!AC$2,'College Enrollment Projections'!$AJ$1:$AP$1,0)),50)</f>
        <v>2500</v>
      </c>
      <c r="AD45" s="26">
        <f t="shared" si="0"/>
        <v>195100</v>
      </c>
    </row>
    <row r="46" spans="15:30" x14ac:dyDescent="0.25">
      <c r="O46" s="3">
        <v>2031</v>
      </c>
      <c r="P46" s="34">
        <f>MROUND(P$3*INDEX('College Enrollment Projections'!$AJ$2:$AP$62,MATCH('Campus Enrol Disaggregation'!$O46,'College Enrollment Projections'!$AI$2:$AI$62,0),MATCH('Campus Enrol Disaggregation'!P$2,'College Enrollment Projections'!$AJ$1:$AP$1,0)),50)</f>
        <v>37700</v>
      </c>
      <c r="Q46" s="34">
        <f>MROUND(Q$3*INDEX('College Enrollment Projections'!$AJ$2:$AP$62,MATCH('Campus Enrol Disaggregation'!$O46,'College Enrollment Projections'!$AI$2:$AI$62,0),MATCH('Campus Enrol Disaggregation'!Q$2,'College Enrollment Projections'!$AJ$1:$AP$1,0)),50)</f>
        <v>2000</v>
      </c>
      <c r="R46" s="34">
        <f>MROUND(R$3*INDEX('College Enrollment Projections'!$AJ$2:$AP$62,MATCH('Campus Enrol Disaggregation'!$O46,'College Enrollment Projections'!$AI$2:$AI$62,0),MATCH('Campus Enrol Disaggregation'!R$2,'College Enrollment Projections'!$AJ$1:$AP$1,0)),50)</f>
        <v>17550</v>
      </c>
      <c r="S46" s="34">
        <f>MROUND(S$3*INDEX('College Enrollment Projections'!$AJ$2:$AP$62,MATCH('Campus Enrol Disaggregation'!$O46,'College Enrollment Projections'!$AI$2:$AI$62,0),MATCH('Campus Enrol Disaggregation'!S$2,'College Enrollment Projections'!$AJ$1:$AP$1,0)),50)</f>
        <v>6150</v>
      </c>
      <c r="T46" s="34">
        <f>MROUND(T$3*INDEX('College Enrollment Projections'!$AJ$2:$AP$62,MATCH('Campus Enrol Disaggregation'!$O46,'College Enrollment Projections'!$AI$2:$AI$62,0),MATCH('Campus Enrol Disaggregation'!T$2,'College Enrollment Projections'!$AJ$1:$AP$1,0)),50)</f>
        <v>1550</v>
      </c>
      <c r="U46" s="34">
        <f>MROUND(U$3*INDEX('College Enrollment Projections'!$AJ$2:$AP$62,MATCH('Campus Enrol Disaggregation'!$O46,'College Enrollment Projections'!$AI$2:$AI$62,0),MATCH('Campus Enrol Disaggregation'!U$2,'College Enrollment Projections'!$AJ$1:$AP$1,0)),50)</f>
        <v>5450</v>
      </c>
      <c r="V46" s="34">
        <f>MROUND(V$3*INDEX('College Enrollment Projections'!$AJ$2:$AP$62,MATCH('Campus Enrol Disaggregation'!$O46,'College Enrollment Projections'!$AI$2:$AI$62,0),MATCH('Campus Enrol Disaggregation'!V$2,'College Enrollment Projections'!$AJ$1:$AP$1,0)),50)</f>
        <v>37100</v>
      </c>
      <c r="W46" s="38">
        <f>MROUND(INDEX('MAG College Enrollment Forecast'!$B$4:$H$64,MATCH($O46,'MAG College Enrollment Forecast'!$A$4:$A$64,0),MATCH(W$4,'MAG College Enrollment Forecast'!$B$1:$H$1,0)),50)</f>
        <v>50650</v>
      </c>
      <c r="X46" s="38">
        <f>MROUND(INDEX('MAG College Enrollment Forecast'!$B$4:$H$64,MATCH($O46,'MAG College Enrollment Forecast'!$A$4:$A$64,0),MATCH(X$4,'MAG College Enrollment Forecast'!$B$1:$H$1,0)),50)</f>
        <v>1800</v>
      </c>
      <c r="Y46" s="38">
        <f>MROUND(INDEX('MAG College Enrollment Forecast'!$B$4:$H$64,MATCH($O46,'MAG College Enrollment Forecast'!$A$4:$A$64,0),MATCH(Y$4,'MAG College Enrollment Forecast'!$B$1:$H$1,0)),50)</f>
        <v>850</v>
      </c>
      <c r="Z46" s="38">
        <f>MROUND(INDEX('MAG College Enrollment Forecast'!$B$4:$H$64,MATCH($O46,'MAG College Enrollment Forecast'!$A$4:$A$64,0),MATCH(Z$4,'MAG College Enrollment Forecast'!$B$1:$H$1,0)),50)</f>
        <v>1350</v>
      </c>
      <c r="AA46" s="33">
        <f>MROUND(AA$3*INDEX('College Enrollment Projections'!$AJ$2:$AP$62,MATCH('Campus Enrol Disaggregation'!$O46,'College Enrollment Projections'!$AI$2:$AI$62,0),MATCH('Campus Enrol Disaggregation'!AA$2,'College Enrollment Projections'!$AJ$1:$AP$1,0)),50)</f>
        <v>25900</v>
      </c>
      <c r="AB46" s="33">
        <f>MROUND(AB$3*INDEX('College Enrollment Projections'!$AJ$2:$AP$62,MATCH('Campus Enrol Disaggregation'!$O46,'College Enrollment Projections'!$AI$2:$AI$62,0),MATCH('Campus Enrol Disaggregation'!AB$2,'College Enrollment Projections'!$AJ$1:$AP$1,0)),50)</f>
        <v>6800</v>
      </c>
      <c r="AC46" s="33">
        <f>MROUND(AC$3*INDEX('College Enrollment Projections'!$AJ$2:$AP$62,MATCH('Campus Enrol Disaggregation'!$O46,'College Enrollment Projections'!$AI$2:$AI$62,0),MATCH('Campus Enrol Disaggregation'!AC$2,'College Enrollment Projections'!$AJ$1:$AP$1,0)),50)</f>
        <v>2500</v>
      </c>
      <c r="AD46" s="26">
        <f t="shared" si="0"/>
        <v>197350</v>
      </c>
    </row>
    <row r="47" spans="15:30" x14ac:dyDescent="0.25">
      <c r="O47" s="3">
        <v>2032</v>
      </c>
      <c r="P47" s="34">
        <f>MROUND(P$3*INDEX('College Enrollment Projections'!$AJ$2:$AP$62,MATCH('Campus Enrol Disaggregation'!$O47,'College Enrollment Projections'!$AI$2:$AI$62,0),MATCH('Campus Enrol Disaggregation'!P$2,'College Enrollment Projections'!$AJ$1:$AP$1,0)),50)</f>
        <v>37750</v>
      </c>
      <c r="Q47" s="34">
        <f>MROUND(Q$3*INDEX('College Enrollment Projections'!$AJ$2:$AP$62,MATCH('Campus Enrol Disaggregation'!$O47,'College Enrollment Projections'!$AI$2:$AI$62,0),MATCH('Campus Enrol Disaggregation'!Q$2,'College Enrollment Projections'!$AJ$1:$AP$1,0)),50)</f>
        <v>2000</v>
      </c>
      <c r="R47" s="34">
        <f>MROUND(R$3*INDEX('College Enrollment Projections'!$AJ$2:$AP$62,MATCH('Campus Enrol Disaggregation'!$O47,'College Enrollment Projections'!$AI$2:$AI$62,0),MATCH('Campus Enrol Disaggregation'!R$2,'College Enrollment Projections'!$AJ$1:$AP$1,0)),50)</f>
        <v>17750</v>
      </c>
      <c r="S47" s="34">
        <f>MROUND(S$3*INDEX('College Enrollment Projections'!$AJ$2:$AP$62,MATCH('Campus Enrol Disaggregation'!$O47,'College Enrollment Projections'!$AI$2:$AI$62,0),MATCH('Campus Enrol Disaggregation'!S$2,'College Enrollment Projections'!$AJ$1:$AP$1,0)),50)</f>
        <v>6200</v>
      </c>
      <c r="T47" s="34">
        <f>MROUND(T$3*INDEX('College Enrollment Projections'!$AJ$2:$AP$62,MATCH('Campus Enrol Disaggregation'!$O47,'College Enrollment Projections'!$AI$2:$AI$62,0),MATCH('Campus Enrol Disaggregation'!T$2,'College Enrollment Projections'!$AJ$1:$AP$1,0)),50)</f>
        <v>1550</v>
      </c>
      <c r="U47" s="34">
        <f>MROUND(U$3*INDEX('College Enrollment Projections'!$AJ$2:$AP$62,MATCH('Campus Enrol Disaggregation'!$O47,'College Enrollment Projections'!$AI$2:$AI$62,0),MATCH('Campus Enrol Disaggregation'!U$2,'College Enrollment Projections'!$AJ$1:$AP$1,0)),50)</f>
        <v>5500</v>
      </c>
      <c r="V47" s="34">
        <f>MROUND(V$3*INDEX('College Enrollment Projections'!$AJ$2:$AP$62,MATCH('Campus Enrol Disaggregation'!$O47,'College Enrollment Projections'!$AI$2:$AI$62,0),MATCH('Campus Enrol Disaggregation'!V$2,'College Enrollment Projections'!$AJ$1:$AP$1,0)),50)</f>
        <v>37350</v>
      </c>
      <c r="W47" s="38">
        <f>MROUND(INDEX('MAG College Enrollment Forecast'!$B$4:$H$64,MATCH($O47,'MAG College Enrollment Forecast'!$A$4:$A$64,0),MATCH(W$4,'MAG College Enrollment Forecast'!$B$1:$H$1,0)),50)</f>
        <v>51600</v>
      </c>
      <c r="X47" s="38">
        <f>MROUND(INDEX('MAG College Enrollment Forecast'!$B$4:$H$64,MATCH($O47,'MAG College Enrollment Forecast'!$A$4:$A$64,0),MATCH(X$4,'MAG College Enrollment Forecast'!$B$1:$H$1,0)),50)</f>
        <v>1850</v>
      </c>
      <c r="Y47" s="38">
        <f>MROUND(INDEX('MAG College Enrollment Forecast'!$B$4:$H$64,MATCH($O47,'MAG College Enrollment Forecast'!$A$4:$A$64,0),MATCH(Y$4,'MAG College Enrollment Forecast'!$B$1:$H$1,0)),50)</f>
        <v>1000</v>
      </c>
      <c r="Z47" s="38">
        <f>MROUND(INDEX('MAG College Enrollment Forecast'!$B$4:$H$64,MATCH($O47,'MAG College Enrollment Forecast'!$A$4:$A$64,0),MATCH(Z$4,'MAG College Enrollment Forecast'!$B$1:$H$1,0)),50)</f>
        <v>1500</v>
      </c>
      <c r="AA47" s="33">
        <f>MROUND(AA$3*INDEX('College Enrollment Projections'!$AJ$2:$AP$62,MATCH('Campus Enrol Disaggregation'!$O47,'College Enrollment Projections'!$AI$2:$AI$62,0),MATCH('Campus Enrol Disaggregation'!AA$2,'College Enrollment Projections'!$AJ$1:$AP$1,0)),50)</f>
        <v>26250</v>
      </c>
      <c r="AB47" s="33">
        <f>MROUND(AB$3*INDEX('College Enrollment Projections'!$AJ$2:$AP$62,MATCH('Campus Enrol Disaggregation'!$O47,'College Enrollment Projections'!$AI$2:$AI$62,0),MATCH('Campus Enrol Disaggregation'!AB$2,'College Enrollment Projections'!$AJ$1:$AP$1,0)),50)</f>
        <v>6900</v>
      </c>
      <c r="AC47" s="33">
        <f>MROUND(AC$3*INDEX('College Enrollment Projections'!$AJ$2:$AP$62,MATCH('Campus Enrol Disaggregation'!$O47,'College Enrollment Projections'!$AI$2:$AI$62,0),MATCH('Campus Enrol Disaggregation'!AC$2,'College Enrollment Projections'!$AJ$1:$AP$1,0)),50)</f>
        <v>2500</v>
      </c>
      <c r="AD47" s="26">
        <f t="shared" si="0"/>
        <v>199700</v>
      </c>
    </row>
    <row r="48" spans="15:30" x14ac:dyDescent="0.25">
      <c r="O48" s="3">
        <v>2033</v>
      </c>
      <c r="P48" s="34">
        <f>MROUND(P$3*INDEX('College Enrollment Projections'!$AJ$2:$AP$62,MATCH('Campus Enrol Disaggregation'!$O48,'College Enrollment Projections'!$AI$2:$AI$62,0),MATCH('Campus Enrol Disaggregation'!P$2,'College Enrollment Projections'!$AJ$1:$AP$1,0)),50)</f>
        <v>37750</v>
      </c>
      <c r="Q48" s="34">
        <f>MROUND(Q$3*INDEX('College Enrollment Projections'!$AJ$2:$AP$62,MATCH('Campus Enrol Disaggregation'!$O48,'College Enrollment Projections'!$AI$2:$AI$62,0),MATCH('Campus Enrol Disaggregation'!Q$2,'College Enrollment Projections'!$AJ$1:$AP$1,0)),50)</f>
        <v>2000</v>
      </c>
      <c r="R48" s="34">
        <f>MROUND(R$3*INDEX('College Enrollment Projections'!$AJ$2:$AP$62,MATCH('Campus Enrol Disaggregation'!$O48,'College Enrollment Projections'!$AI$2:$AI$62,0),MATCH('Campus Enrol Disaggregation'!R$2,'College Enrollment Projections'!$AJ$1:$AP$1,0)),50)</f>
        <v>17950</v>
      </c>
      <c r="S48" s="34">
        <f>MROUND(S$3*INDEX('College Enrollment Projections'!$AJ$2:$AP$62,MATCH('Campus Enrol Disaggregation'!$O48,'College Enrollment Projections'!$AI$2:$AI$62,0),MATCH('Campus Enrol Disaggregation'!S$2,'College Enrollment Projections'!$AJ$1:$AP$1,0)),50)</f>
        <v>6300</v>
      </c>
      <c r="T48" s="34">
        <f>MROUND(T$3*INDEX('College Enrollment Projections'!$AJ$2:$AP$62,MATCH('Campus Enrol Disaggregation'!$O48,'College Enrollment Projections'!$AI$2:$AI$62,0),MATCH('Campus Enrol Disaggregation'!T$2,'College Enrollment Projections'!$AJ$1:$AP$1,0)),50)</f>
        <v>1550</v>
      </c>
      <c r="U48" s="34">
        <f>MROUND(U$3*INDEX('College Enrollment Projections'!$AJ$2:$AP$62,MATCH('Campus Enrol Disaggregation'!$O48,'College Enrollment Projections'!$AI$2:$AI$62,0),MATCH('Campus Enrol Disaggregation'!U$2,'College Enrollment Projections'!$AJ$1:$AP$1,0)),50)</f>
        <v>5550</v>
      </c>
      <c r="V48" s="34">
        <f>MROUND(V$3*INDEX('College Enrollment Projections'!$AJ$2:$AP$62,MATCH('Campus Enrol Disaggregation'!$O48,'College Enrollment Projections'!$AI$2:$AI$62,0),MATCH('Campus Enrol Disaggregation'!V$2,'College Enrollment Projections'!$AJ$1:$AP$1,0)),50)</f>
        <v>37600</v>
      </c>
      <c r="W48" s="38">
        <f>MROUND(INDEX('MAG College Enrollment Forecast'!$B$4:$H$64,MATCH($O48,'MAG College Enrollment Forecast'!$A$4:$A$64,0),MATCH(W$4,'MAG College Enrollment Forecast'!$B$1:$H$1,0)),50)</f>
        <v>52500</v>
      </c>
      <c r="X48" s="38">
        <f>MROUND(INDEX('MAG College Enrollment Forecast'!$B$4:$H$64,MATCH($O48,'MAG College Enrollment Forecast'!$A$4:$A$64,0),MATCH(X$4,'MAG College Enrollment Forecast'!$B$1:$H$1,0)),50)</f>
        <v>1900</v>
      </c>
      <c r="Y48" s="38">
        <f>MROUND(INDEX('MAG College Enrollment Forecast'!$B$4:$H$64,MATCH($O48,'MAG College Enrollment Forecast'!$A$4:$A$64,0),MATCH(Y$4,'MAG College Enrollment Forecast'!$B$1:$H$1,0)),50)</f>
        <v>1100</v>
      </c>
      <c r="Z48" s="38">
        <f>MROUND(INDEX('MAG College Enrollment Forecast'!$B$4:$H$64,MATCH($O48,'MAG College Enrollment Forecast'!$A$4:$A$64,0),MATCH(Z$4,'MAG College Enrollment Forecast'!$B$1:$H$1,0)),50)</f>
        <v>1650</v>
      </c>
      <c r="AA48" s="33">
        <f>MROUND(AA$3*INDEX('College Enrollment Projections'!$AJ$2:$AP$62,MATCH('Campus Enrol Disaggregation'!$O48,'College Enrollment Projections'!$AI$2:$AI$62,0),MATCH('Campus Enrol Disaggregation'!AA$2,'College Enrollment Projections'!$AJ$1:$AP$1,0)),50)</f>
        <v>26550</v>
      </c>
      <c r="AB48" s="33">
        <f>MROUND(AB$3*INDEX('College Enrollment Projections'!$AJ$2:$AP$62,MATCH('Campus Enrol Disaggregation'!$O48,'College Enrollment Projections'!$AI$2:$AI$62,0),MATCH('Campus Enrol Disaggregation'!AB$2,'College Enrollment Projections'!$AJ$1:$AP$1,0)),50)</f>
        <v>7000</v>
      </c>
      <c r="AC48" s="33">
        <f>MROUND(AC$3*INDEX('College Enrollment Projections'!$AJ$2:$AP$62,MATCH('Campus Enrol Disaggregation'!$O48,'College Enrollment Projections'!$AI$2:$AI$62,0),MATCH('Campus Enrol Disaggregation'!AC$2,'College Enrollment Projections'!$AJ$1:$AP$1,0)),50)</f>
        <v>2550</v>
      </c>
      <c r="AD48" s="26">
        <f t="shared" si="0"/>
        <v>201950</v>
      </c>
    </row>
    <row r="49" spans="15:30" x14ac:dyDescent="0.25">
      <c r="O49" s="3">
        <v>2034</v>
      </c>
      <c r="P49" s="34">
        <f>MROUND(P$3*INDEX('College Enrollment Projections'!$AJ$2:$AP$62,MATCH('Campus Enrol Disaggregation'!$O49,'College Enrollment Projections'!$AI$2:$AI$62,0),MATCH('Campus Enrol Disaggregation'!P$2,'College Enrollment Projections'!$AJ$1:$AP$1,0)),50)</f>
        <v>37800</v>
      </c>
      <c r="Q49" s="34">
        <f>MROUND(Q$3*INDEX('College Enrollment Projections'!$AJ$2:$AP$62,MATCH('Campus Enrol Disaggregation'!$O49,'College Enrollment Projections'!$AI$2:$AI$62,0),MATCH('Campus Enrol Disaggregation'!Q$2,'College Enrollment Projections'!$AJ$1:$AP$1,0)),50)</f>
        <v>2000</v>
      </c>
      <c r="R49" s="34">
        <f>MROUND(R$3*INDEX('College Enrollment Projections'!$AJ$2:$AP$62,MATCH('Campus Enrol Disaggregation'!$O49,'College Enrollment Projections'!$AI$2:$AI$62,0),MATCH('Campus Enrol Disaggregation'!R$2,'College Enrollment Projections'!$AJ$1:$AP$1,0)),50)</f>
        <v>18150</v>
      </c>
      <c r="S49" s="34">
        <f>MROUND(S$3*INDEX('College Enrollment Projections'!$AJ$2:$AP$62,MATCH('Campus Enrol Disaggregation'!$O49,'College Enrollment Projections'!$AI$2:$AI$62,0),MATCH('Campus Enrol Disaggregation'!S$2,'College Enrollment Projections'!$AJ$1:$AP$1,0)),50)</f>
        <v>6350</v>
      </c>
      <c r="T49" s="34">
        <f>MROUND(T$3*INDEX('College Enrollment Projections'!$AJ$2:$AP$62,MATCH('Campus Enrol Disaggregation'!$O49,'College Enrollment Projections'!$AI$2:$AI$62,0),MATCH('Campus Enrol Disaggregation'!T$2,'College Enrollment Projections'!$AJ$1:$AP$1,0)),50)</f>
        <v>1600</v>
      </c>
      <c r="U49" s="34">
        <f>MROUND(U$3*INDEX('College Enrollment Projections'!$AJ$2:$AP$62,MATCH('Campus Enrol Disaggregation'!$O49,'College Enrollment Projections'!$AI$2:$AI$62,0),MATCH('Campus Enrol Disaggregation'!U$2,'College Enrollment Projections'!$AJ$1:$AP$1,0)),50)</f>
        <v>5600</v>
      </c>
      <c r="V49" s="34">
        <f>MROUND(V$3*INDEX('College Enrollment Projections'!$AJ$2:$AP$62,MATCH('Campus Enrol Disaggregation'!$O49,'College Enrollment Projections'!$AI$2:$AI$62,0),MATCH('Campus Enrol Disaggregation'!V$2,'College Enrollment Projections'!$AJ$1:$AP$1,0)),50)</f>
        <v>37850</v>
      </c>
      <c r="W49" s="38">
        <f>MROUND(INDEX('MAG College Enrollment Forecast'!$B$4:$H$64,MATCH($O49,'MAG College Enrollment Forecast'!$A$4:$A$64,0),MATCH(W$4,'MAG College Enrollment Forecast'!$B$1:$H$1,0)),50)</f>
        <v>53400</v>
      </c>
      <c r="X49" s="38">
        <f>MROUND(INDEX('MAG College Enrollment Forecast'!$B$4:$H$64,MATCH($O49,'MAG College Enrollment Forecast'!$A$4:$A$64,0),MATCH(X$4,'MAG College Enrollment Forecast'!$B$1:$H$1,0)),50)</f>
        <v>1950</v>
      </c>
      <c r="Y49" s="38">
        <f>MROUND(INDEX('MAG College Enrollment Forecast'!$B$4:$H$64,MATCH($O49,'MAG College Enrollment Forecast'!$A$4:$A$64,0),MATCH(Y$4,'MAG College Enrollment Forecast'!$B$1:$H$1,0)),50)</f>
        <v>1200</v>
      </c>
      <c r="Z49" s="38">
        <f>MROUND(INDEX('MAG College Enrollment Forecast'!$B$4:$H$64,MATCH($O49,'MAG College Enrollment Forecast'!$A$4:$A$64,0),MATCH(Z$4,'MAG College Enrollment Forecast'!$B$1:$H$1,0)),50)</f>
        <v>1800</v>
      </c>
      <c r="AA49" s="33">
        <f>MROUND(AA$3*INDEX('College Enrollment Projections'!$AJ$2:$AP$62,MATCH('Campus Enrol Disaggregation'!$O49,'College Enrollment Projections'!$AI$2:$AI$62,0),MATCH('Campus Enrol Disaggregation'!AA$2,'College Enrollment Projections'!$AJ$1:$AP$1,0)),50)</f>
        <v>26900</v>
      </c>
      <c r="AB49" s="33">
        <f>MROUND(AB$3*INDEX('College Enrollment Projections'!$AJ$2:$AP$62,MATCH('Campus Enrol Disaggregation'!$O49,'College Enrollment Projections'!$AI$2:$AI$62,0),MATCH('Campus Enrol Disaggregation'!AB$2,'College Enrollment Projections'!$AJ$1:$AP$1,0)),50)</f>
        <v>7050</v>
      </c>
      <c r="AC49" s="33">
        <f>MROUND(AC$3*INDEX('College Enrollment Projections'!$AJ$2:$AP$62,MATCH('Campus Enrol Disaggregation'!$O49,'College Enrollment Projections'!$AI$2:$AI$62,0),MATCH('Campus Enrol Disaggregation'!AC$2,'College Enrollment Projections'!$AJ$1:$AP$1,0)),50)</f>
        <v>2550</v>
      </c>
      <c r="AD49" s="26">
        <f t="shared" si="0"/>
        <v>204200</v>
      </c>
    </row>
    <row r="50" spans="15:30" x14ac:dyDescent="0.25">
      <c r="O50" s="3">
        <v>2035</v>
      </c>
      <c r="P50" s="34">
        <f>MROUND(P$3*INDEX('College Enrollment Projections'!$AJ$2:$AP$62,MATCH('Campus Enrol Disaggregation'!$O50,'College Enrollment Projections'!$AI$2:$AI$62,0),MATCH('Campus Enrol Disaggregation'!P$2,'College Enrollment Projections'!$AJ$1:$AP$1,0)),50)</f>
        <v>37850</v>
      </c>
      <c r="Q50" s="34">
        <f>MROUND(Q$3*INDEX('College Enrollment Projections'!$AJ$2:$AP$62,MATCH('Campus Enrol Disaggregation'!$O50,'College Enrollment Projections'!$AI$2:$AI$62,0),MATCH('Campus Enrol Disaggregation'!Q$2,'College Enrollment Projections'!$AJ$1:$AP$1,0)),50)</f>
        <v>2000</v>
      </c>
      <c r="R50" s="34">
        <f>MROUND(R$3*INDEX('College Enrollment Projections'!$AJ$2:$AP$62,MATCH('Campus Enrol Disaggregation'!$O50,'College Enrollment Projections'!$AI$2:$AI$62,0),MATCH('Campus Enrol Disaggregation'!R$2,'College Enrollment Projections'!$AJ$1:$AP$1,0)),50)</f>
        <v>18300</v>
      </c>
      <c r="S50" s="34">
        <f>MROUND(S$3*INDEX('College Enrollment Projections'!$AJ$2:$AP$62,MATCH('Campus Enrol Disaggregation'!$O50,'College Enrollment Projections'!$AI$2:$AI$62,0),MATCH('Campus Enrol Disaggregation'!S$2,'College Enrollment Projections'!$AJ$1:$AP$1,0)),50)</f>
        <v>6400</v>
      </c>
      <c r="T50" s="34">
        <f>MROUND(T$3*INDEX('College Enrollment Projections'!$AJ$2:$AP$62,MATCH('Campus Enrol Disaggregation'!$O50,'College Enrollment Projections'!$AI$2:$AI$62,0),MATCH('Campus Enrol Disaggregation'!T$2,'College Enrollment Projections'!$AJ$1:$AP$1,0)),50)</f>
        <v>1600</v>
      </c>
      <c r="U50" s="34">
        <f>MROUND(U$3*INDEX('College Enrollment Projections'!$AJ$2:$AP$62,MATCH('Campus Enrol Disaggregation'!$O50,'College Enrollment Projections'!$AI$2:$AI$62,0),MATCH('Campus Enrol Disaggregation'!U$2,'College Enrollment Projections'!$AJ$1:$AP$1,0)),50)</f>
        <v>5700</v>
      </c>
      <c r="V50" s="34">
        <f>MROUND(V$3*INDEX('College Enrollment Projections'!$AJ$2:$AP$62,MATCH('Campus Enrol Disaggregation'!$O50,'College Enrollment Projections'!$AI$2:$AI$62,0),MATCH('Campus Enrol Disaggregation'!V$2,'College Enrollment Projections'!$AJ$1:$AP$1,0)),50)</f>
        <v>38100</v>
      </c>
      <c r="W50" s="38">
        <f>MROUND(INDEX('MAG College Enrollment Forecast'!$B$4:$H$64,MATCH($O50,'MAG College Enrollment Forecast'!$A$4:$A$64,0),MATCH(W$4,'MAG College Enrollment Forecast'!$B$1:$H$1,0)),50)</f>
        <v>54300</v>
      </c>
      <c r="X50" s="38">
        <f>MROUND(INDEX('MAG College Enrollment Forecast'!$B$4:$H$64,MATCH($O50,'MAG College Enrollment Forecast'!$A$4:$A$64,0),MATCH(X$4,'MAG College Enrollment Forecast'!$B$1:$H$1,0)),50)</f>
        <v>1950</v>
      </c>
      <c r="Y50" s="38">
        <f>MROUND(INDEX('MAG College Enrollment Forecast'!$B$4:$H$64,MATCH($O50,'MAG College Enrollment Forecast'!$A$4:$A$64,0),MATCH(Y$4,'MAG College Enrollment Forecast'!$B$1:$H$1,0)),50)</f>
        <v>1300</v>
      </c>
      <c r="Z50" s="38">
        <f>MROUND(INDEX('MAG College Enrollment Forecast'!$B$4:$H$64,MATCH($O50,'MAG College Enrollment Forecast'!$A$4:$A$64,0),MATCH(Z$4,'MAG College Enrollment Forecast'!$B$1:$H$1,0)),50)</f>
        <v>1950</v>
      </c>
      <c r="AA50" s="33">
        <f>MROUND(AA$3*INDEX('College Enrollment Projections'!$AJ$2:$AP$62,MATCH('Campus Enrol Disaggregation'!$O50,'College Enrollment Projections'!$AI$2:$AI$62,0),MATCH('Campus Enrol Disaggregation'!AA$2,'College Enrollment Projections'!$AJ$1:$AP$1,0)),50)</f>
        <v>27250</v>
      </c>
      <c r="AB50" s="33">
        <f>MROUND(AB$3*INDEX('College Enrollment Projections'!$AJ$2:$AP$62,MATCH('Campus Enrol Disaggregation'!$O50,'College Enrollment Projections'!$AI$2:$AI$62,0),MATCH('Campus Enrol Disaggregation'!AB$2,'College Enrollment Projections'!$AJ$1:$AP$1,0)),50)</f>
        <v>7150</v>
      </c>
      <c r="AC50" s="33">
        <f>MROUND(AC$3*INDEX('College Enrollment Projections'!$AJ$2:$AP$62,MATCH('Campus Enrol Disaggregation'!$O50,'College Enrollment Projections'!$AI$2:$AI$62,0),MATCH('Campus Enrol Disaggregation'!AC$2,'College Enrollment Projections'!$AJ$1:$AP$1,0)),50)</f>
        <v>2600</v>
      </c>
      <c r="AD50" s="26">
        <f t="shared" si="0"/>
        <v>206450</v>
      </c>
    </row>
    <row r="51" spans="15:30" x14ac:dyDescent="0.25">
      <c r="O51" s="3">
        <v>2036</v>
      </c>
      <c r="P51" s="34">
        <f>MROUND(P$3*INDEX('College Enrollment Projections'!$AJ$2:$AP$62,MATCH('Campus Enrol Disaggregation'!$O51,'College Enrollment Projections'!$AI$2:$AI$62,0),MATCH('Campus Enrol Disaggregation'!P$2,'College Enrollment Projections'!$AJ$1:$AP$1,0)),50)</f>
        <v>37900</v>
      </c>
      <c r="Q51" s="34">
        <f>MROUND(Q$3*INDEX('College Enrollment Projections'!$AJ$2:$AP$62,MATCH('Campus Enrol Disaggregation'!$O51,'College Enrollment Projections'!$AI$2:$AI$62,0),MATCH('Campus Enrol Disaggregation'!Q$2,'College Enrollment Projections'!$AJ$1:$AP$1,0)),50)</f>
        <v>2000</v>
      </c>
      <c r="R51" s="34">
        <f>MROUND(R$3*INDEX('College Enrollment Projections'!$AJ$2:$AP$62,MATCH('Campus Enrol Disaggregation'!$O51,'College Enrollment Projections'!$AI$2:$AI$62,0),MATCH('Campus Enrol Disaggregation'!R$2,'College Enrollment Projections'!$AJ$1:$AP$1,0)),50)</f>
        <v>18500</v>
      </c>
      <c r="S51" s="34">
        <f>MROUND(S$3*INDEX('College Enrollment Projections'!$AJ$2:$AP$62,MATCH('Campus Enrol Disaggregation'!$O51,'College Enrollment Projections'!$AI$2:$AI$62,0),MATCH('Campus Enrol Disaggregation'!S$2,'College Enrollment Projections'!$AJ$1:$AP$1,0)),50)</f>
        <v>6450</v>
      </c>
      <c r="T51" s="34">
        <f>MROUND(T$3*INDEX('College Enrollment Projections'!$AJ$2:$AP$62,MATCH('Campus Enrol Disaggregation'!$O51,'College Enrollment Projections'!$AI$2:$AI$62,0),MATCH('Campus Enrol Disaggregation'!T$2,'College Enrollment Projections'!$AJ$1:$AP$1,0)),50)</f>
        <v>1600</v>
      </c>
      <c r="U51" s="34">
        <f>MROUND(U$3*INDEX('College Enrollment Projections'!$AJ$2:$AP$62,MATCH('Campus Enrol Disaggregation'!$O51,'College Enrollment Projections'!$AI$2:$AI$62,0),MATCH('Campus Enrol Disaggregation'!U$2,'College Enrollment Projections'!$AJ$1:$AP$1,0)),50)</f>
        <v>5750</v>
      </c>
      <c r="V51" s="34">
        <f>MROUND(V$3*INDEX('College Enrollment Projections'!$AJ$2:$AP$62,MATCH('Campus Enrol Disaggregation'!$O51,'College Enrollment Projections'!$AI$2:$AI$62,0),MATCH('Campus Enrol Disaggregation'!V$2,'College Enrollment Projections'!$AJ$1:$AP$1,0)),50)</f>
        <v>38350</v>
      </c>
      <c r="W51" s="38">
        <f>MROUND(INDEX('MAG College Enrollment Forecast'!$B$4:$H$64,MATCH($O51,'MAG College Enrollment Forecast'!$A$4:$A$64,0),MATCH(W$4,'MAG College Enrollment Forecast'!$B$1:$H$1,0)),50)</f>
        <v>55250</v>
      </c>
      <c r="X51" s="38">
        <f>MROUND(INDEX('MAG College Enrollment Forecast'!$B$4:$H$64,MATCH($O51,'MAG College Enrollment Forecast'!$A$4:$A$64,0),MATCH(X$4,'MAG College Enrollment Forecast'!$B$1:$H$1,0)),50)</f>
        <v>2000</v>
      </c>
      <c r="Y51" s="38">
        <f>MROUND(INDEX('MAG College Enrollment Forecast'!$B$4:$H$64,MATCH($O51,'MAG College Enrollment Forecast'!$A$4:$A$64,0),MATCH(Y$4,'MAG College Enrollment Forecast'!$B$1:$H$1,0)),50)</f>
        <v>1450</v>
      </c>
      <c r="Z51" s="38">
        <f>MROUND(INDEX('MAG College Enrollment Forecast'!$B$4:$H$64,MATCH($O51,'MAG College Enrollment Forecast'!$A$4:$A$64,0),MATCH(Z$4,'MAG College Enrollment Forecast'!$B$1:$H$1,0)),50)</f>
        <v>2100</v>
      </c>
      <c r="AA51" s="33">
        <f>MROUND(AA$3*INDEX('College Enrollment Projections'!$AJ$2:$AP$62,MATCH('Campus Enrol Disaggregation'!$O51,'College Enrollment Projections'!$AI$2:$AI$62,0),MATCH('Campus Enrol Disaggregation'!AA$2,'College Enrollment Projections'!$AJ$1:$AP$1,0)),50)</f>
        <v>27600</v>
      </c>
      <c r="AB51" s="33">
        <f>MROUND(AB$3*INDEX('College Enrollment Projections'!$AJ$2:$AP$62,MATCH('Campus Enrol Disaggregation'!$O51,'College Enrollment Projections'!$AI$2:$AI$62,0),MATCH('Campus Enrol Disaggregation'!AB$2,'College Enrollment Projections'!$AJ$1:$AP$1,0)),50)</f>
        <v>7250</v>
      </c>
      <c r="AC51" s="33">
        <f>MROUND(AC$3*INDEX('College Enrollment Projections'!$AJ$2:$AP$62,MATCH('Campus Enrol Disaggregation'!$O51,'College Enrollment Projections'!$AI$2:$AI$62,0),MATCH('Campus Enrol Disaggregation'!AC$2,'College Enrollment Projections'!$AJ$1:$AP$1,0)),50)</f>
        <v>2600</v>
      </c>
      <c r="AD51" s="26">
        <f t="shared" si="0"/>
        <v>208800</v>
      </c>
    </row>
    <row r="52" spans="15:30" x14ac:dyDescent="0.25">
      <c r="O52" s="3">
        <v>2037</v>
      </c>
      <c r="P52" s="34">
        <f>MROUND(P$3*INDEX('College Enrollment Projections'!$AJ$2:$AP$62,MATCH('Campus Enrol Disaggregation'!$O52,'College Enrollment Projections'!$AI$2:$AI$62,0),MATCH('Campus Enrol Disaggregation'!P$2,'College Enrollment Projections'!$AJ$1:$AP$1,0)),50)</f>
        <v>37900</v>
      </c>
      <c r="Q52" s="34">
        <f>MROUND(Q$3*INDEX('College Enrollment Projections'!$AJ$2:$AP$62,MATCH('Campus Enrol Disaggregation'!$O52,'College Enrollment Projections'!$AI$2:$AI$62,0),MATCH('Campus Enrol Disaggregation'!Q$2,'College Enrollment Projections'!$AJ$1:$AP$1,0)),50)</f>
        <v>2000</v>
      </c>
      <c r="R52" s="34">
        <f>MROUND(R$3*INDEX('College Enrollment Projections'!$AJ$2:$AP$62,MATCH('Campus Enrol Disaggregation'!$O52,'College Enrollment Projections'!$AI$2:$AI$62,0),MATCH('Campus Enrol Disaggregation'!R$2,'College Enrollment Projections'!$AJ$1:$AP$1,0)),50)</f>
        <v>18700</v>
      </c>
      <c r="S52" s="34">
        <f>MROUND(S$3*INDEX('College Enrollment Projections'!$AJ$2:$AP$62,MATCH('Campus Enrol Disaggregation'!$O52,'College Enrollment Projections'!$AI$2:$AI$62,0),MATCH('Campus Enrol Disaggregation'!S$2,'College Enrollment Projections'!$AJ$1:$AP$1,0)),50)</f>
        <v>6550</v>
      </c>
      <c r="T52" s="34">
        <f>MROUND(T$3*INDEX('College Enrollment Projections'!$AJ$2:$AP$62,MATCH('Campus Enrol Disaggregation'!$O52,'College Enrollment Projections'!$AI$2:$AI$62,0),MATCH('Campus Enrol Disaggregation'!T$2,'College Enrollment Projections'!$AJ$1:$AP$1,0)),50)</f>
        <v>1650</v>
      </c>
      <c r="U52" s="34">
        <f>MROUND(U$3*INDEX('College Enrollment Projections'!$AJ$2:$AP$62,MATCH('Campus Enrol Disaggregation'!$O52,'College Enrollment Projections'!$AI$2:$AI$62,0),MATCH('Campus Enrol Disaggregation'!U$2,'College Enrollment Projections'!$AJ$1:$AP$1,0)),50)</f>
        <v>5800</v>
      </c>
      <c r="V52" s="34">
        <f>MROUND(V$3*INDEX('College Enrollment Projections'!$AJ$2:$AP$62,MATCH('Campus Enrol Disaggregation'!$O52,'College Enrollment Projections'!$AI$2:$AI$62,0),MATCH('Campus Enrol Disaggregation'!V$2,'College Enrollment Projections'!$AJ$1:$AP$1,0)),50)</f>
        <v>38600</v>
      </c>
      <c r="W52" s="38">
        <f>MROUND(INDEX('MAG College Enrollment Forecast'!$B$4:$H$64,MATCH($O52,'MAG College Enrollment Forecast'!$A$4:$A$64,0),MATCH(W$4,'MAG College Enrollment Forecast'!$B$1:$H$1,0)),50)</f>
        <v>56150</v>
      </c>
      <c r="X52" s="38">
        <f>MROUND(INDEX('MAG College Enrollment Forecast'!$B$4:$H$64,MATCH($O52,'MAG College Enrollment Forecast'!$A$4:$A$64,0),MATCH(X$4,'MAG College Enrollment Forecast'!$B$1:$H$1,0)),50)</f>
        <v>2050</v>
      </c>
      <c r="Y52" s="38">
        <f>MROUND(INDEX('MAG College Enrollment Forecast'!$B$4:$H$64,MATCH($O52,'MAG College Enrollment Forecast'!$A$4:$A$64,0),MATCH(Y$4,'MAG College Enrollment Forecast'!$B$1:$H$1,0)),50)</f>
        <v>1550</v>
      </c>
      <c r="Z52" s="38">
        <f>MROUND(INDEX('MAG College Enrollment Forecast'!$B$4:$H$64,MATCH($O52,'MAG College Enrollment Forecast'!$A$4:$A$64,0),MATCH(Z$4,'MAG College Enrollment Forecast'!$B$1:$H$1,0)),50)</f>
        <v>2250</v>
      </c>
      <c r="AA52" s="33">
        <f>MROUND(AA$3*INDEX('College Enrollment Projections'!$AJ$2:$AP$62,MATCH('Campus Enrol Disaggregation'!$O52,'College Enrollment Projections'!$AI$2:$AI$62,0),MATCH('Campus Enrol Disaggregation'!AA$2,'College Enrollment Projections'!$AJ$1:$AP$1,0)),50)</f>
        <v>27900</v>
      </c>
      <c r="AB52" s="33">
        <f>MROUND(AB$3*INDEX('College Enrollment Projections'!$AJ$2:$AP$62,MATCH('Campus Enrol Disaggregation'!$O52,'College Enrollment Projections'!$AI$2:$AI$62,0),MATCH('Campus Enrol Disaggregation'!AB$2,'College Enrollment Projections'!$AJ$1:$AP$1,0)),50)</f>
        <v>7350</v>
      </c>
      <c r="AC52" s="33">
        <f>MROUND(AC$3*INDEX('College Enrollment Projections'!$AJ$2:$AP$62,MATCH('Campus Enrol Disaggregation'!$O52,'College Enrollment Projections'!$AI$2:$AI$62,0),MATCH('Campus Enrol Disaggregation'!AC$2,'College Enrollment Projections'!$AJ$1:$AP$1,0)),50)</f>
        <v>2650</v>
      </c>
      <c r="AD52" s="26">
        <f t="shared" si="0"/>
        <v>211100</v>
      </c>
    </row>
    <row r="53" spans="15:30" x14ac:dyDescent="0.25">
      <c r="O53" s="3">
        <v>2038</v>
      </c>
      <c r="P53" s="34">
        <f>MROUND(P$3*INDEX('College Enrollment Projections'!$AJ$2:$AP$62,MATCH('Campus Enrol Disaggregation'!$O53,'College Enrollment Projections'!$AI$2:$AI$62,0),MATCH('Campus Enrol Disaggregation'!P$2,'College Enrollment Projections'!$AJ$1:$AP$1,0)),50)</f>
        <v>37950</v>
      </c>
      <c r="Q53" s="34">
        <f>MROUND(Q$3*INDEX('College Enrollment Projections'!$AJ$2:$AP$62,MATCH('Campus Enrol Disaggregation'!$O53,'College Enrollment Projections'!$AI$2:$AI$62,0),MATCH('Campus Enrol Disaggregation'!Q$2,'College Enrollment Projections'!$AJ$1:$AP$1,0)),50)</f>
        <v>2000</v>
      </c>
      <c r="R53" s="34">
        <f>MROUND(R$3*INDEX('College Enrollment Projections'!$AJ$2:$AP$62,MATCH('Campus Enrol Disaggregation'!$O53,'College Enrollment Projections'!$AI$2:$AI$62,0),MATCH('Campus Enrol Disaggregation'!R$2,'College Enrollment Projections'!$AJ$1:$AP$1,0)),50)</f>
        <v>18900</v>
      </c>
      <c r="S53" s="34">
        <f>MROUND(S$3*INDEX('College Enrollment Projections'!$AJ$2:$AP$62,MATCH('Campus Enrol Disaggregation'!$O53,'College Enrollment Projections'!$AI$2:$AI$62,0),MATCH('Campus Enrol Disaggregation'!S$2,'College Enrollment Projections'!$AJ$1:$AP$1,0)),50)</f>
        <v>6600</v>
      </c>
      <c r="T53" s="34">
        <f>MROUND(T$3*INDEX('College Enrollment Projections'!$AJ$2:$AP$62,MATCH('Campus Enrol Disaggregation'!$O53,'College Enrollment Projections'!$AI$2:$AI$62,0),MATCH('Campus Enrol Disaggregation'!T$2,'College Enrollment Projections'!$AJ$1:$AP$1,0)),50)</f>
        <v>1650</v>
      </c>
      <c r="U53" s="34">
        <f>MROUND(U$3*INDEX('College Enrollment Projections'!$AJ$2:$AP$62,MATCH('Campus Enrol Disaggregation'!$O53,'College Enrollment Projections'!$AI$2:$AI$62,0),MATCH('Campus Enrol Disaggregation'!U$2,'College Enrollment Projections'!$AJ$1:$AP$1,0)),50)</f>
        <v>5850</v>
      </c>
      <c r="V53" s="34">
        <f>MROUND(V$3*INDEX('College Enrollment Projections'!$AJ$2:$AP$62,MATCH('Campus Enrol Disaggregation'!$O53,'College Enrollment Projections'!$AI$2:$AI$62,0),MATCH('Campus Enrol Disaggregation'!V$2,'College Enrollment Projections'!$AJ$1:$AP$1,0)),50)</f>
        <v>38850</v>
      </c>
      <c r="W53" s="38">
        <f>MROUND(INDEX('MAG College Enrollment Forecast'!$B$4:$H$64,MATCH($O53,'MAG College Enrollment Forecast'!$A$4:$A$64,0),MATCH(W$4,'MAG College Enrollment Forecast'!$B$1:$H$1,0)),50)</f>
        <v>57050</v>
      </c>
      <c r="X53" s="38">
        <f>MROUND(INDEX('MAG College Enrollment Forecast'!$B$4:$H$64,MATCH($O53,'MAG College Enrollment Forecast'!$A$4:$A$64,0),MATCH(X$4,'MAG College Enrollment Forecast'!$B$1:$H$1,0)),50)</f>
        <v>2100</v>
      </c>
      <c r="Y53" s="38">
        <f>MROUND(INDEX('MAG College Enrollment Forecast'!$B$4:$H$64,MATCH($O53,'MAG College Enrollment Forecast'!$A$4:$A$64,0),MATCH(Y$4,'MAG College Enrollment Forecast'!$B$1:$H$1,0)),50)</f>
        <v>1650</v>
      </c>
      <c r="Z53" s="38">
        <f>MROUND(INDEX('MAG College Enrollment Forecast'!$B$4:$H$64,MATCH($O53,'MAG College Enrollment Forecast'!$A$4:$A$64,0),MATCH(Z$4,'MAG College Enrollment Forecast'!$B$1:$H$1,0)),50)</f>
        <v>2400</v>
      </c>
      <c r="AA53" s="33">
        <f>MROUND(AA$3*INDEX('College Enrollment Projections'!$AJ$2:$AP$62,MATCH('Campus Enrol Disaggregation'!$O53,'College Enrollment Projections'!$AI$2:$AI$62,0),MATCH('Campus Enrol Disaggregation'!AA$2,'College Enrollment Projections'!$AJ$1:$AP$1,0)),50)</f>
        <v>28250</v>
      </c>
      <c r="AB53" s="33">
        <f>MROUND(AB$3*INDEX('College Enrollment Projections'!$AJ$2:$AP$62,MATCH('Campus Enrol Disaggregation'!$O53,'College Enrollment Projections'!$AI$2:$AI$62,0),MATCH('Campus Enrol Disaggregation'!AB$2,'College Enrollment Projections'!$AJ$1:$AP$1,0)),50)</f>
        <v>7450</v>
      </c>
      <c r="AC53" s="33">
        <f>MROUND(AC$3*INDEX('College Enrollment Projections'!$AJ$2:$AP$62,MATCH('Campus Enrol Disaggregation'!$O53,'College Enrollment Projections'!$AI$2:$AI$62,0),MATCH('Campus Enrol Disaggregation'!AC$2,'College Enrollment Projections'!$AJ$1:$AP$1,0)),50)</f>
        <v>2650</v>
      </c>
      <c r="AD53" s="26">
        <f t="shared" si="0"/>
        <v>213350</v>
      </c>
    </row>
    <row r="54" spans="15:30" x14ac:dyDescent="0.25">
      <c r="O54" s="3">
        <v>2039</v>
      </c>
      <c r="P54" s="34">
        <f>MROUND(P$3*INDEX('College Enrollment Projections'!$AJ$2:$AP$62,MATCH('Campus Enrol Disaggregation'!$O54,'College Enrollment Projections'!$AI$2:$AI$62,0),MATCH('Campus Enrol Disaggregation'!P$2,'College Enrollment Projections'!$AJ$1:$AP$1,0)),50)</f>
        <v>38000</v>
      </c>
      <c r="Q54" s="34">
        <f>MROUND(Q$3*INDEX('College Enrollment Projections'!$AJ$2:$AP$62,MATCH('Campus Enrol Disaggregation'!$O54,'College Enrollment Projections'!$AI$2:$AI$62,0),MATCH('Campus Enrol Disaggregation'!Q$2,'College Enrollment Projections'!$AJ$1:$AP$1,0)),50)</f>
        <v>2000</v>
      </c>
      <c r="R54" s="34">
        <f>MROUND(R$3*INDEX('College Enrollment Projections'!$AJ$2:$AP$62,MATCH('Campus Enrol Disaggregation'!$O54,'College Enrollment Projections'!$AI$2:$AI$62,0),MATCH('Campus Enrol Disaggregation'!R$2,'College Enrollment Projections'!$AJ$1:$AP$1,0)),50)</f>
        <v>19050</v>
      </c>
      <c r="S54" s="34">
        <f>MROUND(S$3*INDEX('College Enrollment Projections'!$AJ$2:$AP$62,MATCH('Campus Enrol Disaggregation'!$O54,'College Enrollment Projections'!$AI$2:$AI$62,0),MATCH('Campus Enrol Disaggregation'!S$2,'College Enrollment Projections'!$AJ$1:$AP$1,0)),50)</f>
        <v>6650</v>
      </c>
      <c r="T54" s="34">
        <f>MROUND(T$3*INDEX('College Enrollment Projections'!$AJ$2:$AP$62,MATCH('Campus Enrol Disaggregation'!$O54,'College Enrollment Projections'!$AI$2:$AI$62,0),MATCH('Campus Enrol Disaggregation'!T$2,'College Enrollment Projections'!$AJ$1:$AP$1,0)),50)</f>
        <v>1650</v>
      </c>
      <c r="U54" s="34">
        <f>MROUND(U$3*INDEX('College Enrollment Projections'!$AJ$2:$AP$62,MATCH('Campus Enrol Disaggregation'!$O54,'College Enrollment Projections'!$AI$2:$AI$62,0),MATCH('Campus Enrol Disaggregation'!U$2,'College Enrollment Projections'!$AJ$1:$AP$1,0)),50)</f>
        <v>5900</v>
      </c>
      <c r="V54" s="34">
        <f>MROUND(V$3*INDEX('College Enrollment Projections'!$AJ$2:$AP$62,MATCH('Campus Enrol Disaggregation'!$O54,'College Enrollment Projections'!$AI$2:$AI$62,0),MATCH('Campus Enrol Disaggregation'!V$2,'College Enrollment Projections'!$AJ$1:$AP$1,0)),50)</f>
        <v>39100</v>
      </c>
      <c r="W54" s="38">
        <f>MROUND(INDEX('MAG College Enrollment Forecast'!$B$4:$H$64,MATCH($O54,'MAG College Enrollment Forecast'!$A$4:$A$64,0),MATCH(W$4,'MAG College Enrollment Forecast'!$B$1:$H$1,0)),50)</f>
        <v>57950</v>
      </c>
      <c r="X54" s="38">
        <f>MROUND(INDEX('MAG College Enrollment Forecast'!$B$4:$H$64,MATCH($O54,'MAG College Enrollment Forecast'!$A$4:$A$64,0),MATCH(X$4,'MAG College Enrollment Forecast'!$B$1:$H$1,0)),50)</f>
        <v>2150</v>
      </c>
      <c r="Y54" s="38">
        <f>MROUND(INDEX('MAG College Enrollment Forecast'!$B$4:$H$64,MATCH($O54,'MAG College Enrollment Forecast'!$A$4:$A$64,0),MATCH(Y$4,'MAG College Enrollment Forecast'!$B$1:$H$1,0)),50)</f>
        <v>1750</v>
      </c>
      <c r="Z54" s="38">
        <f>MROUND(INDEX('MAG College Enrollment Forecast'!$B$4:$H$64,MATCH($O54,'MAG College Enrollment Forecast'!$A$4:$A$64,0),MATCH(Z$4,'MAG College Enrollment Forecast'!$B$1:$H$1,0)),50)</f>
        <v>2600</v>
      </c>
      <c r="AA54" s="33">
        <f>MROUND(AA$3*INDEX('College Enrollment Projections'!$AJ$2:$AP$62,MATCH('Campus Enrol Disaggregation'!$O54,'College Enrollment Projections'!$AI$2:$AI$62,0),MATCH('Campus Enrol Disaggregation'!AA$2,'College Enrollment Projections'!$AJ$1:$AP$1,0)),50)</f>
        <v>28600</v>
      </c>
      <c r="AB54" s="33">
        <f>MROUND(AB$3*INDEX('College Enrollment Projections'!$AJ$2:$AP$62,MATCH('Campus Enrol Disaggregation'!$O54,'College Enrollment Projections'!$AI$2:$AI$62,0),MATCH('Campus Enrol Disaggregation'!AB$2,'College Enrollment Projections'!$AJ$1:$AP$1,0)),50)</f>
        <v>7500</v>
      </c>
      <c r="AC54" s="33">
        <f>MROUND(AC$3*INDEX('College Enrollment Projections'!$AJ$2:$AP$62,MATCH('Campus Enrol Disaggregation'!$O54,'College Enrollment Projections'!$AI$2:$AI$62,0),MATCH('Campus Enrol Disaggregation'!AC$2,'College Enrollment Projections'!$AJ$1:$AP$1,0)),50)</f>
        <v>2700</v>
      </c>
      <c r="AD54" s="26">
        <f t="shared" si="0"/>
        <v>215600</v>
      </c>
    </row>
    <row r="55" spans="15:30" x14ac:dyDescent="0.25">
      <c r="O55" s="3">
        <v>2040</v>
      </c>
      <c r="P55" s="34">
        <f>MROUND(P$3*INDEX('College Enrollment Projections'!$AJ$2:$AP$62,MATCH('Campus Enrol Disaggregation'!$O55,'College Enrollment Projections'!$AI$2:$AI$62,0),MATCH('Campus Enrol Disaggregation'!P$2,'College Enrollment Projections'!$AJ$1:$AP$1,0)),50)</f>
        <v>38050</v>
      </c>
      <c r="Q55" s="34">
        <f>MROUND(Q$3*INDEX('College Enrollment Projections'!$AJ$2:$AP$62,MATCH('Campus Enrol Disaggregation'!$O55,'College Enrollment Projections'!$AI$2:$AI$62,0),MATCH('Campus Enrol Disaggregation'!Q$2,'College Enrollment Projections'!$AJ$1:$AP$1,0)),50)</f>
        <v>2000</v>
      </c>
      <c r="R55" s="34">
        <f>MROUND(R$3*INDEX('College Enrollment Projections'!$AJ$2:$AP$62,MATCH('Campus Enrol Disaggregation'!$O55,'College Enrollment Projections'!$AI$2:$AI$62,0),MATCH('Campus Enrol Disaggregation'!R$2,'College Enrollment Projections'!$AJ$1:$AP$1,0)),50)</f>
        <v>19250</v>
      </c>
      <c r="S55" s="34">
        <f>MROUND(S$3*INDEX('College Enrollment Projections'!$AJ$2:$AP$62,MATCH('Campus Enrol Disaggregation'!$O55,'College Enrollment Projections'!$AI$2:$AI$62,0),MATCH('Campus Enrol Disaggregation'!S$2,'College Enrollment Projections'!$AJ$1:$AP$1,0)),50)</f>
        <v>6750</v>
      </c>
      <c r="T55" s="34">
        <f>MROUND(T$3*INDEX('College Enrollment Projections'!$AJ$2:$AP$62,MATCH('Campus Enrol Disaggregation'!$O55,'College Enrollment Projections'!$AI$2:$AI$62,0),MATCH('Campus Enrol Disaggregation'!T$2,'College Enrollment Projections'!$AJ$1:$AP$1,0)),50)</f>
        <v>1700</v>
      </c>
      <c r="U55" s="34">
        <f>MROUND(U$3*INDEX('College Enrollment Projections'!$AJ$2:$AP$62,MATCH('Campus Enrol Disaggregation'!$O55,'College Enrollment Projections'!$AI$2:$AI$62,0),MATCH('Campus Enrol Disaggregation'!U$2,'College Enrollment Projections'!$AJ$1:$AP$1,0)),50)</f>
        <v>5950</v>
      </c>
      <c r="V55" s="34">
        <f>MROUND(V$3*INDEX('College Enrollment Projections'!$AJ$2:$AP$62,MATCH('Campus Enrol Disaggregation'!$O55,'College Enrollment Projections'!$AI$2:$AI$62,0),MATCH('Campus Enrol Disaggregation'!V$2,'College Enrollment Projections'!$AJ$1:$AP$1,0)),50)</f>
        <v>39350</v>
      </c>
      <c r="W55" s="38">
        <f>MROUND(INDEX('MAG College Enrollment Forecast'!$B$4:$H$64,MATCH($O55,'MAG College Enrollment Forecast'!$A$4:$A$64,0),MATCH(W$4,'MAG College Enrollment Forecast'!$B$1:$H$1,0)),50)</f>
        <v>58850</v>
      </c>
      <c r="X55" s="38">
        <f>MROUND(INDEX('MAG College Enrollment Forecast'!$B$4:$H$64,MATCH($O55,'MAG College Enrollment Forecast'!$A$4:$A$64,0),MATCH(X$4,'MAG College Enrollment Forecast'!$B$1:$H$1,0)),50)</f>
        <v>2200</v>
      </c>
      <c r="Y55" s="38">
        <f>MROUND(INDEX('MAG College Enrollment Forecast'!$B$4:$H$64,MATCH($O55,'MAG College Enrollment Forecast'!$A$4:$A$64,0),MATCH(Y$4,'MAG College Enrollment Forecast'!$B$1:$H$1,0)),50)</f>
        <v>1900</v>
      </c>
      <c r="Z55" s="38">
        <f>MROUND(INDEX('MAG College Enrollment Forecast'!$B$4:$H$64,MATCH($O55,'MAG College Enrollment Forecast'!$A$4:$A$64,0),MATCH(Z$4,'MAG College Enrollment Forecast'!$B$1:$H$1,0)),50)</f>
        <v>2750</v>
      </c>
      <c r="AA55" s="33">
        <f>MROUND(AA$3*INDEX('College Enrollment Projections'!$AJ$2:$AP$62,MATCH('Campus Enrol Disaggregation'!$O55,'College Enrollment Projections'!$AI$2:$AI$62,0),MATCH('Campus Enrol Disaggregation'!AA$2,'College Enrollment Projections'!$AJ$1:$AP$1,0)),50)</f>
        <v>28950</v>
      </c>
      <c r="AB55" s="33">
        <f>MROUND(AB$3*INDEX('College Enrollment Projections'!$AJ$2:$AP$62,MATCH('Campus Enrol Disaggregation'!$O55,'College Enrollment Projections'!$AI$2:$AI$62,0),MATCH('Campus Enrol Disaggregation'!AB$2,'College Enrollment Projections'!$AJ$1:$AP$1,0)),50)</f>
        <v>7600</v>
      </c>
      <c r="AC55" s="33">
        <f>MROUND(AC$3*INDEX('College Enrollment Projections'!$AJ$2:$AP$62,MATCH('Campus Enrol Disaggregation'!$O55,'College Enrollment Projections'!$AI$2:$AI$62,0),MATCH('Campus Enrol Disaggregation'!AC$2,'College Enrollment Projections'!$AJ$1:$AP$1,0)),50)</f>
        <v>2700</v>
      </c>
      <c r="AD55" s="26">
        <f t="shared" si="0"/>
        <v>218000</v>
      </c>
    </row>
    <row r="56" spans="15:30" x14ac:dyDescent="0.25">
      <c r="O56" s="3">
        <v>2041</v>
      </c>
      <c r="P56" s="34">
        <f>MROUND(P$3*INDEX('College Enrollment Projections'!$AJ$2:$AP$62,MATCH('Campus Enrol Disaggregation'!$O56,'College Enrollment Projections'!$AI$2:$AI$62,0),MATCH('Campus Enrol Disaggregation'!P$2,'College Enrollment Projections'!$AJ$1:$AP$1,0)),50)</f>
        <v>38050</v>
      </c>
      <c r="Q56" s="34">
        <f>MROUND(Q$3*INDEX('College Enrollment Projections'!$AJ$2:$AP$62,MATCH('Campus Enrol Disaggregation'!$O56,'College Enrollment Projections'!$AI$2:$AI$62,0),MATCH('Campus Enrol Disaggregation'!Q$2,'College Enrollment Projections'!$AJ$1:$AP$1,0)),50)</f>
        <v>2000</v>
      </c>
      <c r="R56" s="34">
        <f>MROUND(R$3*INDEX('College Enrollment Projections'!$AJ$2:$AP$62,MATCH('Campus Enrol Disaggregation'!$O56,'College Enrollment Projections'!$AI$2:$AI$62,0),MATCH('Campus Enrol Disaggregation'!R$2,'College Enrollment Projections'!$AJ$1:$AP$1,0)),50)</f>
        <v>19450</v>
      </c>
      <c r="S56" s="34">
        <f>MROUND(S$3*INDEX('College Enrollment Projections'!$AJ$2:$AP$62,MATCH('Campus Enrol Disaggregation'!$O56,'College Enrollment Projections'!$AI$2:$AI$62,0),MATCH('Campus Enrol Disaggregation'!S$2,'College Enrollment Projections'!$AJ$1:$AP$1,0)),50)</f>
        <v>6800</v>
      </c>
      <c r="T56" s="34">
        <f>MROUND(T$3*INDEX('College Enrollment Projections'!$AJ$2:$AP$62,MATCH('Campus Enrol Disaggregation'!$O56,'College Enrollment Projections'!$AI$2:$AI$62,0),MATCH('Campus Enrol Disaggregation'!T$2,'College Enrollment Projections'!$AJ$1:$AP$1,0)),50)</f>
        <v>1700</v>
      </c>
      <c r="U56" s="34">
        <f>MROUND(U$3*INDEX('College Enrollment Projections'!$AJ$2:$AP$62,MATCH('Campus Enrol Disaggregation'!$O56,'College Enrollment Projections'!$AI$2:$AI$62,0),MATCH('Campus Enrol Disaggregation'!U$2,'College Enrollment Projections'!$AJ$1:$AP$1,0)),50)</f>
        <v>6050</v>
      </c>
      <c r="V56" s="34">
        <f>MROUND(V$3*INDEX('College Enrollment Projections'!$AJ$2:$AP$62,MATCH('Campus Enrol Disaggregation'!$O56,'College Enrollment Projections'!$AI$2:$AI$62,0),MATCH('Campus Enrol Disaggregation'!V$2,'College Enrollment Projections'!$AJ$1:$AP$1,0)),50)</f>
        <v>39600</v>
      </c>
      <c r="W56" s="38">
        <f>MROUND(INDEX('MAG College Enrollment Forecast'!$B$4:$H$64,MATCH($O56,'MAG College Enrollment Forecast'!$A$4:$A$64,0),MATCH(W$4,'MAG College Enrollment Forecast'!$B$1:$H$1,0)),50)</f>
        <v>59800</v>
      </c>
      <c r="X56" s="38">
        <f>MROUND(INDEX('MAG College Enrollment Forecast'!$B$4:$H$64,MATCH($O56,'MAG College Enrollment Forecast'!$A$4:$A$64,0),MATCH(X$4,'MAG College Enrollment Forecast'!$B$1:$H$1,0)),50)</f>
        <v>2200</v>
      </c>
      <c r="Y56" s="38">
        <f>MROUND(INDEX('MAG College Enrollment Forecast'!$B$4:$H$64,MATCH($O56,'MAG College Enrollment Forecast'!$A$4:$A$64,0),MATCH(Y$4,'MAG College Enrollment Forecast'!$B$1:$H$1,0)),50)</f>
        <v>2000</v>
      </c>
      <c r="Z56" s="38">
        <f>MROUND(INDEX('MAG College Enrollment Forecast'!$B$4:$H$64,MATCH($O56,'MAG College Enrollment Forecast'!$A$4:$A$64,0),MATCH(Z$4,'MAG College Enrollment Forecast'!$B$1:$H$1,0)),50)</f>
        <v>2900</v>
      </c>
      <c r="AA56" s="33">
        <f>MROUND(AA$3*INDEX('College Enrollment Projections'!$AJ$2:$AP$62,MATCH('Campus Enrol Disaggregation'!$O56,'College Enrollment Projections'!$AI$2:$AI$62,0),MATCH('Campus Enrol Disaggregation'!AA$2,'College Enrollment Projections'!$AJ$1:$AP$1,0)),50)</f>
        <v>29300</v>
      </c>
      <c r="AB56" s="33">
        <f>MROUND(AB$3*INDEX('College Enrollment Projections'!$AJ$2:$AP$62,MATCH('Campus Enrol Disaggregation'!$O56,'College Enrollment Projections'!$AI$2:$AI$62,0),MATCH('Campus Enrol Disaggregation'!AB$2,'College Enrollment Projections'!$AJ$1:$AP$1,0)),50)</f>
        <v>7700</v>
      </c>
      <c r="AC56" s="33">
        <f>MROUND(AC$3*INDEX('College Enrollment Projections'!$AJ$2:$AP$62,MATCH('Campus Enrol Disaggregation'!$O56,'College Enrollment Projections'!$AI$2:$AI$62,0),MATCH('Campus Enrol Disaggregation'!AC$2,'College Enrollment Projections'!$AJ$1:$AP$1,0)),50)</f>
        <v>2750</v>
      </c>
      <c r="AD56" s="26">
        <f t="shared" si="0"/>
        <v>220300</v>
      </c>
    </row>
    <row r="57" spans="15:30" x14ac:dyDescent="0.25">
      <c r="O57" s="3">
        <v>2042</v>
      </c>
      <c r="P57" s="34">
        <f>MROUND(P$3*INDEX('College Enrollment Projections'!$AJ$2:$AP$62,MATCH('Campus Enrol Disaggregation'!$O57,'College Enrollment Projections'!$AI$2:$AI$62,0),MATCH('Campus Enrol Disaggregation'!P$2,'College Enrollment Projections'!$AJ$1:$AP$1,0)),50)</f>
        <v>38100</v>
      </c>
      <c r="Q57" s="34">
        <f>MROUND(Q$3*INDEX('College Enrollment Projections'!$AJ$2:$AP$62,MATCH('Campus Enrol Disaggregation'!$O57,'College Enrollment Projections'!$AI$2:$AI$62,0),MATCH('Campus Enrol Disaggregation'!Q$2,'College Enrollment Projections'!$AJ$1:$AP$1,0)),50)</f>
        <v>2000</v>
      </c>
      <c r="R57" s="34">
        <f>MROUND(R$3*INDEX('College Enrollment Projections'!$AJ$2:$AP$62,MATCH('Campus Enrol Disaggregation'!$O57,'College Enrollment Projections'!$AI$2:$AI$62,0),MATCH('Campus Enrol Disaggregation'!R$2,'College Enrollment Projections'!$AJ$1:$AP$1,0)),50)</f>
        <v>19600</v>
      </c>
      <c r="S57" s="34">
        <f>MROUND(S$3*INDEX('College Enrollment Projections'!$AJ$2:$AP$62,MATCH('Campus Enrol Disaggregation'!$O57,'College Enrollment Projections'!$AI$2:$AI$62,0),MATCH('Campus Enrol Disaggregation'!S$2,'College Enrollment Projections'!$AJ$1:$AP$1,0)),50)</f>
        <v>6850</v>
      </c>
      <c r="T57" s="34">
        <f>MROUND(T$3*INDEX('College Enrollment Projections'!$AJ$2:$AP$62,MATCH('Campus Enrol Disaggregation'!$O57,'College Enrollment Projections'!$AI$2:$AI$62,0),MATCH('Campus Enrol Disaggregation'!T$2,'College Enrollment Projections'!$AJ$1:$AP$1,0)),50)</f>
        <v>1700</v>
      </c>
      <c r="U57" s="34">
        <f>MROUND(U$3*INDEX('College Enrollment Projections'!$AJ$2:$AP$62,MATCH('Campus Enrol Disaggregation'!$O57,'College Enrollment Projections'!$AI$2:$AI$62,0),MATCH('Campus Enrol Disaggregation'!U$2,'College Enrollment Projections'!$AJ$1:$AP$1,0)),50)</f>
        <v>6100</v>
      </c>
      <c r="V57" s="34">
        <f>MROUND(V$3*INDEX('College Enrollment Projections'!$AJ$2:$AP$62,MATCH('Campus Enrol Disaggregation'!$O57,'College Enrollment Projections'!$AI$2:$AI$62,0),MATCH('Campus Enrol Disaggregation'!V$2,'College Enrollment Projections'!$AJ$1:$AP$1,0)),50)</f>
        <v>39850</v>
      </c>
      <c r="W57" s="38">
        <f>MROUND(INDEX('MAG College Enrollment Forecast'!$B$4:$H$64,MATCH($O57,'MAG College Enrollment Forecast'!$A$4:$A$64,0),MATCH(W$4,'MAG College Enrollment Forecast'!$B$1:$H$1,0)),50)</f>
        <v>60700</v>
      </c>
      <c r="X57" s="38">
        <f>MROUND(INDEX('MAG College Enrollment Forecast'!$B$4:$H$64,MATCH($O57,'MAG College Enrollment Forecast'!$A$4:$A$64,0),MATCH(X$4,'MAG College Enrollment Forecast'!$B$1:$H$1,0)),50)</f>
        <v>2250</v>
      </c>
      <c r="Y57" s="38">
        <f>MROUND(INDEX('MAG College Enrollment Forecast'!$B$4:$H$64,MATCH($O57,'MAG College Enrollment Forecast'!$A$4:$A$64,0),MATCH(Y$4,'MAG College Enrollment Forecast'!$B$1:$H$1,0)),50)</f>
        <v>2100</v>
      </c>
      <c r="Z57" s="38">
        <f>MROUND(INDEX('MAG College Enrollment Forecast'!$B$4:$H$64,MATCH($O57,'MAG College Enrollment Forecast'!$A$4:$A$64,0),MATCH(Z$4,'MAG College Enrollment Forecast'!$B$1:$H$1,0)),50)</f>
        <v>3050</v>
      </c>
      <c r="AA57" s="33">
        <f>MROUND(AA$3*INDEX('College Enrollment Projections'!$AJ$2:$AP$62,MATCH('Campus Enrol Disaggregation'!$O57,'College Enrollment Projections'!$AI$2:$AI$62,0),MATCH('Campus Enrol Disaggregation'!AA$2,'College Enrollment Projections'!$AJ$1:$AP$1,0)),50)</f>
        <v>29600</v>
      </c>
      <c r="AB57" s="33">
        <f>MROUND(AB$3*INDEX('College Enrollment Projections'!$AJ$2:$AP$62,MATCH('Campus Enrol Disaggregation'!$O57,'College Enrollment Projections'!$AI$2:$AI$62,0),MATCH('Campus Enrol Disaggregation'!AB$2,'College Enrollment Projections'!$AJ$1:$AP$1,0)),50)</f>
        <v>7800</v>
      </c>
      <c r="AC57" s="33">
        <f>MROUND(AC$3*INDEX('College Enrollment Projections'!$AJ$2:$AP$62,MATCH('Campus Enrol Disaggregation'!$O57,'College Enrollment Projections'!$AI$2:$AI$62,0),MATCH('Campus Enrol Disaggregation'!AC$2,'College Enrollment Projections'!$AJ$1:$AP$1,0)),50)</f>
        <v>2800</v>
      </c>
      <c r="AD57" s="26">
        <f t="shared" si="0"/>
        <v>222500</v>
      </c>
    </row>
    <row r="58" spans="15:30" x14ac:dyDescent="0.25">
      <c r="O58" s="3">
        <v>2043</v>
      </c>
      <c r="P58" s="34">
        <f>MROUND(P$3*INDEX('College Enrollment Projections'!$AJ$2:$AP$62,MATCH('Campus Enrol Disaggregation'!$O58,'College Enrollment Projections'!$AI$2:$AI$62,0),MATCH('Campus Enrol Disaggregation'!P$2,'College Enrollment Projections'!$AJ$1:$AP$1,0)),50)</f>
        <v>38150</v>
      </c>
      <c r="Q58" s="34">
        <f>MROUND(Q$3*INDEX('College Enrollment Projections'!$AJ$2:$AP$62,MATCH('Campus Enrol Disaggregation'!$O58,'College Enrollment Projections'!$AI$2:$AI$62,0),MATCH('Campus Enrol Disaggregation'!Q$2,'College Enrollment Projections'!$AJ$1:$AP$1,0)),50)</f>
        <v>2000</v>
      </c>
      <c r="R58" s="34">
        <f>MROUND(R$3*INDEX('College Enrollment Projections'!$AJ$2:$AP$62,MATCH('Campus Enrol Disaggregation'!$O58,'College Enrollment Projections'!$AI$2:$AI$62,0),MATCH('Campus Enrol Disaggregation'!R$2,'College Enrollment Projections'!$AJ$1:$AP$1,0)),50)</f>
        <v>19800</v>
      </c>
      <c r="S58" s="34">
        <f>MROUND(S$3*INDEX('College Enrollment Projections'!$AJ$2:$AP$62,MATCH('Campus Enrol Disaggregation'!$O58,'College Enrollment Projections'!$AI$2:$AI$62,0),MATCH('Campus Enrol Disaggregation'!S$2,'College Enrollment Projections'!$AJ$1:$AP$1,0)),50)</f>
        <v>6950</v>
      </c>
      <c r="T58" s="34">
        <f>MROUND(T$3*INDEX('College Enrollment Projections'!$AJ$2:$AP$62,MATCH('Campus Enrol Disaggregation'!$O58,'College Enrollment Projections'!$AI$2:$AI$62,0),MATCH('Campus Enrol Disaggregation'!T$2,'College Enrollment Projections'!$AJ$1:$AP$1,0)),50)</f>
        <v>1750</v>
      </c>
      <c r="U58" s="34">
        <f>MROUND(U$3*INDEX('College Enrollment Projections'!$AJ$2:$AP$62,MATCH('Campus Enrol Disaggregation'!$O58,'College Enrollment Projections'!$AI$2:$AI$62,0),MATCH('Campus Enrol Disaggregation'!U$2,'College Enrollment Projections'!$AJ$1:$AP$1,0)),50)</f>
        <v>6150</v>
      </c>
      <c r="V58" s="34">
        <f>MROUND(V$3*INDEX('College Enrollment Projections'!$AJ$2:$AP$62,MATCH('Campus Enrol Disaggregation'!$O58,'College Enrollment Projections'!$AI$2:$AI$62,0),MATCH('Campus Enrol Disaggregation'!V$2,'College Enrollment Projections'!$AJ$1:$AP$1,0)),50)</f>
        <v>40100</v>
      </c>
      <c r="W58" s="38">
        <f>MROUND(INDEX('MAG College Enrollment Forecast'!$B$4:$H$64,MATCH($O58,'MAG College Enrollment Forecast'!$A$4:$A$64,0),MATCH(W$4,'MAG College Enrollment Forecast'!$B$1:$H$1,0)),50)</f>
        <v>61600</v>
      </c>
      <c r="X58" s="38">
        <f>MROUND(INDEX('MAG College Enrollment Forecast'!$B$4:$H$64,MATCH($O58,'MAG College Enrollment Forecast'!$A$4:$A$64,0),MATCH(X$4,'MAG College Enrollment Forecast'!$B$1:$H$1,0)),50)</f>
        <v>2300</v>
      </c>
      <c r="Y58" s="38">
        <f>MROUND(INDEX('MAG College Enrollment Forecast'!$B$4:$H$64,MATCH($O58,'MAG College Enrollment Forecast'!$A$4:$A$64,0),MATCH(Y$4,'MAG College Enrollment Forecast'!$B$1:$H$1,0)),50)</f>
        <v>2200</v>
      </c>
      <c r="Z58" s="38">
        <f>MROUND(INDEX('MAG College Enrollment Forecast'!$B$4:$H$64,MATCH($O58,'MAG College Enrollment Forecast'!$A$4:$A$64,0),MATCH(Z$4,'MAG College Enrollment Forecast'!$B$1:$H$1,0)),50)</f>
        <v>3200</v>
      </c>
      <c r="AA58" s="33">
        <f>MROUND(AA$3*INDEX('College Enrollment Projections'!$AJ$2:$AP$62,MATCH('Campus Enrol Disaggregation'!$O58,'College Enrollment Projections'!$AI$2:$AI$62,0),MATCH('Campus Enrol Disaggregation'!AA$2,'College Enrollment Projections'!$AJ$1:$AP$1,0)),50)</f>
        <v>29950</v>
      </c>
      <c r="AB58" s="33">
        <f>MROUND(AB$3*INDEX('College Enrollment Projections'!$AJ$2:$AP$62,MATCH('Campus Enrol Disaggregation'!$O58,'College Enrollment Projections'!$AI$2:$AI$62,0),MATCH('Campus Enrol Disaggregation'!AB$2,'College Enrollment Projections'!$AJ$1:$AP$1,0)),50)</f>
        <v>7900</v>
      </c>
      <c r="AC58" s="33">
        <f>MROUND(AC$3*INDEX('College Enrollment Projections'!$AJ$2:$AP$62,MATCH('Campus Enrol Disaggregation'!$O58,'College Enrollment Projections'!$AI$2:$AI$62,0),MATCH('Campus Enrol Disaggregation'!AC$2,'College Enrollment Projections'!$AJ$1:$AP$1,0)),50)</f>
        <v>2800</v>
      </c>
      <c r="AD58" s="26">
        <f t="shared" si="0"/>
        <v>224850</v>
      </c>
    </row>
    <row r="59" spans="15:30" x14ac:dyDescent="0.25">
      <c r="O59" s="3">
        <v>2044</v>
      </c>
      <c r="P59" s="34">
        <f>MROUND(P$3*INDEX('College Enrollment Projections'!$AJ$2:$AP$62,MATCH('Campus Enrol Disaggregation'!$O59,'College Enrollment Projections'!$AI$2:$AI$62,0),MATCH('Campus Enrol Disaggregation'!P$2,'College Enrollment Projections'!$AJ$1:$AP$1,0)),50)</f>
        <v>38500</v>
      </c>
      <c r="Q59" s="34">
        <f>MROUND(Q$3*INDEX('College Enrollment Projections'!$AJ$2:$AP$62,MATCH('Campus Enrol Disaggregation'!$O59,'College Enrollment Projections'!$AI$2:$AI$62,0),MATCH('Campus Enrol Disaggregation'!Q$2,'College Enrollment Projections'!$AJ$1:$AP$1,0)),50)</f>
        <v>2000</v>
      </c>
      <c r="R59" s="34">
        <f>MROUND(R$3*INDEX('College Enrollment Projections'!$AJ$2:$AP$62,MATCH('Campus Enrol Disaggregation'!$O59,'College Enrollment Projections'!$AI$2:$AI$62,0),MATCH('Campus Enrol Disaggregation'!R$2,'College Enrollment Projections'!$AJ$1:$AP$1,0)),50)</f>
        <v>20000</v>
      </c>
      <c r="S59" s="34">
        <f>MROUND(S$3*INDEX('College Enrollment Projections'!$AJ$2:$AP$62,MATCH('Campus Enrol Disaggregation'!$O59,'College Enrollment Projections'!$AI$2:$AI$62,0),MATCH('Campus Enrol Disaggregation'!S$2,'College Enrollment Projections'!$AJ$1:$AP$1,0)),50)</f>
        <v>7000</v>
      </c>
      <c r="T59" s="34">
        <f>MROUND(T$3*INDEX('College Enrollment Projections'!$AJ$2:$AP$62,MATCH('Campus Enrol Disaggregation'!$O59,'College Enrollment Projections'!$AI$2:$AI$62,0),MATCH('Campus Enrol Disaggregation'!T$2,'College Enrollment Projections'!$AJ$1:$AP$1,0)),50)</f>
        <v>1750</v>
      </c>
      <c r="U59" s="34">
        <f>MROUND(U$3*INDEX('College Enrollment Projections'!$AJ$2:$AP$62,MATCH('Campus Enrol Disaggregation'!$O59,'College Enrollment Projections'!$AI$2:$AI$62,0),MATCH('Campus Enrol Disaggregation'!U$2,'College Enrollment Projections'!$AJ$1:$AP$1,0)),50)</f>
        <v>6200</v>
      </c>
      <c r="V59" s="34">
        <f>MROUND(V$3*INDEX('College Enrollment Projections'!$AJ$2:$AP$62,MATCH('Campus Enrol Disaggregation'!$O59,'College Enrollment Projections'!$AI$2:$AI$62,0),MATCH('Campus Enrol Disaggregation'!V$2,'College Enrollment Projections'!$AJ$1:$AP$1,0)),50)</f>
        <v>40350</v>
      </c>
      <c r="W59" s="38">
        <f>MROUND(INDEX('MAG College Enrollment Forecast'!$B$4:$H$64,MATCH($O59,'MAG College Enrollment Forecast'!$A$4:$A$64,0),MATCH(W$4,'MAG College Enrollment Forecast'!$B$1:$H$1,0)),50)</f>
        <v>62500</v>
      </c>
      <c r="X59" s="38">
        <f>MROUND(INDEX('MAG College Enrollment Forecast'!$B$4:$H$64,MATCH($O59,'MAG College Enrollment Forecast'!$A$4:$A$64,0),MATCH(X$4,'MAG College Enrollment Forecast'!$B$1:$H$1,0)),50)</f>
        <v>2350</v>
      </c>
      <c r="Y59" s="38">
        <f>MROUND(INDEX('MAG College Enrollment Forecast'!$B$4:$H$64,MATCH($O59,'MAG College Enrollment Forecast'!$A$4:$A$64,0),MATCH(Y$4,'MAG College Enrollment Forecast'!$B$1:$H$1,0)),50)</f>
        <v>2350</v>
      </c>
      <c r="Z59" s="38">
        <f>MROUND(INDEX('MAG College Enrollment Forecast'!$B$4:$H$64,MATCH($O59,'MAG College Enrollment Forecast'!$A$4:$A$64,0),MATCH(Z$4,'MAG College Enrollment Forecast'!$B$1:$H$1,0)),50)</f>
        <v>3350</v>
      </c>
      <c r="AA59" s="33">
        <f>MROUND(AA$3*INDEX('College Enrollment Projections'!$AJ$2:$AP$62,MATCH('Campus Enrol Disaggregation'!$O59,'College Enrollment Projections'!$AI$2:$AI$62,0),MATCH('Campus Enrol Disaggregation'!AA$2,'College Enrollment Projections'!$AJ$1:$AP$1,0)),50)</f>
        <v>30300</v>
      </c>
      <c r="AB59" s="33">
        <f>MROUND(AB$3*INDEX('College Enrollment Projections'!$AJ$2:$AP$62,MATCH('Campus Enrol Disaggregation'!$O59,'College Enrollment Projections'!$AI$2:$AI$62,0),MATCH('Campus Enrol Disaggregation'!AB$2,'College Enrollment Projections'!$AJ$1:$AP$1,0)),50)</f>
        <v>7950</v>
      </c>
      <c r="AC59" s="33">
        <f>MROUND(AC$3*INDEX('College Enrollment Projections'!$AJ$2:$AP$62,MATCH('Campus Enrol Disaggregation'!$O59,'College Enrollment Projections'!$AI$2:$AI$62,0),MATCH('Campus Enrol Disaggregation'!AC$2,'College Enrollment Projections'!$AJ$1:$AP$1,0)),50)</f>
        <v>2850</v>
      </c>
      <c r="AD59" s="26">
        <f t="shared" si="0"/>
        <v>227450</v>
      </c>
    </row>
    <row r="60" spans="15:30" x14ac:dyDescent="0.25">
      <c r="O60" s="3">
        <v>2045</v>
      </c>
      <c r="P60" s="34">
        <f>MROUND(P$3*INDEX('College Enrollment Projections'!$AJ$2:$AP$62,MATCH('Campus Enrol Disaggregation'!$O60,'College Enrollment Projections'!$AI$2:$AI$62,0),MATCH('Campus Enrol Disaggregation'!P$2,'College Enrollment Projections'!$AJ$1:$AP$1,0)),50)</f>
        <v>38900</v>
      </c>
      <c r="Q60" s="34">
        <f>MROUND(Q$3*INDEX('College Enrollment Projections'!$AJ$2:$AP$62,MATCH('Campus Enrol Disaggregation'!$O60,'College Enrollment Projections'!$AI$2:$AI$62,0),MATCH('Campus Enrol Disaggregation'!Q$2,'College Enrollment Projections'!$AJ$1:$AP$1,0)),50)</f>
        <v>2000</v>
      </c>
      <c r="R60" s="34">
        <f>MROUND(R$3*INDEX('College Enrollment Projections'!$AJ$2:$AP$62,MATCH('Campus Enrol Disaggregation'!$O60,'College Enrollment Projections'!$AI$2:$AI$62,0),MATCH('Campus Enrol Disaggregation'!R$2,'College Enrollment Projections'!$AJ$1:$AP$1,0)),50)</f>
        <v>20200</v>
      </c>
      <c r="S60" s="34">
        <f>MROUND(S$3*INDEX('College Enrollment Projections'!$AJ$2:$AP$62,MATCH('Campus Enrol Disaggregation'!$O60,'College Enrollment Projections'!$AI$2:$AI$62,0),MATCH('Campus Enrol Disaggregation'!S$2,'College Enrollment Projections'!$AJ$1:$AP$1,0)),50)</f>
        <v>7050</v>
      </c>
      <c r="T60" s="34">
        <f>MROUND(T$3*INDEX('College Enrollment Projections'!$AJ$2:$AP$62,MATCH('Campus Enrol Disaggregation'!$O60,'College Enrollment Projections'!$AI$2:$AI$62,0),MATCH('Campus Enrol Disaggregation'!T$2,'College Enrollment Projections'!$AJ$1:$AP$1,0)),50)</f>
        <v>1750</v>
      </c>
      <c r="U60" s="34">
        <f>MROUND(U$3*INDEX('College Enrollment Projections'!$AJ$2:$AP$62,MATCH('Campus Enrol Disaggregation'!$O60,'College Enrollment Projections'!$AI$2:$AI$62,0),MATCH('Campus Enrol Disaggregation'!U$2,'College Enrollment Projections'!$AJ$1:$AP$1,0)),50)</f>
        <v>6250</v>
      </c>
      <c r="V60" s="34">
        <f>MROUND(V$3*INDEX('College Enrollment Projections'!$AJ$2:$AP$62,MATCH('Campus Enrol Disaggregation'!$O60,'College Enrollment Projections'!$AI$2:$AI$62,0),MATCH('Campus Enrol Disaggregation'!V$2,'College Enrollment Projections'!$AJ$1:$AP$1,0)),50)</f>
        <v>40600</v>
      </c>
      <c r="W60" s="38">
        <f>MROUND(INDEX('MAG College Enrollment Forecast'!$B$4:$H$64,MATCH($O60,'MAG College Enrollment Forecast'!$A$4:$A$64,0),MATCH(W$4,'MAG College Enrollment Forecast'!$B$1:$H$1,0)),50)</f>
        <v>63450</v>
      </c>
      <c r="X60" s="38">
        <f>MROUND(INDEX('MAG College Enrollment Forecast'!$B$4:$H$64,MATCH($O60,'MAG College Enrollment Forecast'!$A$4:$A$64,0),MATCH(X$4,'MAG College Enrollment Forecast'!$B$1:$H$1,0)),50)</f>
        <v>2400</v>
      </c>
      <c r="Y60" s="38">
        <f>MROUND(INDEX('MAG College Enrollment Forecast'!$B$4:$H$64,MATCH($O60,'MAG College Enrollment Forecast'!$A$4:$A$64,0),MATCH(Y$4,'MAG College Enrollment Forecast'!$B$1:$H$1,0)),50)</f>
        <v>2450</v>
      </c>
      <c r="Z60" s="38">
        <f>MROUND(INDEX('MAG College Enrollment Forecast'!$B$4:$H$64,MATCH($O60,'MAG College Enrollment Forecast'!$A$4:$A$64,0),MATCH(Z$4,'MAG College Enrollment Forecast'!$B$1:$H$1,0)),50)</f>
        <v>3500</v>
      </c>
      <c r="AA60" s="33">
        <f>MROUND(AA$3*INDEX('College Enrollment Projections'!$AJ$2:$AP$62,MATCH('Campus Enrol Disaggregation'!$O60,'College Enrollment Projections'!$AI$2:$AI$62,0),MATCH('Campus Enrol Disaggregation'!AA$2,'College Enrollment Projections'!$AJ$1:$AP$1,0)),50)</f>
        <v>30650</v>
      </c>
      <c r="AB60" s="33">
        <f>MROUND(AB$3*INDEX('College Enrollment Projections'!$AJ$2:$AP$62,MATCH('Campus Enrol Disaggregation'!$O60,'College Enrollment Projections'!$AI$2:$AI$62,0),MATCH('Campus Enrol Disaggregation'!AB$2,'College Enrollment Projections'!$AJ$1:$AP$1,0)),50)</f>
        <v>8050</v>
      </c>
      <c r="AC60" s="33">
        <f>MROUND(AC$3*INDEX('College Enrollment Projections'!$AJ$2:$AP$62,MATCH('Campus Enrol Disaggregation'!$O60,'College Enrollment Projections'!$AI$2:$AI$62,0),MATCH('Campus Enrol Disaggregation'!AC$2,'College Enrollment Projections'!$AJ$1:$AP$1,0)),50)</f>
        <v>2850</v>
      </c>
      <c r="AD60" s="26">
        <f t="shared" si="0"/>
        <v>230100</v>
      </c>
    </row>
    <row r="61" spans="15:30" x14ac:dyDescent="0.25">
      <c r="O61" s="3">
        <v>2046</v>
      </c>
      <c r="P61" s="34">
        <f>MROUND(P$3*INDEX('College Enrollment Projections'!$AJ$2:$AP$62,MATCH('Campus Enrol Disaggregation'!$O61,'College Enrollment Projections'!$AI$2:$AI$62,0),MATCH('Campus Enrol Disaggregation'!P$2,'College Enrollment Projections'!$AJ$1:$AP$1,0)),50)</f>
        <v>39300</v>
      </c>
      <c r="Q61" s="34">
        <f>MROUND(Q$3*INDEX('College Enrollment Projections'!$AJ$2:$AP$62,MATCH('Campus Enrol Disaggregation'!$O61,'College Enrollment Projections'!$AI$2:$AI$62,0),MATCH('Campus Enrol Disaggregation'!Q$2,'College Enrollment Projections'!$AJ$1:$AP$1,0)),50)</f>
        <v>2000</v>
      </c>
      <c r="R61" s="34">
        <f>MROUND(R$3*INDEX('College Enrollment Projections'!$AJ$2:$AP$62,MATCH('Campus Enrol Disaggregation'!$O61,'College Enrollment Projections'!$AI$2:$AI$62,0),MATCH('Campus Enrol Disaggregation'!R$2,'College Enrollment Projections'!$AJ$1:$AP$1,0)),50)</f>
        <v>20350</v>
      </c>
      <c r="S61" s="34">
        <f>MROUND(S$3*INDEX('College Enrollment Projections'!$AJ$2:$AP$62,MATCH('Campus Enrol Disaggregation'!$O61,'College Enrollment Projections'!$AI$2:$AI$62,0),MATCH('Campus Enrol Disaggregation'!S$2,'College Enrollment Projections'!$AJ$1:$AP$1,0)),50)</f>
        <v>7150</v>
      </c>
      <c r="T61" s="34">
        <f>MROUND(T$3*INDEX('College Enrollment Projections'!$AJ$2:$AP$62,MATCH('Campus Enrol Disaggregation'!$O61,'College Enrollment Projections'!$AI$2:$AI$62,0),MATCH('Campus Enrol Disaggregation'!T$2,'College Enrollment Projections'!$AJ$1:$AP$1,0)),50)</f>
        <v>1800</v>
      </c>
      <c r="U61" s="34">
        <f>MROUND(U$3*INDEX('College Enrollment Projections'!$AJ$2:$AP$62,MATCH('Campus Enrol Disaggregation'!$O61,'College Enrollment Projections'!$AI$2:$AI$62,0),MATCH('Campus Enrol Disaggregation'!U$2,'College Enrollment Projections'!$AJ$1:$AP$1,0)),50)</f>
        <v>6300</v>
      </c>
      <c r="V61" s="34">
        <f>MROUND(V$3*INDEX('College Enrollment Projections'!$AJ$2:$AP$62,MATCH('Campus Enrol Disaggregation'!$O61,'College Enrollment Projections'!$AI$2:$AI$62,0),MATCH('Campus Enrol Disaggregation'!V$2,'College Enrollment Projections'!$AJ$1:$AP$1,0)),50)</f>
        <v>40850</v>
      </c>
      <c r="W61" s="38">
        <f>MROUND(INDEX('MAG College Enrollment Forecast'!$B$4:$H$64,MATCH($O61,'MAG College Enrollment Forecast'!$A$4:$A$64,0),MATCH(W$4,'MAG College Enrollment Forecast'!$B$1:$H$1,0)),50)</f>
        <v>64350</v>
      </c>
      <c r="X61" s="38">
        <f>MROUND(INDEX('MAG College Enrollment Forecast'!$B$4:$H$64,MATCH($O61,'MAG College Enrollment Forecast'!$A$4:$A$64,0),MATCH(X$4,'MAG College Enrollment Forecast'!$B$1:$H$1,0)),50)</f>
        <v>2450</v>
      </c>
      <c r="Y61" s="38">
        <f>MROUND(INDEX('MAG College Enrollment Forecast'!$B$4:$H$64,MATCH($O61,'MAG College Enrollment Forecast'!$A$4:$A$64,0),MATCH(Y$4,'MAG College Enrollment Forecast'!$B$1:$H$1,0)),50)</f>
        <v>2550</v>
      </c>
      <c r="Z61" s="38">
        <f>MROUND(INDEX('MAG College Enrollment Forecast'!$B$4:$H$64,MATCH($O61,'MAG College Enrollment Forecast'!$A$4:$A$64,0),MATCH(Z$4,'MAG College Enrollment Forecast'!$B$1:$H$1,0)),50)</f>
        <v>3650</v>
      </c>
      <c r="AA61" s="33">
        <f>MROUND(AA$3*INDEX('College Enrollment Projections'!$AJ$2:$AP$62,MATCH('Campus Enrol Disaggregation'!$O61,'College Enrollment Projections'!$AI$2:$AI$62,0),MATCH('Campus Enrol Disaggregation'!AA$2,'College Enrollment Projections'!$AJ$1:$AP$1,0)),50)</f>
        <v>31000</v>
      </c>
      <c r="AB61" s="33">
        <f>MROUND(AB$3*INDEX('College Enrollment Projections'!$AJ$2:$AP$62,MATCH('Campus Enrol Disaggregation'!$O61,'College Enrollment Projections'!$AI$2:$AI$62,0),MATCH('Campus Enrol Disaggregation'!AB$2,'College Enrollment Projections'!$AJ$1:$AP$1,0)),50)</f>
        <v>8150</v>
      </c>
      <c r="AC61" s="33">
        <f>MROUND(AC$3*INDEX('College Enrollment Projections'!$AJ$2:$AP$62,MATCH('Campus Enrol Disaggregation'!$O61,'College Enrollment Projections'!$AI$2:$AI$62,0),MATCH('Campus Enrol Disaggregation'!AC$2,'College Enrollment Projections'!$AJ$1:$AP$1,0)),50)</f>
        <v>2900</v>
      </c>
      <c r="AD61" s="26">
        <f t="shared" si="0"/>
        <v>232800</v>
      </c>
    </row>
    <row r="62" spans="15:30" x14ac:dyDescent="0.25">
      <c r="O62" s="3">
        <v>2047</v>
      </c>
      <c r="P62" s="34">
        <f>MROUND(P$3*INDEX('College Enrollment Projections'!$AJ$2:$AP$62,MATCH('Campus Enrol Disaggregation'!$O62,'College Enrollment Projections'!$AI$2:$AI$62,0),MATCH('Campus Enrol Disaggregation'!P$2,'College Enrollment Projections'!$AJ$1:$AP$1,0)),50)</f>
        <v>39300</v>
      </c>
      <c r="Q62" s="34">
        <f>MROUND(Q$3*INDEX('College Enrollment Projections'!$AJ$2:$AP$62,MATCH('Campus Enrol Disaggregation'!$O62,'College Enrollment Projections'!$AI$2:$AI$62,0),MATCH('Campus Enrol Disaggregation'!Q$2,'College Enrollment Projections'!$AJ$1:$AP$1,0)),50)</f>
        <v>2000</v>
      </c>
      <c r="R62" s="34">
        <f>MROUND(R$3*INDEX('College Enrollment Projections'!$AJ$2:$AP$62,MATCH('Campus Enrol Disaggregation'!$O62,'College Enrollment Projections'!$AI$2:$AI$62,0),MATCH('Campus Enrol Disaggregation'!R$2,'College Enrollment Projections'!$AJ$1:$AP$1,0)),50)</f>
        <v>20550</v>
      </c>
      <c r="S62" s="34">
        <f>MROUND(S$3*INDEX('College Enrollment Projections'!$AJ$2:$AP$62,MATCH('Campus Enrol Disaggregation'!$O62,'College Enrollment Projections'!$AI$2:$AI$62,0),MATCH('Campus Enrol Disaggregation'!S$2,'College Enrollment Projections'!$AJ$1:$AP$1,0)),50)</f>
        <v>7200</v>
      </c>
      <c r="T62" s="34">
        <f>MROUND(T$3*INDEX('College Enrollment Projections'!$AJ$2:$AP$62,MATCH('Campus Enrol Disaggregation'!$O62,'College Enrollment Projections'!$AI$2:$AI$62,0),MATCH('Campus Enrol Disaggregation'!T$2,'College Enrollment Projections'!$AJ$1:$AP$1,0)),50)</f>
        <v>1800</v>
      </c>
      <c r="U62" s="34">
        <f>MROUND(U$3*INDEX('College Enrollment Projections'!$AJ$2:$AP$62,MATCH('Campus Enrol Disaggregation'!$O62,'College Enrollment Projections'!$AI$2:$AI$62,0),MATCH('Campus Enrol Disaggregation'!U$2,'College Enrollment Projections'!$AJ$1:$AP$1,0)),50)</f>
        <v>6400</v>
      </c>
      <c r="V62" s="34">
        <f>MROUND(V$3*INDEX('College Enrollment Projections'!$AJ$2:$AP$62,MATCH('Campus Enrol Disaggregation'!$O62,'College Enrollment Projections'!$AI$2:$AI$62,0),MATCH('Campus Enrol Disaggregation'!V$2,'College Enrollment Projections'!$AJ$1:$AP$1,0)),50)</f>
        <v>41100</v>
      </c>
      <c r="W62" s="38">
        <f>MROUND(INDEX('MAG College Enrollment Forecast'!$B$4:$H$64,MATCH($O62,'MAG College Enrollment Forecast'!$A$4:$A$64,0),MATCH(W$4,'MAG College Enrollment Forecast'!$B$1:$H$1,0)),50)</f>
        <v>65250</v>
      </c>
      <c r="X62" s="38">
        <f>MROUND(INDEX('MAG College Enrollment Forecast'!$B$4:$H$64,MATCH($O62,'MAG College Enrollment Forecast'!$A$4:$A$64,0),MATCH(X$4,'MAG College Enrollment Forecast'!$B$1:$H$1,0)),50)</f>
        <v>2450</v>
      </c>
      <c r="Y62" s="38">
        <f>MROUND(INDEX('MAG College Enrollment Forecast'!$B$4:$H$64,MATCH($O62,'MAG College Enrollment Forecast'!$A$4:$A$64,0),MATCH(Y$4,'MAG College Enrollment Forecast'!$B$1:$H$1,0)),50)</f>
        <v>2650</v>
      </c>
      <c r="Z62" s="38">
        <f>MROUND(INDEX('MAG College Enrollment Forecast'!$B$4:$H$64,MATCH($O62,'MAG College Enrollment Forecast'!$A$4:$A$64,0),MATCH(Z$4,'MAG College Enrollment Forecast'!$B$1:$H$1,0)),50)</f>
        <v>3800</v>
      </c>
      <c r="AA62" s="33">
        <f>MROUND(AA$3*INDEX('College Enrollment Projections'!$AJ$2:$AP$62,MATCH('Campus Enrol Disaggregation'!$O62,'College Enrollment Projections'!$AI$2:$AI$62,0),MATCH('Campus Enrol Disaggregation'!AA$2,'College Enrollment Projections'!$AJ$1:$AP$1,0)),50)</f>
        <v>31300</v>
      </c>
      <c r="AB62" s="33">
        <f>MROUND(AB$3*INDEX('College Enrollment Projections'!$AJ$2:$AP$62,MATCH('Campus Enrol Disaggregation'!$O62,'College Enrollment Projections'!$AI$2:$AI$62,0),MATCH('Campus Enrol Disaggregation'!AB$2,'College Enrollment Projections'!$AJ$1:$AP$1,0)),50)</f>
        <v>8250</v>
      </c>
      <c r="AC62" s="33">
        <f>MROUND(AC$3*INDEX('College Enrollment Projections'!$AJ$2:$AP$62,MATCH('Campus Enrol Disaggregation'!$O62,'College Enrollment Projections'!$AI$2:$AI$62,0),MATCH('Campus Enrol Disaggregation'!AC$2,'College Enrollment Projections'!$AJ$1:$AP$1,0)),50)</f>
        <v>2900</v>
      </c>
      <c r="AD62" s="26">
        <f t="shared" si="0"/>
        <v>234950</v>
      </c>
    </row>
    <row r="63" spans="15:30" x14ac:dyDescent="0.25">
      <c r="O63" s="3">
        <v>2048</v>
      </c>
      <c r="P63" s="34">
        <f>MROUND(P$3*INDEX('College Enrollment Projections'!$AJ$2:$AP$62,MATCH('Campus Enrol Disaggregation'!$O63,'College Enrollment Projections'!$AI$2:$AI$62,0),MATCH('Campus Enrol Disaggregation'!P$2,'College Enrollment Projections'!$AJ$1:$AP$1,0)),50)</f>
        <v>39300</v>
      </c>
      <c r="Q63" s="34">
        <f>MROUND(Q$3*INDEX('College Enrollment Projections'!$AJ$2:$AP$62,MATCH('Campus Enrol Disaggregation'!$O63,'College Enrollment Projections'!$AI$2:$AI$62,0),MATCH('Campus Enrol Disaggregation'!Q$2,'College Enrollment Projections'!$AJ$1:$AP$1,0)),50)</f>
        <v>2000</v>
      </c>
      <c r="R63" s="34">
        <f>MROUND(R$3*INDEX('College Enrollment Projections'!$AJ$2:$AP$62,MATCH('Campus Enrol Disaggregation'!$O63,'College Enrollment Projections'!$AI$2:$AI$62,0),MATCH('Campus Enrol Disaggregation'!R$2,'College Enrollment Projections'!$AJ$1:$AP$1,0)),50)</f>
        <v>20750</v>
      </c>
      <c r="S63" s="34">
        <f>MROUND(S$3*INDEX('College Enrollment Projections'!$AJ$2:$AP$62,MATCH('Campus Enrol Disaggregation'!$O63,'College Enrollment Projections'!$AI$2:$AI$62,0),MATCH('Campus Enrol Disaggregation'!S$2,'College Enrollment Projections'!$AJ$1:$AP$1,0)),50)</f>
        <v>7250</v>
      </c>
      <c r="T63" s="34">
        <f>MROUND(T$3*INDEX('College Enrollment Projections'!$AJ$2:$AP$62,MATCH('Campus Enrol Disaggregation'!$O63,'College Enrollment Projections'!$AI$2:$AI$62,0),MATCH('Campus Enrol Disaggregation'!T$2,'College Enrollment Projections'!$AJ$1:$AP$1,0)),50)</f>
        <v>1800</v>
      </c>
      <c r="U63" s="34">
        <f>MROUND(U$3*INDEX('College Enrollment Projections'!$AJ$2:$AP$62,MATCH('Campus Enrol Disaggregation'!$O63,'College Enrollment Projections'!$AI$2:$AI$62,0),MATCH('Campus Enrol Disaggregation'!U$2,'College Enrollment Projections'!$AJ$1:$AP$1,0)),50)</f>
        <v>6450</v>
      </c>
      <c r="V63" s="34">
        <f>MROUND(V$3*INDEX('College Enrollment Projections'!$AJ$2:$AP$62,MATCH('Campus Enrol Disaggregation'!$O63,'College Enrollment Projections'!$AI$2:$AI$62,0),MATCH('Campus Enrol Disaggregation'!V$2,'College Enrollment Projections'!$AJ$1:$AP$1,0)),50)</f>
        <v>41350</v>
      </c>
      <c r="W63" s="38">
        <f>MROUND(INDEX('MAG College Enrollment Forecast'!$B$4:$H$64,MATCH($O63,'MAG College Enrollment Forecast'!$A$4:$A$64,0),MATCH(W$4,'MAG College Enrollment Forecast'!$B$1:$H$1,0)),50)</f>
        <v>66150</v>
      </c>
      <c r="X63" s="38">
        <f>MROUND(INDEX('MAG College Enrollment Forecast'!$B$4:$H$64,MATCH($O63,'MAG College Enrollment Forecast'!$A$4:$A$64,0),MATCH(X$4,'MAG College Enrollment Forecast'!$B$1:$H$1,0)),50)</f>
        <v>2500</v>
      </c>
      <c r="Y63" s="38">
        <f>MROUND(INDEX('MAG College Enrollment Forecast'!$B$4:$H$64,MATCH($O63,'MAG College Enrollment Forecast'!$A$4:$A$64,0),MATCH(Y$4,'MAG College Enrollment Forecast'!$B$1:$H$1,0)),50)</f>
        <v>2800</v>
      </c>
      <c r="Z63" s="38">
        <f>MROUND(INDEX('MAG College Enrollment Forecast'!$B$4:$H$64,MATCH($O63,'MAG College Enrollment Forecast'!$A$4:$A$64,0),MATCH(Z$4,'MAG College Enrollment Forecast'!$B$1:$H$1,0)),50)</f>
        <v>3950</v>
      </c>
      <c r="AA63" s="33">
        <f>MROUND(AA$3*INDEX('College Enrollment Projections'!$AJ$2:$AP$62,MATCH('Campus Enrol Disaggregation'!$O63,'College Enrollment Projections'!$AI$2:$AI$62,0),MATCH('Campus Enrol Disaggregation'!AA$2,'College Enrollment Projections'!$AJ$1:$AP$1,0)),50)</f>
        <v>31650</v>
      </c>
      <c r="AB63" s="33">
        <f>MROUND(AB$3*INDEX('College Enrollment Projections'!$AJ$2:$AP$62,MATCH('Campus Enrol Disaggregation'!$O63,'College Enrollment Projections'!$AI$2:$AI$62,0),MATCH('Campus Enrol Disaggregation'!AB$2,'College Enrollment Projections'!$AJ$1:$AP$1,0)),50)</f>
        <v>8300</v>
      </c>
      <c r="AC63" s="33">
        <f>MROUND(AC$3*INDEX('College Enrollment Projections'!$AJ$2:$AP$62,MATCH('Campus Enrol Disaggregation'!$O63,'College Enrollment Projections'!$AI$2:$AI$62,0),MATCH('Campus Enrol Disaggregation'!AC$2,'College Enrollment Projections'!$AJ$1:$AP$1,0)),50)</f>
        <v>2950</v>
      </c>
      <c r="AD63" s="26">
        <f t="shared" si="0"/>
        <v>237200</v>
      </c>
    </row>
    <row r="64" spans="15:30" x14ac:dyDescent="0.25">
      <c r="O64" s="3">
        <v>2049</v>
      </c>
      <c r="P64" s="34">
        <f>MROUND(P$3*INDEX('College Enrollment Projections'!$AJ$2:$AP$62,MATCH('Campus Enrol Disaggregation'!$O64,'College Enrollment Projections'!$AI$2:$AI$62,0),MATCH('Campus Enrol Disaggregation'!P$2,'College Enrollment Projections'!$AJ$1:$AP$1,0)),50)</f>
        <v>39300</v>
      </c>
      <c r="Q64" s="34">
        <f>MROUND(Q$3*INDEX('College Enrollment Projections'!$AJ$2:$AP$62,MATCH('Campus Enrol Disaggregation'!$O64,'College Enrollment Projections'!$AI$2:$AI$62,0),MATCH('Campus Enrol Disaggregation'!Q$2,'College Enrollment Projections'!$AJ$1:$AP$1,0)),50)</f>
        <v>2000</v>
      </c>
      <c r="R64" s="34">
        <f>MROUND(R$3*INDEX('College Enrollment Projections'!$AJ$2:$AP$62,MATCH('Campus Enrol Disaggregation'!$O64,'College Enrollment Projections'!$AI$2:$AI$62,0),MATCH('Campus Enrol Disaggregation'!R$2,'College Enrollment Projections'!$AJ$1:$AP$1,0)),50)</f>
        <v>20950</v>
      </c>
      <c r="S64" s="34">
        <f>MROUND(S$3*INDEX('College Enrollment Projections'!$AJ$2:$AP$62,MATCH('Campus Enrol Disaggregation'!$O64,'College Enrollment Projections'!$AI$2:$AI$62,0),MATCH('Campus Enrol Disaggregation'!S$2,'College Enrollment Projections'!$AJ$1:$AP$1,0)),50)</f>
        <v>7300</v>
      </c>
      <c r="T64" s="34">
        <f>MROUND(T$3*INDEX('College Enrollment Projections'!$AJ$2:$AP$62,MATCH('Campus Enrol Disaggregation'!$O64,'College Enrollment Projections'!$AI$2:$AI$62,0),MATCH('Campus Enrol Disaggregation'!T$2,'College Enrollment Projections'!$AJ$1:$AP$1,0)),50)</f>
        <v>1800</v>
      </c>
      <c r="U64" s="34">
        <f>MROUND(U$3*INDEX('College Enrollment Projections'!$AJ$2:$AP$62,MATCH('Campus Enrol Disaggregation'!$O64,'College Enrollment Projections'!$AI$2:$AI$62,0),MATCH('Campus Enrol Disaggregation'!U$2,'College Enrollment Projections'!$AJ$1:$AP$1,0)),50)</f>
        <v>6500</v>
      </c>
      <c r="V64" s="34">
        <f>MROUND(V$3*INDEX('College Enrollment Projections'!$AJ$2:$AP$62,MATCH('Campus Enrol Disaggregation'!$O64,'College Enrollment Projections'!$AI$2:$AI$62,0),MATCH('Campus Enrol Disaggregation'!V$2,'College Enrollment Projections'!$AJ$1:$AP$1,0)),50)</f>
        <v>41600</v>
      </c>
      <c r="W64" s="38">
        <f>MROUND(INDEX('MAG College Enrollment Forecast'!$B$4:$H$64,MATCH($O64,'MAG College Enrollment Forecast'!$A$4:$A$64,0),MATCH(W$4,'MAG College Enrollment Forecast'!$B$1:$H$1,0)),50)</f>
        <v>67050</v>
      </c>
      <c r="X64" s="38">
        <f>MROUND(INDEX('MAG College Enrollment Forecast'!$B$4:$H$64,MATCH($O64,'MAG College Enrollment Forecast'!$A$4:$A$64,0),MATCH(X$4,'MAG College Enrollment Forecast'!$B$1:$H$1,0)),50)</f>
        <v>2550</v>
      </c>
      <c r="Y64" s="38">
        <f>MROUND(INDEX('MAG College Enrollment Forecast'!$B$4:$H$64,MATCH($O64,'MAG College Enrollment Forecast'!$A$4:$A$64,0),MATCH(Y$4,'MAG College Enrollment Forecast'!$B$1:$H$1,0)),50)</f>
        <v>2900</v>
      </c>
      <c r="Z64" s="38">
        <f>MROUND(INDEX('MAG College Enrollment Forecast'!$B$4:$H$64,MATCH($O64,'MAG College Enrollment Forecast'!$A$4:$A$64,0),MATCH(Z$4,'MAG College Enrollment Forecast'!$B$1:$H$1,0)),50)</f>
        <v>4100</v>
      </c>
      <c r="AA64" s="33">
        <f>MROUND(AA$3*INDEX('College Enrollment Projections'!$AJ$2:$AP$62,MATCH('Campus Enrol Disaggregation'!$O64,'College Enrollment Projections'!$AI$2:$AI$62,0),MATCH('Campus Enrol Disaggregation'!AA$2,'College Enrollment Projections'!$AJ$1:$AP$1,0)),50)</f>
        <v>32000</v>
      </c>
      <c r="AB64" s="33">
        <f>MROUND(AB$3*INDEX('College Enrollment Projections'!$AJ$2:$AP$62,MATCH('Campus Enrol Disaggregation'!$O64,'College Enrollment Projections'!$AI$2:$AI$62,0),MATCH('Campus Enrol Disaggregation'!AB$2,'College Enrollment Projections'!$AJ$1:$AP$1,0)),50)</f>
        <v>8400</v>
      </c>
      <c r="AC64" s="33">
        <f>MROUND(AC$3*INDEX('College Enrollment Projections'!$AJ$2:$AP$62,MATCH('Campus Enrol Disaggregation'!$O64,'College Enrollment Projections'!$AI$2:$AI$62,0),MATCH('Campus Enrol Disaggregation'!AC$2,'College Enrollment Projections'!$AJ$1:$AP$1,0)),50)</f>
        <v>2950</v>
      </c>
      <c r="AD64" s="26">
        <f t="shared" si="0"/>
        <v>239400</v>
      </c>
    </row>
    <row r="65" spans="15:30" x14ac:dyDescent="0.25">
      <c r="O65" s="3">
        <v>2050</v>
      </c>
      <c r="P65" s="34">
        <f>MROUND(P$3*INDEX('College Enrollment Projections'!$AJ$2:$AP$62,MATCH('Campus Enrol Disaggregation'!$O65,'College Enrollment Projections'!$AI$2:$AI$62,0),MATCH('Campus Enrol Disaggregation'!P$2,'College Enrollment Projections'!$AJ$1:$AP$1,0)),50)</f>
        <v>39300</v>
      </c>
      <c r="Q65" s="34">
        <f>MROUND(Q$3*INDEX('College Enrollment Projections'!$AJ$2:$AP$62,MATCH('Campus Enrol Disaggregation'!$O65,'College Enrollment Projections'!$AI$2:$AI$62,0),MATCH('Campus Enrol Disaggregation'!Q$2,'College Enrollment Projections'!$AJ$1:$AP$1,0)),50)</f>
        <v>2000</v>
      </c>
      <c r="R65" s="34">
        <f>MROUND(R$3*INDEX('College Enrollment Projections'!$AJ$2:$AP$62,MATCH('Campus Enrol Disaggregation'!$O65,'College Enrollment Projections'!$AI$2:$AI$62,0),MATCH('Campus Enrol Disaggregation'!R$2,'College Enrollment Projections'!$AJ$1:$AP$1,0)),50)</f>
        <v>21100</v>
      </c>
      <c r="S65" s="34">
        <f>MROUND(S$3*INDEX('College Enrollment Projections'!$AJ$2:$AP$62,MATCH('Campus Enrol Disaggregation'!$O65,'College Enrollment Projections'!$AI$2:$AI$62,0),MATCH('Campus Enrol Disaggregation'!S$2,'College Enrollment Projections'!$AJ$1:$AP$1,0)),50)</f>
        <v>7400</v>
      </c>
      <c r="T65" s="34">
        <f>MROUND(T$3*INDEX('College Enrollment Projections'!$AJ$2:$AP$62,MATCH('Campus Enrol Disaggregation'!$O65,'College Enrollment Projections'!$AI$2:$AI$62,0),MATCH('Campus Enrol Disaggregation'!T$2,'College Enrollment Projections'!$AJ$1:$AP$1,0)),50)</f>
        <v>1850</v>
      </c>
      <c r="U65" s="34">
        <f>MROUND(U$3*INDEX('College Enrollment Projections'!$AJ$2:$AP$62,MATCH('Campus Enrol Disaggregation'!$O65,'College Enrollment Projections'!$AI$2:$AI$62,0),MATCH('Campus Enrol Disaggregation'!U$2,'College Enrollment Projections'!$AJ$1:$AP$1,0)),50)</f>
        <v>6550</v>
      </c>
      <c r="V65" s="34">
        <f>MROUND(V$3*INDEX('College Enrollment Projections'!$AJ$2:$AP$62,MATCH('Campus Enrol Disaggregation'!$O65,'College Enrollment Projections'!$AI$2:$AI$62,0),MATCH('Campus Enrol Disaggregation'!V$2,'College Enrollment Projections'!$AJ$1:$AP$1,0)),50)</f>
        <v>41850</v>
      </c>
      <c r="W65" s="38">
        <f>MROUND(INDEX('MAG College Enrollment Forecast'!$B$4:$H$64,MATCH($O65,'MAG College Enrollment Forecast'!$A$4:$A$64,0),MATCH(W$4,'MAG College Enrollment Forecast'!$B$1:$H$1,0)),50)</f>
        <v>68000</v>
      </c>
      <c r="X65" s="38">
        <f>MROUND(INDEX('MAG College Enrollment Forecast'!$B$4:$H$64,MATCH($O65,'MAG College Enrollment Forecast'!$A$4:$A$64,0),MATCH(X$4,'MAG College Enrollment Forecast'!$B$1:$H$1,0)),50)</f>
        <v>2600</v>
      </c>
      <c r="Y65" s="38">
        <f>MROUND(INDEX('MAG College Enrollment Forecast'!$B$4:$H$64,MATCH($O65,'MAG College Enrollment Forecast'!$A$4:$A$64,0),MATCH(Y$4,'MAG College Enrollment Forecast'!$B$1:$H$1,0)),50)</f>
        <v>3000</v>
      </c>
      <c r="Z65" s="38">
        <f>MROUND(INDEX('MAG College Enrollment Forecast'!$B$4:$H$64,MATCH($O65,'MAG College Enrollment Forecast'!$A$4:$A$64,0),MATCH(Z$4,'MAG College Enrollment Forecast'!$B$1:$H$1,0)),50)</f>
        <v>4300</v>
      </c>
      <c r="AA65" s="33">
        <f>MROUND(AA$3*INDEX('College Enrollment Projections'!$AJ$2:$AP$62,MATCH('Campus Enrol Disaggregation'!$O65,'College Enrollment Projections'!$AI$2:$AI$62,0),MATCH('Campus Enrol Disaggregation'!AA$2,'College Enrollment Projections'!$AJ$1:$AP$1,0)),50)</f>
        <v>32350</v>
      </c>
      <c r="AB65" s="33">
        <f>MROUND(AB$3*INDEX('College Enrollment Projections'!$AJ$2:$AP$62,MATCH('Campus Enrol Disaggregation'!$O65,'College Enrollment Projections'!$AI$2:$AI$62,0),MATCH('Campus Enrol Disaggregation'!AB$2,'College Enrollment Projections'!$AJ$1:$AP$1,0)),50)</f>
        <v>8500</v>
      </c>
      <c r="AC65" s="33">
        <f>MROUND(AC$3*INDEX('College Enrollment Projections'!$AJ$2:$AP$62,MATCH('Campus Enrol Disaggregation'!$O65,'College Enrollment Projections'!$AI$2:$AI$62,0),MATCH('Campus Enrol Disaggregation'!AC$2,'College Enrollment Projections'!$AJ$1:$AP$1,0)),50)</f>
        <v>3000</v>
      </c>
      <c r="AD65" s="26">
        <f t="shared" si="0"/>
        <v>241800</v>
      </c>
    </row>
  </sheetData>
  <pageMargins left="0.7" right="0.7" top="0.75" bottom="0.7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BF3E2-9C01-4498-9797-7810086297D1}">
  <dimension ref="A1:AZ64"/>
  <sheetViews>
    <sheetView topLeftCell="M1" zoomScale="175" zoomScaleNormal="175" workbookViewId="0">
      <selection activeCell="O33" sqref="O33"/>
    </sheetView>
  </sheetViews>
  <sheetFormatPr defaultColWidth="9" defaultRowHeight="15" x14ac:dyDescent="0.25"/>
  <cols>
    <col min="1" max="34" width="9" style="2"/>
    <col min="35" max="42" width="9" style="7"/>
    <col min="43" max="16384" width="9" style="2"/>
  </cols>
  <sheetData>
    <row r="1" spans="1:52" x14ac:dyDescent="0.25">
      <c r="A1" s="5" t="str">
        <f>$AJ$1 &amp; " Enrollment"</f>
        <v>UOFU Enrollment</v>
      </c>
      <c r="B1" s="5"/>
      <c r="C1" s="5"/>
      <c r="D1" s="5"/>
      <c r="E1" s="5"/>
      <c r="F1" s="5"/>
      <c r="G1" s="5"/>
      <c r="H1" s="5"/>
      <c r="I1" s="5" t="str">
        <f>$AL$1 &amp; " Enrollment"</f>
        <v>UVU Enrollment</v>
      </c>
      <c r="J1" s="5"/>
      <c r="K1" s="5"/>
      <c r="L1" s="5"/>
      <c r="M1" s="5"/>
      <c r="N1" s="5"/>
      <c r="O1" s="5"/>
      <c r="P1" s="5"/>
      <c r="Q1" s="5" t="str">
        <f>$AN$1 &amp; " Enrollment"</f>
        <v>BYU Enrollment</v>
      </c>
      <c r="R1" s="5"/>
      <c r="Y1" s="5" t="str">
        <f>$AP$1 &amp; " Enrollment"</f>
        <v>WESTMIN Enrollment</v>
      </c>
      <c r="AI1" s="3" t="s">
        <v>5</v>
      </c>
      <c r="AJ1" s="3" t="s">
        <v>1</v>
      </c>
      <c r="AK1" s="3" t="s">
        <v>2</v>
      </c>
      <c r="AL1" s="3" t="s">
        <v>3</v>
      </c>
      <c r="AM1" s="3" t="s">
        <v>4</v>
      </c>
      <c r="AN1" s="3" t="s">
        <v>15</v>
      </c>
      <c r="AO1" s="3" t="s">
        <v>16</v>
      </c>
      <c r="AP1" s="3" t="s">
        <v>17</v>
      </c>
      <c r="AS1" s="7"/>
      <c r="AT1" s="7"/>
      <c r="AU1" s="7"/>
      <c r="AV1" s="7"/>
      <c r="AW1" s="7"/>
      <c r="AX1" s="7"/>
      <c r="AY1" s="7"/>
      <c r="AZ1" s="7"/>
    </row>
    <row r="2" spans="1:52" x14ac:dyDescent="0.25">
      <c r="AI2" s="3">
        <v>1990</v>
      </c>
      <c r="AJ2" s="20">
        <f>INDEX('Historic from 2019 RTP'!$B$2:$E$29,MATCH('College Enrollment Projections'!$AI2,'Historic from 2019 RTP'!$A$2:$A$29,0),MATCH('College Enrollment Projections'!AJ$1,'Historic from 2019 RTP'!$B$1:$E$1,0))</f>
        <v>24311</v>
      </c>
      <c r="AK2" s="20">
        <f>INDEX('Historic from 2019 RTP'!$B$2:$E$29,MATCH('College Enrollment Projections'!$AI2,'Historic from 2019 RTP'!$A$2:$A$29,0),MATCH('College Enrollment Projections'!AK$1,'Historic from 2019 RTP'!$B$1:$E$1,0))</f>
        <v>13449</v>
      </c>
      <c r="AL2" s="37">
        <f>SUM('MAG College Enrollment Forecast'!C4:H4)</f>
        <v>7885</v>
      </c>
      <c r="AM2" s="20">
        <f>INDEX('Historic from 2019 RTP'!$B$2:$E$29,MATCH('College Enrollment Projections'!$AI2,'Historic from 2019 RTP'!$A$2:$A$29,0),MATCH('College Enrollment Projections'!AM$1,'Historic from 2019 RTP'!$B$1:$E$1,0))</f>
        <v>13344</v>
      </c>
      <c r="AN2" s="37">
        <f>'MAG College Enrollment Forecast'!B4</f>
        <v>30465</v>
      </c>
      <c r="AO2" s="4"/>
      <c r="AP2" s="18"/>
      <c r="AS2" s="11"/>
      <c r="AT2" s="7"/>
      <c r="AU2" s="7"/>
      <c r="AV2" s="7"/>
      <c r="AW2" s="7"/>
      <c r="AX2" s="7"/>
      <c r="AY2" s="7"/>
      <c r="AZ2" s="7"/>
    </row>
    <row r="3" spans="1:52" x14ac:dyDescent="0.25">
      <c r="AI3" s="3">
        <v>1991</v>
      </c>
      <c r="AJ3" s="20">
        <f>INDEX('Historic from 2019 RTP'!$B$2:$E$29,MATCH('College Enrollment Projections'!$AI3,'Historic from 2019 RTP'!$A$2:$A$29,0),MATCH('College Enrollment Projections'!AJ$1,'Historic from 2019 RTP'!$B$1:$E$1,0))</f>
        <v>25581</v>
      </c>
      <c r="AK3" s="20">
        <f>INDEX('Historic from 2019 RTP'!$B$2:$E$29,MATCH('College Enrollment Projections'!$AI3,'Historic from 2019 RTP'!$A$2:$A$29,0),MATCH('College Enrollment Projections'!AK$1,'Historic from 2019 RTP'!$B$1:$E$1,0))</f>
        <v>14495</v>
      </c>
      <c r="AL3" s="37">
        <f>SUM('MAG College Enrollment Forecast'!C5:H5)</f>
        <v>8777</v>
      </c>
      <c r="AM3" s="20">
        <f>INDEX('Historic from 2019 RTP'!$B$2:$E$29,MATCH('College Enrollment Projections'!$AI3,'Historic from 2019 RTP'!$A$2:$A$29,0),MATCH('College Enrollment Projections'!AM$1,'Historic from 2019 RTP'!$B$1:$E$1,0))</f>
        <v>15972</v>
      </c>
      <c r="AN3" s="37">
        <f>'MAG College Enrollment Forecast'!B5</f>
        <v>31101</v>
      </c>
      <c r="AO3" s="4"/>
      <c r="AP3" s="18"/>
      <c r="AS3" s="11"/>
      <c r="AT3" s="7"/>
      <c r="AU3" s="7"/>
      <c r="AV3" s="7"/>
      <c r="AW3" s="7"/>
      <c r="AX3" s="7"/>
      <c r="AY3" s="7"/>
      <c r="AZ3" s="7"/>
    </row>
    <row r="4" spans="1:52" x14ac:dyDescent="0.25">
      <c r="AI4" s="3">
        <v>1992</v>
      </c>
      <c r="AJ4" s="20">
        <f>INDEX('Historic from 2019 RTP'!$B$2:$E$29,MATCH('College Enrollment Projections'!$AI4,'Historic from 2019 RTP'!$A$2:$A$29,0),MATCH('College Enrollment Projections'!AJ$1,'Historic from 2019 RTP'!$B$1:$E$1,0))</f>
        <v>25868</v>
      </c>
      <c r="AK4" s="20">
        <f>INDEX('Historic from 2019 RTP'!$B$2:$E$29,MATCH('College Enrollment Projections'!$AI4,'Historic from 2019 RTP'!$A$2:$A$29,0),MATCH('College Enrollment Projections'!AK$1,'Historic from 2019 RTP'!$B$1:$E$1,0))</f>
        <v>14993</v>
      </c>
      <c r="AL4" s="37">
        <f>SUM('MAG College Enrollment Forecast'!C6:H6)</f>
        <v>9623</v>
      </c>
      <c r="AM4" s="20">
        <f>INDEX('Historic from 2019 RTP'!$B$2:$E$29,MATCH('College Enrollment Projections'!$AI4,'Historic from 2019 RTP'!$A$2:$A$29,0),MATCH('College Enrollment Projections'!AM$1,'Historic from 2019 RTP'!$B$1:$E$1,0))</f>
        <v>17766</v>
      </c>
      <c r="AN4" s="37">
        <f>'MAG College Enrollment Forecast'!B6</f>
        <v>31108</v>
      </c>
      <c r="AO4" s="4"/>
      <c r="AP4" s="18"/>
      <c r="AS4" s="7"/>
      <c r="AT4" s="7"/>
      <c r="AU4" s="7"/>
      <c r="AV4" s="7"/>
      <c r="AW4" s="7"/>
      <c r="AX4" s="7"/>
      <c r="AY4" s="7"/>
      <c r="AZ4" s="7"/>
    </row>
    <row r="5" spans="1:52" x14ac:dyDescent="0.25">
      <c r="AI5" s="3">
        <v>1993</v>
      </c>
      <c r="AJ5" s="20">
        <f>INDEX('Historic from 2019 RTP'!$B$2:$E$29,MATCH('College Enrollment Projections'!$AI5,'Historic from 2019 RTP'!$A$2:$A$29,0),MATCH('College Enrollment Projections'!AJ$1,'Historic from 2019 RTP'!$B$1:$E$1,0))</f>
        <v>25982</v>
      </c>
      <c r="AK5" s="20">
        <f>INDEX('Historic from 2019 RTP'!$B$2:$E$29,MATCH('College Enrollment Projections'!$AI5,'Historic from 2019 RTP'!$A$2:$A$29,0),MATCH('College Enrollment Projections'!AK$1,'Historic from 2019 RTP'!$B$1:$E$1,0))</f>
        <v>14447</v>
      </c>
      <c r="AL5" s="37">
        <f>SUM('MAG College Enrollment Forecast'!C7:H7)</f>
        <v>10512</v>
      </c>
      <c r="AM5" s="20">
        <f>INDEX('Historic from 2019 RTP'!$B$2:$E$29,MATCH('College Enrollment Projections'!$AI5,'Historic from 2019 RTP'!$A$2:$A$29,0),MATCH('College Enrollment Projections'!AM$1,'Historic from 2019 RTP'!$B$1:$E$1,0))</f>
        <v>18311</v>
      </c>
      <c r="AN5" s="37">
        <f>'MAG College Enrollment Forecast'!B7</f>
        <v>30547</v>
      </c>
      <c r="AO5" s="4"/>
      <c r="AP5" s="18"/>
      <c r="AS5" s="7"/>
      <c r="AT5" s="7"/>
      <c r="AU5" s="7"/>
      <c r="AV5" s="7"/>
      <c r="AW5" s="7"/>
      <c r="AX5" s="7"/>
      <c r="AY5" s="7"/>
      <c r="AZ5" s="7"/>
    </row>
    <row r="6" spans="1:52" x14ac:dyDescent="0.25">
      <c r="AI6" s="3">
        <v>1994</v>
      </c>
      <c r="AJ6" s="20">
        <f>INDEX('Historic from 2019 RTP'!$B$2:$E$29,MATCH('College Enrollment Projections'!$AI6,'Historic from 2019 RTP'!$A$2:$A$29,0),MATCH('College Enrollment Projections'!AJ$1,'Historic from 2019 RTP'!$B$1:$E$1,0))</f>
        <v>25645</v>
      </c>
      <c r="AK6" s="20">
        <f>INDEX('Historic from 2019 RTP'!$B$2:$E$29,MATCH('College Enrollment Projections'!$AI6,'Historic from 2019 RTP'!$A$2:$A$29,0),MATCH('College Enrollment Projections'!AK$1,'Historic from 2019 RTP'!$B$1:$E$1,0))</f>
        <v>14230</v>
      </c>
      <c r="AL6" s="37">
        <f>SUM('MAG College Enrollment Forecast'!C8:H8)</f>
        <v>13293</v>
      </c>
      <c r="AM6" s="20">
        <f>INDEX('Historic from 2019 RTP'!$B$2:$E$29,MATCH('College Enrollment Projections'!$AI6,'Historic from 2019 RTP'!$A$2:$A$29,0),MATCH('College Enrollment Projections'!AM$1,'Historic from 2019 RTP'!$B$1:$E$1,0))</f>
        <v>19440</v>
      </c>
      <c r="AN6" s="37">
        <f>'MAG College Enrollment Forecast'!B8</f>
        <v>30413</v>
      </c>
      <c r="AO6" s="4"/>
      <c r="AP6" s="18"/>
      <c r="AS6" s="7"/>
      <c r="AT6" s="7"/>
      <c r="AU6" s="7"/>
      <c r="AV6" s="7"/>
      <c r="AW6" s="7"/>
      <c r="AX6" s="7"/>
      <c r="AY6" s="7"/>
      <c r="AZ6" s="7"/>
    </row>
    <row r="7" spans="1:52" x14ac:dyDescent="0.25">
      <c r="AI7" s="3">
        <v>1995</v>
      </c>
      <c r="AJ7" s="20">
        <f>INDEX('Historic from 2019 RTP'!$B$2:$E$29,MATCH('College Enrollment Projections'!$AI7,'Historic from 2019 RTP'!$A$2:$A$29,0),MATCH('College Enrollment Projections'!AJ$1,'Historic from 2019 RTP'!$B$1:$E$1,0))</f>
        <v>26810</v>
      </c>
      <c r="AK7" s="20">
        <f>INDEX('Historic from 2019 RTP'!$B$2:$E$29,MATCH('College Enrollment Projections'!$AI7,'Historic from 2019 RTP'!$A$2:$A$29,0),MATCH('College Enrollment Projections'!AK$1,'Historic from 2019 RTP'!$B$1:$E$1,0))</f>
        <v>13996</v>
      </c>
      <c r="AL7" s="37">
        <f>SUM('MAG College Enrollment Forecast'!C9:H9)</f>
        <v>14040</v>
      </c>
      <c r="AM7" s="20">
        <f>INDEX('Historic from 2019 RTP'!$B$2:$E$29,MATCH('College Enrollment Projections'!$AI7,'Historic from 2019 RTP'!$A$2:$A$29,0),MATCH('College Enrollment Projections'!AM$1,'Historic from 2019 RTP'!$B$1:$E$1,0))</f>
        <v>20834</v>
      </c>
      <c r="AN7" s="37">
        <f>'MAG College Enrollment Forecast'!B9</f>
        <v>30465</v>
      </c>
      <c r="AO7" s="4"/>
      <c r="AP7" s="18"/>
      <c r="AS7" s="7"/>
      <c r="AT7" s="7"/>
      <c r="AU7" s="7"/>
      <c r="AV7" s="7"/>
      <c r="AW7" s="7"/>
      <c r="AX7" s="7"/>
      <c r="AY7" s="7"/>
      <c r="AZ7" s="7"/>
    </row>
    <row r="8" spans="1:52" x14ac:dyDescent="0.25">
      <c r="AI8" s="3">
        <v>1996</v>
      </c>
      <c r="AJ8" s="20">
        <f>INDEX('Historic from 2019 RTP'!$B$2:$E$29,MATCH('College Enrollment Projections'!$AI8,'Historic from 2019 RTP'!$A$2:$A$29,0),MATCH('College Enrollment Projections'!AJ$1,'Historic from 2019 RTP'!$B$1:$E$1,0))</f>
        <v>26079</v>
      </c>
      <c r="AK8" s="20">
        <f>INDEX('Historic from 2019 RTP'!$B$2:$E$29,MATCH('College Enrollment Projections'!$AI8,'Historic from 2019 RTP'!$A$2:$A$29,0),MATCH('College Enrollment Projections'!AK$1,'Historic from 2019 RTP'!$B$1:$E$1,0))</f>
        <v>13906</v>
      </c>
      <c r="AL8" s="37">
        <f>SUM('MAG College Enrollment Forecast'!C10:H10)</f>
        <v>14756</v>
      </c>
      <c r="AM8" s="20">
        <f>INDEX('Historic from 2019 RTP'!$B$2:$E$29,MATCH('College Enrollment Projections'!$AI8,'Historic from 2019 RTP'!$A$2:$A$29,0),MATCH('College Enrollment Projections'!AM$1,'Historic from 2019 RTP'!$B$1:$E$1,0))</f>
        <v>22394</v>
      </c>
      <c r="AN8" s="37">
        <f>'MAG College Enrollment Forecast'!B10</f>
        <v>30563</v>
      </c>
      <c r="AO8" s="4"/>
      <c r="AP8" s="18"/>
      <c r="AS8" s="7"/>
      <c r="AT8" s="7"/>
      <c r="AU8" s="7"/>
      <c r="AV8" s="7"/>
      <c r="AW8" s="7"/>
      <c r="AX8" s="7"/>
      <c r="AY8" s="7"/>
      <c r="AZ8" s="7"/>
    </row>
    <row r="9" spans="1:52" x14ac:dyDescent="0.25">
      <c r="AI9" s="3">
        <v>1997</v>
      </c>
      <c r="AJ9" s="20">
        <f>INDEX('Historic from 2019 RTP'!$B$2:$E$29,MATCH('College Enrollment Projections'!$AI9,'Historic from 2019 RTP'!$A$2:$A$29,0),MATCH('College Enrollment Projections'!AJ$1,'Historic from 2019 RTP'!$B$1:$E$1,0))</f>
        <v>25895</v>
      </c>
      <c r="AK9" s="20">
        <f>INDEX('Historic from 2019 RTP'!$B$2:$E$29,MATCH('College Enrollment Projections'!$AI9,'Historic from 2019 RTP'!$A$2:$A$29,0),MATCH('College Enrollment Projections'!AK$1,'Historic from 2019 RTP'!$B$1:$E$1,0))</f>
        <v>14613</v>
      </c>
      <c r="AL9" s="37">
        <f>SUM('MAG College Enrollment Forecast'!C11:H11)</f>
        <v>15994</v>
      </c>
      <c r="AM9" s="20">
        <f>INDEX('Historic from 2019 RTP'!$B$2:$E$29,MATCH('College Enrollment Projections'!$AI9,'Historic from 2019 RTP'!$A$2:$A$29,0),MATCH('College Enrollment Projections'!AM$1,'Historic from 2019 RTP'!$B$1:$E$1,0))</f>
        <v>24307</v>
      </c>
      <c r="AN9" s="37">
        <f>'MAG College Enrollment Forecast'!B11</f>
        <v>31249</v>
      </c>
      <c r="AO9" s="4"/>
      <c r="AP9" s="18"/>
      <c r="AS9" s="7"/>
      <c r="AT9" s="7"/>
      <c r="AU9" s="7"/>
      <c r="AV9" s="7"/>
      <c r="AW9" s="7"/>
      <c r="AX9" s="7"/>
      <c r="AY9" s="7"/>
      <c r="AZ9" s="7"/>
    </row>
    <row r="10" spans="1:52" x14ac:dyDescent="0.25">
      <c r="AI10" s="3">
        <v>1998</v>
      </c>
      <c r="AJ10" s="20">
        <f>INDEX('Historic from 2019 RTP'!$B$2:$E$29,MATCH('College Enrollment Projections'!$AI10,'Historic from 2019 RTP'!$A$2:$A$29,0),MATCH('College Enrollment Projections'!AJ$1,'Historic from 2019 RTP'!$B$1:$E$1,0))</f>
        <v>25018</v>
      </c>
      <c r="AK10" s="20">
        <f>INDEX('Historic from 2019 RTP'!$B$2:$E$29,MATCH('College Enrollment Projections'!$AI10,'Historic from 2019 RTP'!$A$2:$A$29,0),MATCH('College Enrollment Projections'!AK$1,'Historic from 2019 RTP'!$B$1:$E$1,0))</f>
        <v>13900</v>
      </c>
      <c r="AL10" s="37">
        <f>SUM('MAG College Enrollment Forecast'!C12:H12)</f>
        <v>18174</v>
      </c>
      <c r="AM10" s="20">
        <f>INDEX('Historic from 2019 RTP'!$B$2:$E$29,MATCH('College Enrollment Projections'!$AI10,'Historic from 2019 RTP'!$A$2:$A$29,0),MATCH('College Enrollment Projections'!AM$1,'Historic from 2019 RTP'!$B$1:$E$1,0))</f>
        <v>19754</v>
      </c>
      <c r="AN10" s="37">
        <f>'MAG College Enrollment Forecast'!B12</f>
        <v>32202</v>
      </c>
      <c r="AO10" s="4"/>
      <c r="AP10" s="18"/>
      <c r="AS10" s="7"/>
      <c r="AT10" s="7"/>
      <c r="AU10" s="7"/>
      <c r="AV10" s="7"/>
      <c r="AW10" s="7"/>
      <c r="AX10" s="7"/>
      <c r="AY10" s="7"/>
      <c r="AZ10" s="7"/>
    </row>
    <row r="11" spans="1:52" x14ac:dyDescent="0.25">
      <c r="AI11" s="3">
        <v>1999</v>
      </c>
      <c r="AJ11" s="20">
        <f>INDEX('Historic from 2019 RTP'!$B$2:$E$29,MATCH('College Enrollment Projections'!$AI11,'Historic from 2019 RTP'!$A$2:$A$29,0),MATCH('College Enrollment Projections'!AJ$1,'Historic from 2019 RTP'!$B$1:$E$1,0))</f>
        <v>25781</v>
      </c>
      <c r="AK11" s="20">
        <f>INDEX('Historic from 2019 RTP'!$B$2:$E$29,MATCH('College Enrollment Projections'!$AI11,'Historic from 2019 RTP'!$A$2:$A$29,0),MATCH('College Enrollment Projections'!AK$1,'Historic from 2019 RTP'!$B$1:$E$1,0))</f>
        <v>14984</v>
      </c>
      <c r="AL11" s="37">
        <f>SUM('MAG College Enrollment Forecast'!C13:H13)</f>
        <v>20062</v>
      </c>
      <c r="AM11" s="20">
        <f>INDEX('Historic from 2019 RTP'!$B$2:$E$29,MATCH('College Enrollment Projections'!$AI11,'Historic from 2019 RTP'!$A$2:$A$29,0),MATCH('College Enrollment Projections'!AM$1,'Historic from 2019 RTP'!$B$1:$E$1,0))</f>
        <v>21273</v>
      </c>
      <c r="AN11" s="37">
        <f>'MAG College Enrollment Forecast'!B13</f>
        <v>32731</v>
      </c>
      <c r="AO11" s="4"/>
      <c r="AP11" s="18"/>
      <c r="AS11" s="7"/>
      <c r="AT11" s="7"/>
      <c r="AU11" s="7"/>
      <c r="AV11" s="7"/>
      <c r="AW11" s="7"/>
      <c r="AX11" s="7"/>
      <c r="AY11" s="7"/>
      <c r="AZ11" s="7"/>
    </row>
    <row r="12" spans="1:52" x14ac:dyDescent="0.25">
      <c r="AI12" s="3">
        <v>2000</v>
      </c>
      <c r="AJ12" s="20">
        <f>INDEX('Historic from 2019 RTP'!$B$2:$E$29,MATCH('College Enrollment Projections'!$AI12,'Historic from 2019 RTP'!$A$2:$A$29,0),MATCH('College Enrollment Projections'!AJ$1,'Historic from 2019 RTP'!$B$1:$E$1,0))</f>
        <v>26163</v>
      </c>
      <c r="AK12" s="20">
        <f>INDEX('Historic from 2019 RTP'!$B$2:$E$29,MATCH('College Enrollment Projections'!$AI12,'Historic from 2019 RTP'!$A$2:$A$29,0),MATCH('College Enrollment Projections'!AK$1,'Historic from 2019 RTP'!$B$1:$E$1,0))</f>
        <v>16050</v>
      </c>
      <c r="AL12" s="37">
        <f>SUM('MAG College Enrollment Forecast'!C14:H14)</f>
        <v>20946</v>
      </c>
      <c r="AM12" s="20">
        <f>INDEX('Historic from 2019 RTP'!$B$2:$E$29,MATCH('College Enrollment Projections'!$AI12,'Historic from 2019 RTP'!$A$2:$A$29,0),MATCH('College Enrollment Projections'!AM$1,'Historic from 2019 RTP'!$B$1:$E$1,0))</f>
        <v>22109</v>
      </c>
      <c r="AN12" s="37">
        <f>'MAG College Enrollment Forecast'!B14</f>
        <v>32554</v>
      </c>
      <c r="AO12" s="4"/>
      <c r="AP12" s="18"/>
      <c r="AS12" s="7"/>
      <c r="AT12" s="7"/>
      <c r="AU12" s="7"/>
      <c r="AV12" s="7"/>
      <c r="AW12" s="7"/>
      <c r="AX12" s="7"/>
      <c r="AY12" s="7"/>
      <c r="AZ12" s="7"/>
    </row>
    <row r="13" spans="1:52" x14ac:dyDescent="0.25">
      <c r="AI13" s="3">
        <v>2001</v>
      </c>
      <c r="AJ13" s="20">
        <f>INDEX('Historic from 2019 RTP'!$B$2:$E$29,MATCH('College Enrollment Projections'!$AI13,'Historic from 2019 RTP'!$A$2:$A$29,0),MATCH('College Enrollment Projections'!AJ$1,'Historic from 2019 RTP'!$B$1:$E$1,0))</f>
        <v>27658</v>
      </c>
      <c r="AK13" s="20">
        <f>INDEX('Historic from 2019 RTP'!$B$2:$E$29,MATCH('College Enrollment Projections'!$AI13,'Historic from 2019 RTP'!$A$2:$A$29,0),MATCH('College Enrollment Projections'!AK$1,'Historic from 2019 RTP'!$B$1:$E$1,0))</f>
        <v>16871</v>
      </c>
      <c r="AL13" s="37">
        <f>SUM('MAG College Enrollment Forecast'!C15:H15)</f>
        <v>22609</v>
      </c>
      <c r="AM13" s="20">
        <f>INDEX('Historic from 2019 RTP'!$B$2:$E$29,MATCH('College Enrollment Projections'!$AI13,'Historic from 2019 RTP'!$A$2:$A$29,0),MATCH('College Enrollment Projections'!AM$1,'Historic from 2019 RTP'!$B$1:$E$1,0))</f>
        <v>24215</v>
      </c>
      <c r="AN13" s="37">
        <f>'MAG College Enrollment Forecast'!B15</f>
        <v>32771</v>
      </c>
      <c r="AO13" s="4"/>
      <c r="AP13" s="18"/>
      <c r="AS13" s="7"/>
      <c r="AT13" s="7"/>
      <c r="AU13" s="7"/>
      <c r="AV13" s="7"/>
      <c r="AW13" s="7"/>
      <c r="AX13" s="7"/>
      <c r="AY13" s="7"/>
      <c r="AZ13" s="7"/>
    </row>
    <row r="14" spans="1:52" x14ac:dyDescent="0.25">
      <c r="AI14" s="3">
        <v>2002</v>
      </c>
      <c r="AJ14" s="20">
        <f>INDEX('Historic from 2019 RTP'!$B$2:$E$29,MATCH('College Enrollment Projections'!$AI14,'Historic from 2019 RTP'!$A$2:$A$29,0),MATCH('College Enrollment Projections'!AJ$1,'Historic from 2019 RTP'!$B$1:$E$1,0))</f>
        <v>28369</v>
      </c>
      <c r="AK14" s="20">
        <f>INDEX('Historic from 2019 RTP'!$B$2:$E$29,MATCH('College Enrollment Projections'!$AI14,'Historic from 2019 RTP'!$A$2:$A$29,0),MATCH('College Enrollment Projections'!AK$1,'Historic from 2019 RTP'!$B$1:$E$1,0))</f>
        <v>18059</v>
      </c>
      <c r="AL14" s="37">
        <f>SUM('MAG College Enrollment Forecast'!C16:H16)</f>
        <v>23609</v>
      </c>
      <c r="AM14" s="20">
        <f>INDEX('Historic from 2019 RTP'!$B$2:$E$29,MATCH('College Enrollment Projections'!$AI14,'Historic from 2019 RTP'!$A$2:$A$29,0),MATCH('College Enrollment Projections'!AM$1,'Historic from 2019 RTP'!$B$1:$E$1,0))</f>
        <v>23825</v>
      </c>
      <c r="AN14" s="37">
        <f>'MAG College Enrollment Forecast'!B16</f>
        <v>32408</v>
      </c>
      <c r="AO14" s="4"/>
      <c r="AP14" s="18"/>
      <c r="AS14" s="7"/>
      <c r="AT14" s="7"/>
      <c r="AU14" s="7"/>
      <c r="AV14" s="7"/>
      <c r="AW14" s="7"/>
      <c r="AX14" s="7"/>
      <c r="AY14" s="7"/>
      <c r="AZ14" s="7"/>
    </row>
    <row r="15" spans="1:52" x14ac:dyDescent="0.25">
      <c r="AI15" s="3">
        <v>2003</v>
      </c>
      <c r="AJ15" s="20">
        <f>INDEX('Historic from 2019 RTP'!$B$2:$E$29,MATCH('College Enrollment Projections'!$AI15,'Historic from 2019 RTP'!$A$2:$A$29,0),MATCH('College Enrollment Projections'!AJ$1,'Historic from 2019 RTP'!$B$1:$E$1,0))</f>
        <v>28437</v>
      </c>
      <c r="AK15" s="20">
        <f>INDEX('Historic from 2019 RTP'!$B$2:$E$29,MATCH('College Enrollment Projections'!$AI15,'Historic from 2019 RTP'!$A$2:$A$29,0),MATCH('College Enrollment Projections'!AK$1,'Historic from 2019 RTP'!$B$1:$E$1,0))</f>
        <v>18821</v>
      </c>
      <c r="AL15" s="37">
        <f>SUM('MAG College Enrollment Forecast'!C17:H17)</f>
        <v>23803</v>
      </c>
      <c r="AM15" s="20">
        <f>INDEX('Historic from 2019 RTP'!$B$2:$E$29,MATCH('College Enrollment Projections'!$AI15,'Historic from 2019 RTP'!$A$2:$A$29,0),MATCH('College Enrollment Projections'!AM$1,'Historic from 2019 RTP'!$B$1:$E$1,0))</f>
        <v>24153</v>
      </c>
      <c r="AN15" s="37">
        <f>'MAG College Enrollment Forecast'!B17</f>
        <v>33008</v>
      </c>
      <c r="AO15" s="19">
        <v>1275</v>
      </c>
      <c r="AP15" s="18"/>
      <c r="AS15" s="7"/>
      <c r="AT15" s="7"/>
      <c r="AU15" s="7"/>
      <c r="AV15" s="7"/>
      <c r="AW15" s="7"/>
      <c r="AX15" s="7"/>
      <c r="AY15" s="7"/>
      <c r="AZ15" s="7"/>
    </row>
    <row r="16" spans="1:52" x14ac:dyDescent="0.25">
      <c r="AI16" s="3">
        <v>2004</v>
      </c>
      <c r="AJ16" s="20">
        <f>INDEX('Historic from 2019 RTP'!$B$2:$E$29,MATCH('College Enrollment Projections'!$AI16,'Historic from 2019 RTP'!$A$2:$A$29,0),MATCH('College Enrollment Projections'!AJ$1,'Historic from 2019 RTP'!$B$1:$E$1,0))</f>
        <v>28933</v>
      </c>
      <c r="AK16" s="20">
        <f>INDEX('Historic from 2019 RTP'!$B$2:$E$29,MATCH('College Enrollment Projections'!$AI16,'Historic from 2019 RTP'!$A$2:$A$29,0),MATCH('College Enrollment Projections'!AK$1,'Historic from 2019 RTP'!$B$1:$E$1,0))</f>
        <v>18498</v>
      </c>
      <c r="AL16" s="37">
        <f>SUM('MAG College Enrollment Forecast'!C18:H18)</f>
        <v>24149</v>
      </c>
      <c r="AM16" s="20">
        <f>INDEX('Historic from 2019 RTP'!$B$2:$E$29,MATCH('College Enrollment Projections'!$AI16,'Historic from 2019 RTP'!$A$2:$A$29,0),MATCH('College Enrollment Projections'!AM$1,'Historic from 2019 RTP'!$B$1:$E$1,0))</f>
        <v>25711</v>
      </c>
      <c r="AN16" s="37">
        <f>'MAG College Enrollment Forecast'!B18</f>
        <v>33427</v>
      </c>
      <c r="AO16" s="4">
        <f>($AO$24-$AO$15)/($AI$24-$AI$15)*(AI16-$AI$15)+$AO$15</f>
        <v>1377.7777777777778</v>
      </c>
      <c r="AP16" s="18"/>
      <c r="AS16" s="7"/>
      <c r="AT16" s="7"/>
      <c r="AU16" s="7"/>
      <c r="AV16" s="7"/>
      <c r="AW16" s="7"/>
      <c r="AX16" s="7"/>
      <c r="AY16" s="7"/>
      <c r="AZ16" s="7"/>
    </row>
    <row r="17" spans="1:52" x14ac:dyDescent="0.25">
      <c r="A17" s="5" t="str">
        <f>$AK$1 &amp; " Enrollment"</f>
        <v>WSU Enrollment</v>
      </c>
      <c r="B17" s="5"/>
      <c r="C17" s="5"/>
      <c r="D17" s="5"/>
      <c r="E17" s="5"/>
      <c r="F17" s="5"/>
      <c r="G17" s="5"/>
      <c r="H17" s="5"/>
      <c r="I17" s="5" t="str">
        <f>$AM$1 &amp; " Enrollment"</f>
        <v>SLCC Enrollment</v>
      </c>
      <c r="J17" s="5"/>
      <c r="K17" s="5"/>
      <c r="L17" s="5"/>
      <c r="M17" s="5"/>
      <c r="N17" s="5"/>
      <c r="O17" s="5"/>
      <c r="P17" s="5"/>
      <c r="Q17" s="5" t="str">
        <f>$AO$1 &amp; " Enrollment"</f>
        <v>ENSIGN Enrollment</v>
      </c>
      <c r="AI17" s="3">
        <v>2005</v>
      </c>
      <c r="AJ17" s="20">
        <f>INDEX('Historic from 2019 RTP'!$B$2:$E$29,MATCH('College Enrollment Projections'!$AI17,'Historic from 2019 RTP'!$A$2:$A$29,0),MATCH('College Enrollment Projections'!AJ$1,'Historic from 2019 RTP'!$B$1:$E$1,0))</f>
        <v>29012</v>
      </c>
      <c r="AK17" s="20">
        <f>INDEX('Historic from 2019 RTP'!$B$2:$E$29,MATCH('College Enrollment Projections'!$AI17,'Historic from 2019 RTP'!$A$2:$A$29,0),MATCH('College Enrollment Projections'!AK$1,'Historic from 2019 RTP'!$B$1:$E$1,0))</f>
        <v>18142</v>
      </c>
      <c r="AL17" s="37">
        <f>SUM('MAG College Enrollment Forecast'!C19:H19)</f>
        <v>24487</v>
      </c>
      <c r="AM17" s="20">
        <f>INDEX('Historic from 2019 RTP'!$B$2:$E$29,MATCH('College Enrollment Projections'!$AI17,'Historic from 2019 RTP'!$A$2:$A$29,0),MATCH('College Enrollment Projections'!AM$1,'Historic from 2019 RTP'!$B$1:$E$1,0))</f>
        <v>25551</v>
      </c>
      <c r="AN17" s="37">
        <f>'MAG College Enrollment Forecast'!B19</f>
        <v>32920</v>
      </c>
      <c r="AO17" s="4">
        <f t="shared" ref="AO17:AO23" si="0">($AO$24-$AO$15)/($AI$24-$AI$15)*(AI17-$AI$15)+$AO$15</f>
        <v>1480.5555555555557</v>
      </c>
      <c r="AP17" s="18"/>
      <c r="AS17" s="7"/>
      <c r="AT17" s="7"/>
      <c r="AU17" s="7"/>
      <c r="AV17" s="7"/>
      <c r="AW17" s="7"/>
      <c r="AX17" s="7"/>
      <c r="AY17" s="7"/>
      <c r="AZ17" s="7"/>
    </row>
    <row r="18" spans="1:52" x14ac:dyDescent="0.25">
      <c r="AI18" s="3">
        <v>2006</v>
      </c>
      <c r="AJ18" s="20">
        <f>INDEX('Historic from 2019 RTP'!$B$2:$E$29,MATCH('College Enrollment Projections'!$AI18,'Historic from 2019 RTP'!$A$2:$A$29,0),MATCH('College Enrollment Projections'!AJ$1,'Historic from 2019 RTP'!$B$1:$E$1,0))</f>
        <v>28619</v>
      </c>
      <c r="AK18" s="20">
        <f>INDEX('Historic from 2019 RTP'!$B$2:$E$29,MATCH('College Enrollment Projections'!$AI18,'Historic from 2019 RTP'!$A$2:$A$29,0),MATCH('College Enrollment Projections'!AK$1,'Historic from 2019 RTP'!$B$1:$E$1,0))</f>
        <v>18303</v>
      </c>
      <c r="AL18" s="37">
        <f>SUM('MAG College Enrollment Forecast'!C20:H20)</f>
        <v>23305</v>
      </c>
      <c r="AM18" s="20">
        <f>INDEX('Historic from 2019 RTP'!$B$2:$E$29,MATCH('College Enrollment Projections'!$AI18,'Historic from 2019 RTP'!$A$2:$A$29,0),MATCH('College Enrollment Projections'!AM$1,'Historic from 2019 RTP'!$B$1:$E$1,0))</f>
        <v>25129</v>
      </c>
      <c r="AN18" s="37">
        <f>'MAG College Enrollment Forecast'!B20</f>
        <v>32679</v>
      </c>
      <c r="AO18" s="4">
        <f t="shared" si="0"/>
        <v>1583.3333333333333</v>
      </c>
      <c r="AP18" s="20">
        <f>VLOOKUP(AI18,Westminster!$A$2:$D$17,4)</f>
        <v>2479</v>
      </c>
      <c r="AS18" s="7"/>
      <c r="AT18" s="7"/>
      <c r="AU18" s="7"/>
      <c r="AV18" s="7"/>
      <c r="AW18" s="7"/>
      <c r="AX18" s="7"/>
      <c r="AY18" s="7"/>
      <c r="AZ18" s="7"/>
    </row>
    <row r="19" spans="1:52" x14ac:dyDescent="0.25">
      <c r="AI19" s="3">
        <v>2007</v>
      </c>
      <c r="AJ19" s="20">
        <f>INDEX('Historic from 2019 RTP'!$B$2:$E$29,MATCH('College Enrollment Projections'!$AI19,'Historic from 2019 RTP'!$A$2:$A$29,0),MATCH('College Enrollment Projections'!AJ$1,'Historic from 2019 RTP'!$B$1:$E$1,0))</f>
        <v>28025</v>
      </c>
      <c r="AK19" s="20">
        <f>INDEX('Historic from 2019 RTP'!$B$2:$E$29,MATCH('College Enrollment Projections'!$AI19,'Historic from 2019 RTP'!$A$2:$A$29,0),MATCH('College Enrollment Projections'!AK$1,'Historic from 2019 RTP'!$B$1:$E$1,0))</f>
        <v>18081</v>
      </c>
      <c r="AL19" s="37">
        <f>SUM('MAG College Enrollment Forecast'!C21:H21)</f>
        <v>23840</v>
      </c>
      <c r="AM19" s="20">
        <f>INDEX('Historic from 2019 RTP'!$B$2:$E$29,MATCH('College Enrollment Projections'!$AI19,'Historic from 2019 RTP'!$A$2:$A$29,0),MATCH('College Enrollment Projections'!AM$1,'Historic from 2019 RTP'!$B$1:$E$1,0))</f>
        <v>25144</v>
      </c>
      <c r="AN19" s="37">
        <f>'MAG College Enrollment Forecast'!B21</f>
        <v>32964</v>
      </c>
      <c r="AO19" s="4">
        <f t="shared" si="0"/>
        <v>1686.1111111111111</v>
      </c>
      <c r="AP19" s="20">
        <f>VLOOKUP(AI19,Westminster!$A$2:$D$17,4)</f>
        <v>2661</v>
      </c>
      <c r="AS19" s="7"/>
      <c r="AT19" s="7"/>
      <c r="AU19" s="7"/>
      <c r="AV19" s="7"/>
      <c r="AW19" s="7"/>
      <c r="AX19" s="7"/>
      <c r="AY19" s="7"/>
      <c r="AZ19" s="7"/>
    </row>
    <row r="20" spans="1:52" x14ac:dyDescent="0.25">
      <c r="AI20" s="3">
        <v>2008</v>
      </c>
      <c r="AJ20" s="20">
        <f>INDEX('Historic from 2019 RTP'!$B$2:$E$29,MATCH('College Enrollment Projections'!$AI20,'Historic from 2019 RTP'!$A$2:$A$29,0),MATCH('College Enrollment Projections'!AJ$1,'Historic from 2019 RTP'!$B$1:$E$1,0))</f>
        <v>28211</v>
      </c>
      <c r="AK20" s="20">
        <f>INDEX('Historic from 2019 RTP'!$B$2:$E$29,MATCH('College Enrollment Projections'!$AI20,'Historic from 2019 RTP'!$A$2:$A$29,0),MATCH('College Enrollment Projections'!AK$1,'Historic from 2019 RTP'!$B$1:$E$1,0))</f>
        <v>21388</v>
      </c>
      <c r="AL20" s="37">
        <f>SUM('MAG College Enrollment Forecast'!C22:H22)</f>
        <v>27052</v>
      </c>
      <c r="AM20" s="20">
        <f>INDEX('Historic from 2019 RTP'!$B$2:$E$29,MATCH('College Enrollment Projections'!$AI20,'Historic from 2019 RTP'!$A$2:$A$29,0),MATCH('College Enrollment Projections'!AM$1,'Historic from 2019 RTP'!$B$1:$E$1,0))</f>
        <v>29867</v>
      </c>
      <c r="AN20" s="37">
        <f>'MAG College Enrollment Forecast'!B22</f>
        <v>32992</v>
      </c>
      <c r="AO20" s="4">
        <f t="shared" si="0"/>
        <v>1788.8888888888889</v>
      </c>
      <c r="AP20" s="20">
        <f>VLOOKUP(AI20,Westminster!$A$2:$D$17,4)</f>
        <v>2859</v>
      </c>
      <c r="AS20" s="7"/>
      <c r="AT20" s="7"/>
      <c r="AU20" s="7"/>
      <c r="AV20" s="7"/>
      <c r="AW20" s="7"/>
      <c r="AX20" s="7"/>
      <c r="AY20" s="7"/>
      <c r="AZ20" s="7"/>
    </row>
    <row r="21" spans="1:52" x14ac:dyDescent="0.25">
      <c r="AI21" s="3">
        <v>2009</v>
      </c>
      <c r="AJ21" s="20">
        <f>INDEX('Historic from 2019 RTP'!$B$2:$E$29,MATCH('College Enrollment Projections'!$AI21,'Historic from 2019 RTP'!$A$2:$A$29,0),MATCH('College Enrollment Projections'!AJ$1,'Historic from 2019 RTP'!$B$1:$E$1,0))</f>
        <v>30110</v>
      </c>
      <c r="AK21" s="20">
        <f>INDEX('Historic from 2019 RTP'!$B$2:$E$29,MATCH('College Enrollment Projections'!$AI21,'Historic from 2019 RTP'!$A$2:$A$29,0),MATCH('College Enrollment Projections'!AK$1,'Historic from 2019 RTP'!$B$1:$E$1,0))</f>
        <v>23777</v>
      </c>
      <c r="AL21" s="37">
        <f>SUM('MAG College Enrollment Forecast'!C23:H23)</f>
        <v>29045</v>
      </c>
      <c r="AM21" s="20">
        <f>INDEX('Historic from 2019 RTP'!$B$2:$E$29,MATCH('College Enrollment Projections'!$AI21,'Historic from 2019 RTP'!$A$2:$A$29,0),MATCH('College Enrollment Projections'!AM$1,'Historic from 2019 RTP'!$B$1:$E$1,0))</f>
        <v>39903</v>
      </c>
      <c r="AN21" s="37">
        <f>'MAG College Enrollment Forecast'!B23</f>
        <v>32955</v>
      </c>
      <c r="AO21" s="4">
        <f t="shared" si="0"/>
        <v>1891.6666666666665</v>
      </c>
      <c r="AP21" s="20">
        <f>VLOOKUP(AI21,Westminster!$A$2:$D$17,4)</f>
        <v>3037</v>
      </c>
      <c r="AS21" s="7"/>
      <c r="AT21" s="7"/>
      <c r="AU21" s="7"/>
      <c r="AV21" s="7"/>
      <c r="AW21" s="7"/>
      <c r="AX21" s="7"/>
      <c r="AY21" s="7"/>
      <c r="AZ21" s="7"/>
    </row>
    <row r="22" spans="1:52" x14ac:dyDescent="0.25">
      <c r="AI22" s="3">
        <v>2010</v>
      </c>
      <c r="AJ22" s="20">
        <f>INDEX('Historic from 2019 RTP'!$B$2:$E$29,MATCH('College Enrollment Projections'!$AI22,'Historic from 2019 RTP'!$A$2:$A$29,0),MATCH('College Enrollment Projections'!AJ$1,'Historic from 2019 RTP'!$B$1:$E$1,0))</f>
        <v>31643</v>
      </c>
      <c r="AK22" s="20">
        <f>INDEX('Historic from 2019 RTP'!$B$2:$E$29,MATCH('College Enrollment Projections'!$AI22,'Historic from 2019 RTP'!$A$2:$A$29,0),MATCH('College Enrollment Projections'!AK$1,'Historic from 2019 RTP'!$B$1:$E$1,0))</f>
        <v>24496</v>
      </c>
      <c r="AL22" s="37">
        <f>SUM('MAG College Enrollment Forecast'!C24:H24)</f>
        <v>31739</v>
      </c>
      <c r="AM22" s="20">
        <f>INDEX('Historic from 2019 RTP'!$B$2:$E$29,MATCH('College Enrollment Projections'!$AI22,'Historic from 2019 RTP'!$A$2:$A$29,0),MATCH('College Enrollment Projections'!AM$1,'Historic from 2019 RTP'!$B$1:$E$1,0))</f>
        <v>38288</v>
      </c>
      <c r="AN22" s="37">
        <f>'MAG College Enrollment Forecast'!B24</f>
        <v>32947</v>
      </c>
      <c r="AO22" s="4">
        <f t="shared" si="0"/>
        <v>1994.4444444444443</v>
      </c>
      <c r="AP22" s="20">
        <f>VLOOKUP(AI22,Westminster!$A$2:$D$17,4)</f>
        <v>3163</v>
      </c>
      <c r="AS22" s="7"/>
      <c r="AT22" s="7"/>
      <c r="AU22" s="7"/>
      <c r="AV22" s="7"/>
      <c r="AW22" s="7"/>
      <c r="AX22" s="7"/>
      <c r="AY22" s="7"/>
      <c r="AZ22" s="7"/>
    </row>
    <row r="23" spans="1:52" x14ac:dyDescent="0.25">
      <c r="C23" s="2" t="s">
        <v>103</v>
      </c>
      <c r="AI23" s="3">
        <v>2011</v>
      </c>
      <c r="AJ23" s="20">
        <f>INDEX('Historic from 2019 RTP'!$B$2:$E$29,MATCH('College Enrollment Projections'!$AI23,'Historic from 2019 RTP'!$A$2:$A$29,0),MATCH('College Enrollment Projections'!AJ$1,'Historic from 2019 RTP'!$B$1:$E$1,0))</f>
        <v>32722</v>
      </c>
      <c r="AK23" s="20">
        <f>INDEX('Historic from 2019 RTP'!$B$2:$E$29,MATCH('College Enrollment Projections'!$AI23,'Historic from 2019 RTP'!$A$2:$A$29,0),MATCH('College Enrollment Projections'!AK$1,'Historic from 2019 RTP'!$B$1:$E$1,0))</f>
        <v>26256</v>
      </c>
      <c r="AL23" s="37">
        <f>SUM('MAG College Enrollment Forecast'!C25:H25)</f>
        <v>32734</v>
      </c>
      <c r="AM23" s="20">
        <f>INDEX('Historic from 2019 RTP'!$B$2:$E$29,MATCH('College Enrollment Projections'!$AI23,'Historic from 2019 RTP'!$A$2:$A$29,0),MATCH('College Enrollment Projections'!AM$1,'Historic from 2019 RTP'!$B$1:$E$1,0))</f>
        <v>36782</v>
      </c>
      <c r="AN23" s="37">
        <f>'MAG College Enrollment Forecast'!B25</f>
        <v>32980</v>
      </c>
      <c r="AO23" s="4">
        <f t="shared" si="0"/>
        <v>2097.2222222222222</v>
      </c>
      <c r="AP23" s="20">
        <f>VLOOKUP(AI23,Westminster!$A$2:$D$17,4)</f>
        <v>3358</v>
      </c>
      <c r="AS23" s="7"/>
      <c r="AT23" s="7"/>
      <c r="AU23" s="7"/>
      <c r="AV23" s="7"/>
      <c r="AW23" s="7"/>
      <c r="AX23" s="7"/>
      <c r="AY23" s="7"/>
      <c r="AZ23" s="7"/>
    </row>
    <row r="24" spans="1:52" x14ac:dyDescent="0.25">
      <c r="AI24" s="3">
        <v>2012</v>
      </c>
      <c r="AJ24" s="20">
        <f>INDEX('Historic from 2019 RTP'!$B$2:$E$29,MATCH('College Enrollment Projections'!$AI24,'Historic from 2019 RTP'!$A$2:$A$29,0),MATCH('College Enrollment Projections'!AJ$1,'Historic from 2019 RTP'!$B$1:$E$1,0))</f>
        <v>33291</v>
      </c>
      <c r="AK24" s="20">
        <f>INDEX('Historic from 2019 RTP'!$B$2:$E$29,MATCH('College Enrollment Projections'!$AI24,'Historic from 2019 RTP'!$A$2:$A$29,0),MATCH('College Enrollment Projections'!AK$1,'Historic from 2019 RTP'!$B$1:$E$1,0))</f>
        <v>27381</v>
      </c>
      <c r="AL24" s="37">
        <f>SUM('MAG College Enrollment Forecast'!C26:H26)</f>
        <v>31810</v>
      </c>
      <c r="AM24" s="20">
        <f>INDEX('Historic from 2019 RTP'!$B$2:$E$29,MATCH('College Enrollment Projections'!$AI24,'Historic from 2019 RTP'!$A$2:$A$29,0),MATCH('College Enrollment Projections'!AM$1,'Historic from 2019 RTP'!$B$1:$E$1,0))</f>
        <v>35804</v>
      </c>
      <c r="AN24" s="37">
        <f>'MAG College Enrollment Forecast'!B26</f>
        <v>34409</v>
      </c>
      <c r="AO24" s="19">
        <v>2200</v>
      </c>
      <c r="AP24" s="20">
        <f>VLOOKUP(AI24,Westminster!$A$2:$D$17,4)</f>
        <v>3301</v>
      </c>
      <c r="AS24" s="7"/>
      <c r="AT24" s="7"/>
      <c r="AU24" s="7"/>
      <c r="AV24" s="7"/>
      <c r="AW24" s="7"/>
      <c r="AX24" s="7"/>
      <c r="AY24" s="7"/>
      <c r="AZ24" s="7"/>
    </row>
    <row r="25" spans="1:52" x14ac:dyDescent="0.25">
      <c r="AI25" s="3">
        <v>2013</v>
      </c>
      <c r="AJ25" s="20">
        <f>INDEX('Historic from 2019 RTP'!$B$2:$E$29,MATCH('College Enrollment Projections'!$AI25,'Historic from 2019 RTP'!$A$2:$A$29,0),MATCH('College Enrollment Projections'!AJ$1,'Historic from 2019 RTP'!$B$1:$E$1,0))</f>
        <v>36226</v>
      </c>
      <c r="AK25" s="20">
        <f>INDEX('Historic from 2019 RTP'!$B$2:$E$29,MATCH('College Enrollment Projections'!$AI25,'Historic from 2019 RTP'!$A$2:$A$29,0),MATCH('College Enrollment Projections'!AK$1,'Historic from 2019 RTP'!$B$1:$E$1,0))</f>
        <v>25886</v>
      </c>
      <c r="AL25" s="37">
        <f>SUM('MAG College Enrollment Forecast'!C27:H27)</f>
        <v>30880</v>
      </c>
      <c r="AM25" s="20">
        <f>INDEX('Historic from 2019 RTP'!$B$2:$E$29,MATCH('College Enrollment Projections'!$AI25,'Historic from 2019 RTP'!$A$2:$A$29,0),MATCH('College Enrollment Projections'!AM$1,'Historic from 2019 RTP'!$B$1:$E$1,0))</f>
        <v>35043</v>
      </c>
      <c r="AN25" s="37">
        <f>'MAG College Enrollment Forecast'!B27</f>
        <v>31123</v>
      </c>
      <c r="AO25" s="4">
        <f>($AO$28-$AO$24)/($AI$28-$AI$24)*(AI25-$AI$24)+$AO$24</f>
        <v>2179.75</v>
      </c>
      <c r="AP25" s="20">
        <f>VLOOKUP(AI25,Westminster!$A$2:$D$17,4)</f>
        <v>3108</v>
      </c>
      <c r="AS25" s="7"/>
      <c r="AT25" s="7"/>
      <c r="AU25" s="7"/>
      <c r="AV25" s="7"/>
      <c r="AW25" s="7"/>
      <c r="AX25" s="7"/>
      <c r="AY25" s="7"/>
      <c r="AZ25" s="7"/>
    </row>
    <row r="26" spans="1:52" x14ac:dyDescent="0.25">
      <c r="AI26" s="3">
        <v>2014</v>
      </c>
      <c r="AJ26" s="20">
        <f>INDEX('Historic from 2019 RTP'!$B$2:$E$29,MATCH('College Enrollment Projections'!$AI26,'Historic from 2019 RTP'!$A$2:$A$29,0),MATCH('College Enrollment Projections'!AJ$1,'Historic from 2019 RTP'!$B$1:$E$1,0))</f>
        <v>32003</v>
      </c>
      <c r="AK26" s="20">
        <f>INDEX('Historic from 2019 RTP'!$B$2:$E$29,MATCH('College Enrollment Projections'!$AI26,'Historic from 2019 RTP'!$A$2:$A$29,0),MATCH('College Enrollment Projections'!AK$1,'Historic from 2019 RTP'!$B$1:$E$1,0))</f>
        <v>26913</v>
      </c>
      <c r="AL26" s="37">
        <f>SUM('MAG College Enrollment Forecast'!C28:H28)</f>
        <v>31589</v>
      </c>
      <c r="AM26" s="20">
        <f>INDEX('Historic from 2019 RTP'!$B$2:$E$29,MATCH('College Enrollment Projections'!$AI26,'Historic from 2019 RTP'!$A$2:$A$29,0),MATCH('College Enrollment Projections'!AM$1,'Historic from 2019 RTP'!$B$1:$E$1,0))</f>
        <v>33451</v>
      </c>
      <c r="AN26" s="37">
        <f>'MAG College Enrollment Forecast'!B28</f>
        <v>30484</v>
      </c>
      <c r="AO26" s="4">
        <f>($AO$28-$AO$24)/($AI$28-$AI$24)*(AI26-$AI$24)+$AO$24</f>
        <v>2159.5</v>
      </c>
      <c r="AP26" s="20">
        <f>VLOOKUP(AI26,Westminster!$A$2:$D$17,4)</f>
        <v>2991</v>
      </c>
      <c r="AS26" s="7"/>
      <c r="AT26" s="7"/>
      <c r="AU26" s="7"/>
      <c r="AV26" s="7"/>
      <c r="AW26" s="7"/>
      <c r="AX26" s="7"/>
      <c r="AY26" s="7"/>
      <c r="AZ26" s="7"/>
    </row>
    <row r="27" spans="1:52" x14ac:dyDescent="0.25">
      <c r="AI27" s="3">
        <v>2015</v>
      </c>
      <c r="AJ27" s="20">
        <f>INDEX('Historic from 2019 RTP'!$B$2:$E$29,MATCH('College Enrollment Projections'!$AI27,'Historic from 2019 RTP'!$A$2:$A$29,0),MATCH('College Enrollment Projections'!AJ$1,'Historic from 2019 RTP'!$B$1:$E$1,0))</f>
        <v>32155</v>
      </c>
      <c r="AK27" s="20">
        <f>INDEX('Historic from 2019 RTP'!$B$2:$E$29,MATCH('College Enrollment Projections'!$AI27,'Historic from 2019 RTP'!$A$2:$A$29,0),MATCH('College Enrollment Projections'!AK$1,'Historic from 2019 RTP'!$B$1:$E$1,0))</f>
        <v>26252</v>
      </c>
      <c r="AL27" s="37">
        <f>SUM('MAG College Enrollment Forecast'!C29:H29)</f>
        <v>33565</v>
      </c>
      <c r="AM27" s="20">
        <f>INDEX('Historic from 2019 RTP'!$B$2:$E$29,MATCH('College Enrollment Projections'!$AI27,'Historic from 2019 RTP'!$A$2:$A$29,0),MATCH('College Enrollment Projections'!AM$1,'Historic from 2019 RTP'!$B$1:$E$1,0))</f>
        <v>31131</v>
      </c>
      <c r="AN27" s="37">
        <f>'MAG College Enrollment Forecast'!B29</f>
        <v>33469</v>
      </c>
      <c r="AO27" s="4">
        <f>($AO$28-$AO$24)/($AI$28-$AI$24)*(AI27-$AI$24)+$AO$24</f>
        <v>2139.25</v>
      </c>
      <c r="AP27" s="20">
        <f>VLOOKUP(AI27,Westminster!$A$2:$D$17,4)</f>
        <v>2821</v>
      </c>
      <c r="AS27" s="7"/>
      <c r="AT27" s="7"/>
      <c r="AU27" s="7"/>
      <c r="AV27" s="7"/>
      <c r="AW27" s="7"/>
      <c r="AX27" s="7"/>
      <c r="AY27" s="7"/>
      <c r="AZ27" s="7"/>
    </row>
    <row r="28" spans="1:52" x14ac:dyDescent="0.25">
      <c r="AI28" s="3">
        <v>2016</v>
      </c>
      <c r="AJ28" s="20">
        <f>INDEX('Historic from 2019 RTP'!$B$2:$E$29,MATCH('College Enrollment Projections'!$AI28,'Historic from 2019 RTP'!$A$2:$A$29,0),MATCH('College Enrollment Projections'!AJ$1,'Historic from 2019 RTP'!$B$1:$E$1,0))</f>
        <v>32451</v>
      </c>
      <c r="AK28" s="20">
        <f>INDEX('Historic from 2019 RTP'!$B$2:$E$29,MATCH('College Enrollment Projections'!$AI28,'Historic from 2019 RTP'!$A$2:$A$29,0),MATCH('College Enrollment Projections'!AK$1,'Historic from 2019 RTP'!$B$1:$E$1,0))</f>
        <v>27236</v>
      </c>
      <c r="AL28" s="37">
        <f>SUM('MAG College Enrollment Forecast'!C30:H30)</f>
        <v>35126</v>
      </c>
      <c r="AM28" s="20">
        <f>INDEX('Historic from 2019 RTP'!$B$2:$E$29,MATCH('College Enrollment Projections'!$AI28,'Historic from 2019 RTP'!$A$2:$A$29,0),MATCH('College Enrollment Projections'!AM$1,'Historic from 2019 RTP'!$B$1:$E$1,0))</f>
        <v>32133</v>
      </c>
      <c r="AN28" s="37">
        <f>'MAG College Enrollment Forecast'!B30</f>
        <v>34240</v>
      </c>
      <c r="AO28" s="20">
        <f>VLOOKUP($AI28,Ensign!$A$2:$B$7,2,FALSE)</f>
        <v>2119</v>
      </c>
      <c r="AP28" s="20">
        <f>VLOOKUP(AI28,Westminster!$A$2:$D$17,4)</f>
        <v>2692</v>
      </c>
      <c r="AS28" s="7"/>
      <c r="AT28" s="7"/>
      <c r="AU28" s="7"/>
      <c r="AV28" s="7"/>
      <c r="AW28" s="7"/>
      <c r="AX28" s="7"/>
      <c r="AY28" s="7"/>
      <c r="AZ28" s="7"/>
    </row>
    <row r="29" spans="1:52" x14ac:dyDescent="0.25">
      <c r="AI29" s="3">
        <v>2017</v>
      </c>
      <c r="AJ29" s="20">
        <f>INDEX('Historic from 2019 RTP'!$B$2:$E$29,MATCH('College Enrollment Projections'!$AI29,'Historic from 2019 RTP'!$A$2:$A$29,0),MATCH('College Enrollment Projections'!AJ$1,'Historic from 2019 RTP'!$B$1:$E$1,0))</f>
        <v>33153</v>
      </c>
      <c r="AK29" s="20">
        <f>INDEX('Historic from 2019 RTP'!$B$2:$E$29,MATCH('College Enrollment Projections'!$AI29,'Historic from 2019 RTP'!$A$2:$A$29,0),MATCH('College Enrollment Projections'!AK$1,'Historic from 2019 RTP'!$B$1:$E$1,0))</f>
        <v>28379</v>
      </c>
      <c r="AL29" s="37">
        <f>SUM('MAG College Enrollment Forecast'!C31:H31)</f>
        <v>37785</v>
      </c>
      <c r="AM29" s="20">
        <f>INDEX('Historic from 2019 RTP'!$B$2:$E$29,MATCH('College Enrollment Projections'!$AI29,'Historic from 2019 RTP'!$A$2:$A$29,0),MATCH('College Enrollment Projections'!AM$1,'Historic from 2019 RTP'!$B$1:$E$1,0))</f>
        <v>32277</v>
      </c>
      <c r="AN29" s="37">
        <f>'MAG College Enrollment Forecast'!B31</f>
        <v>34334</v>
      </c>
      <c r="AO29" s="20">
        <f>VLOOKUP($AI29,Ensign!$A$2:$B$7,2,FALSE)</f>
        <v>2045</v>
      </c>
      <c r="AP29" s="20">
        <f>VLOOKUP(AI29,Westminster!$A$2:$D$17,4)</f>
        <v>2570</v>
      </c>
      <c r="AS29" s="7"/>
      <c r="AT29" s="7"/>
      <c r="AU29" s="7"/>
      <c r="AV29" s="7"/>
      <c r="AW29" s="7"/>
      <c r="AX29" s="7"/>
      <c r="AY29" s="7"/>
      <c r="AZ29" s="7"/>
    </row>
    <row r="30" spans="1:52" x14ac:dyDescent="0.25">
      <c r="AI30" s="3">
        <v>2018</v>
      </c>
      <c r="AJ30" s="20">
        <f>INDEX('USHE Historic'!$B$4:$H$10,MATCH('College Enrollment Projections'!$AI30,'USHE Historic'!$A$4:$A$10,0),MATCH('College Enrollment Projections'!AJ$1,'USHE Historic'!$B$3:$H$3,0))</f>
        <v>33023</v>
      </c>
      <c r="AK30" s="20">
        <f>INDEX('USHE Historic'!$B$4:$H$10,MATCH('College Enrollment Projections'!$AI30,'USHE Historic'!$A$4:$A$10,0),MATCH('College Enrollment Projections'!AK$1,'USHE Historic'!$B$3:$H$3,0))</f>
        <v>28247</v>
      </c>
      <c r="AL30" s="37">
        <f>SUM('MAG College Enrollment Forecast'!C32:H32)</f>
        <v>39931</v>
      </c>
      <c r="AM30" s="20">
        <f>INDEX('USHE Historic'!$B$4:$H$10,MATCH('College Enrollment Projections'!$AI30,'USHE Historic'!$A$4:$A$10,0),MATCH('College Enrollment Projections'!AM$1,'USHE Historic'!$B$3:$H$3,0))</f>
        <v>29156</v>
      </c>
      <c r="AN30" s="37">
        <f>'MAG College Enrollment Forecast'!B32</f>
        <v>34499</v>
      </c>
      <c r="AO30" s="20">
        <f>VLOOKUP($AI30,Ensign!$A$2:$B$7,2,FALSE)</f>
        <v>1996</v>
      </c>
      <c r="AP30" s="20">
        <f>VLOOKUP(AI30,Westminster!$A$2:$D$17,4)</f>
        <v>2477</v>
      </c>
      <c r="AS30" s="7"/>
      <c r="AT30" s="7"/>
      <c r="AU30" s="7"/>
      <c r="AV30" s="7"/>
      <c r="AW30" s="7"/>
      <c r="AX30" s="7"/>
      <c r="AY30" s="7"/>
      <c r="AZ30" s="7"/>
    </row>
    <row r="31" spans="1:52" x14ac:dyDescent="0.25">
      <c r="AI31" s="3">
        <v>2019</v>
      </c>
      <c r="AJ31" s="20">
        <f>INDEX('USHE Historic'!$B$4:$H$10,MATCH('College Enrollment Projections'!$AI31,'USHE Historic'!$A$4:$A$10,0),MATCH('College Enrollment Projections'!AJ$1,'USHE Historic'!$B$3:$H$3,0))</f>
        <v>32852</v>
      </c>
      <c r="AK31" s="20">
        <f>INDEX('USHE Historic'!$B$4:$H$10,MATCH('College Enrollment Projections'!$AI31,'USHE Historic'!$A$4:$A$10,0),MATCH('College Enrollment Projections'!AK$1,'USHE Historic'!$B$3:$H$3,0))</f>
        <v>29644</v>
      </c>
      <c r="AL31" s="37">
        <f>SUM('MAG College Enrollment Forecast'!C33:H33)</f>
        <v>41728</v>
      </c>
      <c r="AM31" s="20">
        <f>INDEX('USHE Historic'!$B$4:$H$10,MATCH('College Enrollment Projections'!$AI31,'USHE Historic'!$A$4:$A$10,0),MATCH('College Enrollment Projections'!AM$1,'USHE Historic'!$B$3:$H$3,0))</f>
        <v>29517</v>
      </c>
      <c r="AN31" s="37">
        <f>'MAG College Enrollment Forecast'!B33</f>
        <v>34318</v>
      </c>
      <c r="AO31" s="20">
        <f>VLOOKUP($AI31,Ensign!$A$2:$B$7,2,FALSE)</f>
        <v>1929</v>
      </c>
      <c r="AP31" s="20">
        <f>VLOOKUP(AI31,Westminster!$A$2:$D$17,4)</f>
        <v>2215</v>
      </c>
      <c r="AS31" s="7"/>
      <c r="AT31" s="7"/>
      <c r="AU31" s="7"/>
      <c r="AV31" s="7"/>
      <c r="AW31" s="7"/>
      <c r="AX31" s="7"/>
      <c r="AY31" s="7"/>
      <c r="AZ31" s="7"/>
    </row>
    <row r="32" spans="1:52" x14ac:dyDescent="0.25">
      <c r="AI32" s="3">
        <v>2020</v>
      </c>
      <c r="AJ32" s="20">
        <f>INDEX('USHE Historic'!$B$4:$H$10,MATCH('College Enrollment Projections'!$AI32,'USHE Historic'!$A$4:$A$10,0),MATCH('College Enrollment Projections'!AJ$1,'USHE Historic'!$B$3:$H$3,0))</f>
        <v>33080</v>
      </c>
      <c r="AK32" s="20">
        <f>INDEX('USHE Historic'!$B$4:$H$10,MATCH('College Enrollment Projections'!$AI32,'USHE Historic'!$A$4:$A$10,0),MATCH('College Enrollment Projections'!AK$1,'USHE Historic'!$B$3:$H$3,0))</f>
        <v>29596</v>
      </c>
      <c r="AL32" s="37">
        <f>SUM('MAG College Enrollment Forecast'!C34:H34)</f>
        <v>40936</v>
      </c>
      <c r="AM32" s="20">
        <f>INDEX('USHE Historic'!$B$4:$H$10,MATCH('College Enrollment Projections'!$AI32,'USHE Historic'!$A$4:$A$10,0),MATCH('College Enrollment Projections'!AM$1,'USHE Historic'!$B$3:$H$3,0))</f>
        <v>27293</v>
      </c>
      <c r="AN32" s="37">
        <f>'MAG College Enrollment Forecast'!B34</f>
        <v>36461</v>
      </c>
      <c r="AO32" s="26">
        <f t="shared" ref="AO32:AO60" si="1">AO33</f>
        <v>2000</v>
      </c>
      <c r="AP32" s="20">
        <f>VLOOKUP(AI32,Westminster!$A$2:$D$17,4)</f>
        <v>1850</v>
      </c>
      <c r="AS32" s="7"/>
      <c r="AT32" s="7"/>
      <c r="AU32" s="7"/>
      <c r="AV32" s="7"/>
      <c r="AW32" s="7"/>
      <c r="AX32" s="7"/>
      <c r="AY32" s="7"/>
      <c r="AZ32" s="7"/>
    </row>
    <row r="33" spans="35:52" x14ac:dyDescent="0.25">
      <c r="AI33" s="3">
        <v>2021</v>
      </c>
      <c r="AJ33" s="20">
        <f>INDEX('USHE Historic'!$B$4:$H$10,MATCH('College Enrollment Projections'!$AI33,'USHE Historic'!$A$4:$A$10,0),MATCH('College Enrollment Projections'!AJ$1,'USHE Historic'!$B$3:$H$3,0))</f>
        <v>34462</v>
      </c>
      <c r="AK33" s="20">
        <f>INDEX('USHE Historic'!$B$4:$H$10,MATCH('College Enrollment Projections'!$AI33,'USHE Historic'!$A$4:$A$10,0),MATCH('College Enrollment Projections'!AK$1,'USHE Historic'!$B$3:$H$3,0))</f>
        <v>29774</v>
      </c>
      <c r="AL33" s="37">
        <f>SUM('MAG College Enrollment Forecast'!C35:H35)</f>
        <v>41262</v>
      </c>
      <c r="AM33" s="20">
        <f>INDEX('USHE Historic'!$B$4:$H$10,MATCH('College Enrollment Projections'!$AI33,'USHE Historic'!$A$4:$A$10,0),MATCH('College Enrollment Projections'!AM$1,'USHE Historic'!$B$3:$H$3,0))</f>
        <v>27225</v>
      </c>
      <c r="AN33" s="37">
        <f>'MAG College Enrollment Forecast'!B35</f>
        <v>35615</v>
      </c>
      <c r="AO33" s="26">
        <f t="shared" si="1"/>
        <v>2000</v>
      </c>
      <c r="AP33" s="20">
        <f>VLOOKUP(AI33,Westminster!$A$2:$D$17,4)</f>
        <v>1535</v>
      </c>
      <c r="AS33" s="7"/>
      <c r="AT33" s="7"/>
      <c r="AU33" s="7"/>
      <c r="AV33" s="7"/>
      <c r="AW33" s="7"/>
      <c r="AX33" s="7"/>
      <c r="AY33" s="7"/>
      <c r="AZ33" s="7"/>
    </row>
    <row r="34" spans="35:52" x14ac:dyDescent="0.25">
      <c r="AI34" s="3">
        <v>2022</v>
      </c>
      <c r="AJ34" s="20">
        <f>INDEX('USHE Historic'!$B$4:$H$10,MATCH('College Enrollment Projections'!$AI34,'USHE Historic'!$A$4:$A$10,0),MATCH('College Enrollment Projections'!AJ$1,'USHE Historic'!$B$3:$H$3,0))</f>
        <v>34734</v>
      </c>
      <c r="AK34" s="20">
        <f>INDEX('USHE Historic'!$B$4:$H$10,MATCH('College Enrollment Projections'!$AI34,'USHE Historic'!$A$4:$A$10,0),MATCH('College Enrollment Projections'!AK$1,'USHE Historic'!$B$3:$H$3,0))</f>
        <v>29914</v>
      </c>
      <c r="AL34" s="37">
        <f>SUM('MAG College Enrollment Forecast'!C36:H36)</f>
        <v>43099</v>
      </c>
      <c r="AM34" s="20">
        <f>INDEX('USHE Historic'!$B$4:$H$10,MATCH('College Enrollment Projections'!$AI34,'USHE Historic'!$A$4:$A$10,0),MATCH('College Enrollment Projections'!AM$1,'USHE Historic'!$B$3:$H$3,0))</f>
        <v>26348</v>
      </c>
      <c r="AN34" s="37">
        <f>'MAG College Enrollment Forecast'!B36</f>
        <v>34737</v>
      </c>
      <c r="AO34" s="26">
        <f t="shared" si="1"/>
        <v>2000</v>
      </c>
      <c r="AP34" s="4">
        <v>2500</v>
      </c>
      <c r="AS34" s="7"/>
      <c r="AT34" s="7"/>
      <c r="AU34" s="7"/>
      <c r="AV34" s="7"/>
      <c r="AW34" s="7"/>
      <c r="AX34" s="7"/>
      <c r="AY34" s="7"/>
      <c r="AZ34" s="7"/>
    </row>
    <row r="35" spans="35:52" x14ac:dyDescent="0.25">
      <c r="AI35" s="3">
        <v>2023</v>
      </c>
      <c r="AJ35" s="27">
        <f>INDEX('USHE Projections'!$B$2:$E$11,MATCH('College Enrollment Projections'!$AI35,'USHE Projections'!$A$2:$A$11,0),MATCH('College Enrollment Projections'!AJ$1,'USHE Projections'!$B$1:$E$1,0))</f>
        <v>36050</v>
      </c>
      <c r="AK35" s="27">
        <f>INDEX('USHE Projections'!$B$2:$E$11,MATCH('College Enrollment Projections'!$AI35,'USHE Projections'!$A$2:$A$11,0),MATCH('College Enrollment Projections'!AK$1,'USHE Projections'!$B$1:$E$1,0))</f>
        <v>31443</v>
      </c>
      <c r="AL35" s="37">
        <f>SUM('MAG College Enrollment Forecast'!C37:H37)</f>
        <v>44749</v>
      </c>
      <c r="AM35" s="27">
        <f>INDEX('USHE Projections'!$B$2:$E$11,MATCH('College Enrollment Projections'!$AI35,'USHE Projections'!$A$2:$A$11,0),MATCH('College Enrollment Projections'!AM$1,'USHE Projections'!$B$1:$E$1,0))</f>
        <v>32462</v>
      </c>
      <c r="AN35" s="37">
        <f>'MAG College Enrollment Forecast'!B37</f>
        <v>36377</v>
      </c>
      <c r="AO35" s="26">
        <f t="shared" si="1"/>
        <v>2000</v>
      </c>
      <c r="AP35" s="4">
        <v>2500</v>
      </c>
      <c r="AS35" s="7"/>
      <c r="AT35" s="7"/>
      <c r="AU35" s="7"/>
      <c r="AV35" s="7"/>
      <c r="AW35" s="7"/>
      <c r="AX35" s="7"/>
      <c r="AY35" s="7"/>
      <c r="AZ35" s="7"/>
    </row>
    <row r="36" spans="35:52" x14ac:dyDescent="0.25">
      <c r="AI36" s="3">
        <v>2024</v>
      </c>
      <c r="AJ36" s="27">
        <f>INDEX('USHE Projections'!$B$2:$E$11,MATCH('College Enrollment Projections'!$AI36,'USHE Projections'!$A$2:$A$11,0),MATCH('College Enrollment Projections'!AJ$1,'USHE Projections'!$B$1:$E$1,0))</f>
        <v>36571</v>
      </c>
      <c r="AK36" s="27">
        <f>INDEX('USHE Projections'!$B$2:$E$11,MATCH('College Enrollment Projections'!$AI36,'USHE Projections'!$A$2:$A$11,0),MATCH('College Enrollment Projections'!AK$1,'USHE Projections'!$B$1:$E$1,0))</f>
        <v>31784</v>
      </c>
      <c r="AL36" s="37">
        <f>SUM('MAG College Enrollment Forecast'!C38:H38)</f>
        <v>46412</v>
      </c>
      <c r="AM36" s="27">
        <f>INDEX('USHE Projections'!$B$2:$E$11,MATCH('College Enrollment Projections'!$AI36,'USHE Projections'!$A$2:$A$11,0),MATCH('College Enrollment Projections'!AM$1,'USHE Projections'!$B$1:$E$1,0))</f>
        <v>32552</v>
      </c>
      <c r="AN36" s="37">
        <f>'MAG College Enrollment Forecast'!B38</f>
        <v>36921</v>
      </c>
      <c r="AO36" s="26">
        <f t="shared" si="1"/>
        <v>2000</v>
      </c>
      <c r="AP36" s="4">
        <v>2500</v>
      </c>
      <c r="AS36" s="7"/>
      <c r="AT36" s="7"/>
      <c r="AU36" s="7"/>
      <c r="AV36" s="7"/>
      <c r="AW36" s="7"/>
      <c r="AX36" s="7"/>
      <c r="AY36" s="7"/>
      <c r="AZ36" s="7"/>
    </row>
    <row r="37" spans="35:52" x14ac:dyDescent="0.25">
      <c r="AI37" s="3">
        <v>2025</v>
      </c>
      <c r="AJ37" s="27">
        <f>INDEX('USHE Projections'!$B$2:$E$11,MATCH('College Enrollment Projections'!$AI37,'USHE Projections'!$A$2:$A$11,0),MATCH('College Enrollment Projections'!AJ$1,'USHE Projections'!$B$1:$E$1,0))</f>
        <v>36873</v>
      </c>
      <c r="AK37" s="27">
        <f>INDEX('USHE Projections'!$B$2:$E$11,MATCH('College Enrollment Projections'!$AI37,'USHE Projections'!$A$2:$A$11,0),MATCH('College Enrollment Projections'!AK$1,'USHE Projections'!$B$1:$E$1,0))</f>
        <v>32055</v>
      </c>
      <c r="AL37" s="37">
        <f>SUM('MAG College Enrollment Forecast'!C39:H39)</f>
        <v>48161</v>
      </c>
      <c r="AM37" s="27">
        <f>INDEX('USHE Projections'!$B$2:$E$11,MATCH('College Enrollment Projections'!$AI37,'USHE Projections'!$A$2:$A$11,0),MATCH('College Enrollment Projections'!AM$1,'USHE Projections'!$B$1:$E$1,0))</f>
        <v>32557</v>
      </c>
      <c r="AN37" s="37">
        <f>'MAG College Enrollment Forecast'!B39</f>
        <v>37477</v>
      </c>
      <c r="AO37" s="26">
        <f t="shared" si="1"/>
        <v>2000</v>
      </c>
      <c r="AP37" s="4">
        <v>2500</v>
      </c>
      <c r="AS37" s="7"/>
      <c r="AT37" s="7"/>
      <c r="AU37" s="7"/>
      <c r="AV37" s="7"/>
      <c r="AW37" s="7"/>
      <c r="AX37" s="7"/>
      <c r="AY37" s="7"/>
      <c r="AZ37" s="7"/>
    </row>
    <row r="38" spans="35:52" x14ac:dyDescent="0.25">
      <c r="AI38" s="3">
        <v>2026</v>
      </c>
      <c r="AJ38" s="27">
        <f>INDEX('USHE Projections'!$B$2:$E$11,MATCH('College Enrollment Projections'!$AI38,'USHE Projections'!$A$2:$A$11,0),MATCH('College Enrollment Projections'!AJ$1,'USHE Projections'!$B$1:$E$1,0))</f>
        <v>37086</v>
      </c>
      <c r="AK38" s="27">
        <f>INDEX('USHE Projections'!$B$2:$E$11,MATCH('College Enrollment Projections'!$AI38,'USHE Projections'!$A$2:$A$11,0),MATCH('College Enrollment Projections'!AK$1,'USHE Projections'!$B$1:$E$1,0))</f>
        <v>32380</v>
      </c>
      <c r="AL38" s="37">
        <f>SUM('MAG College Enrollment Forecast'!C40:H40)</f>
        <v>49562</v>
      </c>
      <c r="AM38" s="27">
        <f>INDEX('USHE Projections'!$B$2:$E$11,MATCH('College Enrollment Projections'!$AI38,'USHE Projections'!$A$2:$A$11,0),MATCH('College Enrollment Projections'!AM$1,'USHE Projections'!$B$1:$E$1,0))</f>
        <v>32490</v>
      </c>
      <c r="AN38" s="37">
        <f>'MAG College Enrollment Forecast'!B40</f>
        <v>37514</v>
      </c>
      <c r="AO38" s="26">
        <f t="shared" si="1"/>
        <v>2000</v>
      </c>
      <c r="AP38" s="4">
        <v>2500</v>
      </c>
      <c r="AS38" s="7"/>
      <c r="AT38" s="7"/>
      <c r="AU38" s="7"/>
      <c r="AV38" s="7"/>
      <c r="AW38" s="7"/>
      <c r="AX38" s="7"/>
      <c r="AY38" s="7"/>
      <c r="AZ38" s="7"/>
    </row>
    <row r="39" spans="35:52" x14ac:dyDescent="0.25">
      <c r="AI39" s="3">
        <v>2027</v>
      </c>
      <c r="AJ39" s="27">
        <f>INDEX('USHE Projections'!$B$2:$E$11,MATCH('College Enrollment Projections'!$AI39,'USHE Projections'!$A$2:$A$11,0),MATCH('College Enrollment Projections'!AJ$1,'USHE Projections'!$B$1:$E$1,0))</f>
        <v>37266</v>
      </c>
      <c r="AK39" s="27">
        <f>INDEX('USHE Projections'!$B$2:$E$11,MATCH('College Enrollment Projections'!$AI39,'USHE Projections'!$A$2:$A$11,0),MATCH('College Enrollment Projections'!AK$1,'USHE Projections'!$B$1:$E$1,0))</f>
        <v>32709</v>
      </c>
      <c r="AL39" s="37">
        <f>SUM('MAG College Enrollment Forecast'!C41:H41)</f>
        <v>50678</v>
      </c>
      <c r="AM39" s="27">
        <f>INDEX('USHE Projections'!$B$2:$E$11,MATCH('College Enrollment Projections'!$AI39,'USHE Projections'!$A$2:$A$11,0),MATCH('College Enrollment Projections'!AM$1,'USHE Projections'!$B$1:$E$1,0))</f>
        <v>32395</v>
      </c>
      <c r="AN39" s="37">
        <f>'MAG College Enrollment Forecast'!B41</f>
        <v>37551</v>
      </c>
      <c r="AO39" s="26">
        <f t="shared" si="1"/>
        <v>2000</v>
      </c>
      <c r="AP39" s="4">
        <v>2500</v>
      </c>
      <c r="AS39" s="7"/>
      <c r="AT39" s="7"/>
      <c r="AU39" s="7"/>
      <c r="AV39" s="7"/>
      <c r="AW39" s="7"/>
      <c r="AX39" s="7"/>
      <c r="AY39" s="7"/>
      <c r="AZ39" s="7"/>
    </row>
    <row r="40" spans="35:52" x14ac:dyDescent="0.25">
      <c r="AI40" s="3">
        <v>2028</v>
      </c>
      <c r="AJ40" s="27">
        <f>INDEX('USHE Projections'!$B$2:$E$11,MATCH('College Enrollment Projections'!$AI40,'USHE Projections'!$A$2:$A$11,0),MATCH('College Enrollment Projections'!AJ$1,'USHE Projections'!$B$1:$E$1,0))</f>
        <v>37324</v>
      </c>
      <c r="AK40" s="27">
        <f>INDEX('USHE Projections'!$B$2:$E$11,MATCH('College Enrollment Projections'!$AI40,'USHE Projections'!$A$2:$A$11,0),MATCH('College Enrollment Projections'!AK$1,'USHE Projections'!$B$1:$E$1,0))</f>
        <v>33073</v>
      </c>
      <c r="AL40" s="37">
        <f>SUM('MAG College Enrollment Forecast'!C42:H42)</f>
        <v>51665</v>
      </c>
      <c r="AM40" s="27">
        <f>INDEX('USHE Projections'!$B$2:$E$11,MATCH('College Enrollment Projections'!$AI40,'USHE Projections'!$A$2:$A$11,0),MATCH('College Enrollment Projections'!AM$1,'USHE Projections'!$B$1:$E$1,0))</f>
        <v>32219</v>
      </c>
      <c r="AN40" s="37">
        <f>'MAG College Enrollment Forecast'!B42</f>
        <v>37588</v>
      </c>
      <c r="AO40" s="26">
        <f t="shared" si="1"/>
        <v>2000</v>
      </c>
      <c r="AP40" s="4">
        <v>2500</v>
      </c>
      <c r="AS40" s="7"/>
      <c r="AT40" s="7"/>
      <c r="AU40" s="7"/>
      <c r="AV40" s="7"/>
      <c r="AW40" s="7"/>
      <c r="AX40" s="7"/>
      <c r="AY40" s="7"/>
      <c r="AZ40" s="7"/>
    </row>
    <row r="41" spans="35:52" x14ac:dyDescent="0.25">
      <c r="AI41" s="3">
        <v>2029</v>
      </c>
      <c r="AJ41" s="26">
        <f>(AJ$62-AJ$40)/($AI$62-$AI$40) * ($AI41-$AI$40) + AJ$40</f>
        <v>37582</v>
      </c>
      <c r="AK41" s="26">
        <f t="shared" ref="AK41:AM41" si="2">(AK$62-AK$40)/($AI$62-$AI$40) * ($AI41-$AI$40) + AK$40</f>
        <v>33524.227272727272</v>
      </c>
      <c r="AL41" s="37">
        <f>SUM('MAG College Enrollment Forecast'!C43:H43)</f>
        <v>52522</v>
      </c>
      <c r="AM41" s="26">
        <f t="shared" si="2"/>
        <v>32572.68181818182</v>
      </c>
      <c r="AN41" s="37">
        <f>'MAG College Enrollment Forecast'!B43</f>
        <v>37625</v>
      </c>
      <c r="AO41" s="26">
        <f t="shared" si="1"/>
        <v>2000</v>
      </c>
      <c r="AP41" s="4">
        <v>2500</v>
      </c>
    </row>
    <row r="42" spans="35:52" x14ac:dyDescent="0.25">
      <c r="AI42" s="3">
        <v>2030</v>
      </c>
      <c r="AJ42" s="26">
        <f t="shared" ref="AJ42:AM61" si="3">(AJ$62-AJ$40)/($AI$62-$AI$40) * ($AI42-$AI$40) + AJ$40</f>
        <v>37840</v>
      </c>
      <c r="AK42" s="26">
        <f t="shared" si="3"/>
        <v>33975.454545454544</v>
      </c>
      <c r="AL42" s="37">
        <f>SUM('MAG College Enrollment Forecast'!C44:H44)</f>
        <v>53756</v>
      </c>
      <c r="AM42" s="26">
        <f t="shared" si="3"/>
        <v>32926.36363636364</v>
      </c>
      <c r="AN42" s="37">
        <f>'MAG College Enrollment Forecast'!B44</f>
        <v>37662</v>
      </c>
      <c r="AO42" s="26">
        <f t="shared" si="1"/>
        <v>2000</v>
      </c>
      <c r="AP42" s="4">
        <v>2500</v>
      </c>
    </row>
    <row r="43" spans="35:52" x14ac:dyDescent="0.25">
      <c r="AI43" s="3">
        <v>2031</v>
      </c>
      <c r="AJ43" s="26">
        <f t="shared" si="3"/>
        <v>38098</v>
      </c>
      <c r="AK43" s="26">
        <f t="shared" si="3"/>
        <v>34426.681818181816</v>
      </c>
      <c r="AL43" s="37">
        <f>SUM('MAG College Enrollment Forecast'!C45:H45)</f>
        <v>54990</v>
      </c>
      <c r="AM43" s="26">
        <f t="shared" si="3"/>
        <v>33280.045454545456</v>
      </c>
      <c r="AN43" s="37">
        <f>'MAG College Enrollment Forecast'!B45</f>
        <v>37699</v>
      </c>
      <c r="AO43" s="26">
        <f t="shared" si="1"/>
        <v>2000</v>
      </c>
      <c r="AP43" s="4">
        <v>2500</v>
      </c>
    </row>
    <row r="44" spans="35:52" x14ac:dyDescent="0.25">
      <c r="AI44" s="3">
        <v>2032</v>
      </c>
      <c r="AJ44" s="26">
        <f t="shared" si="3"/>
        <v>38356</v>
      </c>
      <c r="AK44" s="26">
        <f t="shared" si="3"/>
        <v>34877.909090909088</v>
      </c>
      <c r="AL44" s="37">
        <f>SUM('MAG College Enrollment Forecast'!C46:H46)</f>
        <v>56223</v>
      </c>
      <c r="AM44" s="26">
        <f t="shared" si="3"/>
        <v>33633.727272727272</v>
      </c>
      <c r="AN44" s="37">
        <f>'MAG College Enrollment Forecast'!B46</f>
        <v>37736</v>
      </c>
      <c r="AO44" s="26">
        <f t="shared" si="1"/>
        <v>2000</v>
      </c>
      <c r="AP44" s="4">
        <v>2500</v>
      </c>
    </row>
    <row r="45" spans="35:52" x14ac:dyDescent="0.25">
      <c r="AI45" s="3">
        <v>2033</v>
      </c>
      <c r="AJ45" s="26">
        <f t="shared" si="3"/>
        <v>38614</v>
      </c>
      <c r="AK45" s="26">
        <f t="shared" si="3"/>
        <v>35329.136363636368</v>
      </c>
      <c r="AL45" s="37">
        <f>SUM('MAG College Enrollment Forecast'!C47:H47)</f>
        <v>57457</v>
      </c>
      <c r="AM45" s="26">
        <f t="shared" si="3"/>
        <v>33987.409090909088</v>
      </c>
      <c r="AN45" s="37">
        <f>'MAG College Enrollment Forecast'!B47</f>
        <v>37773</v>
      </c>
      <c r="AO45" s="26">
        <f t="shared" si="1"/>
        <v>2000</v>
      </c>
      <c r="AP45" s="32">
        <f>(AP$62-AP$44)/($AI$62-$AI$44) * ($AI45-$AI$44) + AP$44</f>
        <v>2527.7777777777778</v>
      </c>
    </row>
    <row r="46" spans="35:52" x14ac:dyDescent="0.25">
      <c r="AI46" s="3">
        <v>2034</v>
      </c>
      <c r="AJ46" s="26">
        <f t="shared" si="3"/>
        <v>38872</v>
      </c>
      <c r="AK46" s="26">
        <f t="shared" si="3"/>
        <v>35780.36363636364</v>
      </c>
      <c r="AL46" s="37">
        <f>SUM('MAG College Enrollment Forecast'!C48:H48)</f>
        <v>58691</v>
      </c>
      <c r="AM46" s="26">
        <f t="shared" si="3"/>
        <v>34341.090909090912</v>
      </c>
      <c r="AN46" s="37">
        <f>'MAG College Enrollment Forecast'!B48</f>
        <v>37810</v>
      </c>
      <c r="AO46" s="26">
        <f t="shared" si="1"/>
        <v>2000</v>
      </c>
      <c r="AP46" s="4">
        <f t="shared" ref="AP46:AP61" si="4">(AP$62-AP$44)/($AI$62-$AI$44) * ($AI46-$AI$44) + AP$44</f>
        <v>2555.5555555555557</v>
      </c>
    </row>
    <row r="47" spans="35:52" x14ac:dyDescent="0.25">
      <c r="AI47" s="3">
        <v>2035</v>
      </c>
      <c r="AJ47" s="26">
        <f t="shared" si="3"/>
        <v>39130</v>
      </c>
      <c r="AK47" s="26">
        <f t="shared" si="3"/>
        <v>36231.590909090912</v>
      </c>
      <c r="AL47" s="37">
        <f>SUM('MAG College Enrollment Forecast'!C49:H49)</f>
        <v>59925</v>
      </c>
      <c r="AM47" s="26">
        <f t="shared" si="3"/>
        <v>34694.772727272728</v>
      </c>
      <c r="AN47" s="37">
        <f>'MAG College Enrollment Forecast'!B49</f>
        <v>37847</v>
      </c>
      <c r="AO47" s="26">
        <f t="shared" si="1"/>
        <v>2000</v>
      </c>
      <c r="AP47" s="4">
        <f t="shared" si="4"/>
        <v>2583.3333333333335</v>
      </c>
    </row>
    <row r="48" spans="35:52" x14ac:dyDescent="0.25">
      <c r="AI48" s="3">
        <v>2036</v>
      </c>
      <c r="AJ48" s="26">
        <f t="shared" si="3"/>
        <v>39388</v>
      </c>
      <c r="AK48" s="26">
        <f t="shared" si="3"/>
        <v>36682.818181818184</v>
      </c>
      <c r="AL48" s="37">
        <f>SUM('MAG College Enrollment Forecast'!C50:H50)</f>
        <v>61158</v>
      </c>
      <c r="AM48" s="26">
        <f t="shared" si="3"/>
        <v>35048.454545454544</v>
      </c>
      <c r="AN48" s="37">
        <f>'MAG College Enrollment Forecast'!B50</f>
        <v>37884</v>
      </c>
      <c r="AO48" s="26">
        <f t="shared" si="1"/>
        <v>2000</v>
      </c>
      <c r="AP48" s="4">
        <f t="shared" si="4"/>
        <v>2611.1111111111113</v>
      </c>
    </row>
    <row r="49" spans="33:42" x14ac:dyDescent="0.25">
      <c r="AI49" s="3">
        <v>2037</v>
      </c>
      <c r="AJ49" s="26">
        <f t="shared" si="3"/>
        <v>39646</v>
      </c>
      <c r="AK49" s="26">
        <f t="shared" si="3"/>
        <v>37134.045454545456</v>
      </c>
      <c r="AL49" s="37">
        <f>SUM('MAG College Enrollment Forecast'!C51:H51)</f>
        <v>62392</v>
      </c>
      <c r="AM49" s="26">
        <f t="shared" si="3"/>
        <v>35402.13636363636</v>
      </c>
      <c r="AN49" s="37">
        <f>'MAG College Enrollment Forecast'!B51</f>
        <v>37921</v>
      </c>
      <c r="AO49" s="26">
        <f t="shared" si="1"/>
        <v>2000</v>
      </c>
      <c r="AP49" s="4">
        <f t="shared" si="4"/>
        <v>2638.8888888888887</v>
      </c>
    </row>
    <row r="50" spans="33:42" x14ac:dyDescent="0.25">
      <c r="AI50" s="3">
        <v>2038</v>
      </c>
      <c r="AJ50" s="26">
        <f t="shared" si="3"/>
        <v>39904</v>
      </c>
      <c r="AK50" s="26">
        <f t="shared" si="3"/>
        <v>37585.272727272728</v>
      </c>
      <c r="AL50" s="37">
        <f>SUM('MAG College Enrollment Forecast'!C52:H52)</f>
        <v>63626</v>
      </c>
      <c r="AM50" s="26">
        <f t="shared" si="3"/>
        <v>35755.818181818184</v>
      </c>
      <c r="AN50" s="37">
        <f>'MAG College Enrollment Forecast'!B52</f>
        <v>37958</v>
      </c>
      <c r="AO50" s="26">
        <f t="shared" si="1"/>
        <v>2000</v>
      </c>
      <c r="AP50" s="4">
        <f t="shared" si="4"/>
        <v>2666.6666666666665</v>
      </c>
    </row>
    <row r="51" spans="33:42" x14ac:dyDescent="0.25">
      <c r="AI51" s="3">
        <v>2039</v>
      </c>
      <c r="AJ51" s="26">
        <f t="shared" si="3"/>
        <v>40162</v>
      </c>
      <c r="AK51" s="26">
        <f t="shared" si="3"/>
        <v>38036.5</v>
      </c>
      <c r="AL51" s="37">
        <f>SUM('MAG College Enrollment Forecast'!C53:H53)</f>
        <v>64860</v>
      </c>
      <c r="AM51" s="26">
        <f t="shared" si="3"/>
        <v>36109.5</v>
      </c>
      <c r="AN51" s="37">
        <f>'MAG College Enrollment Forecast'!B53</f>
        <v>37995</v>
      </c>
      <c r="AO51" s="26">
        <f t="shared" si="1"/>
        <v>2000</v>
      </c>
      <c r="AP51" s="4">
        <f t="shared" si="4"/>
        <v>2694.4444444444443</v>
      </c>
    </row>
    <row r="52" spans="33:42" x14ac:dyDescent="0.25">
      <c r="AI52" s="3">
        <v>2040</v>
      </c>
      <c r="AJ52" s="26">
        <f t="shared" si="3"/>
        <v>40420</v>
      </c>
      <c r="AK52" s="26">
        <f t="shared" si="3"/>
        <v>38487.727272727272</v>
      </c>
      <c r="AL52" s="37">
        <f>SUM('MAG College Enrollment Forecast'!C54:H54)</f>
        <v>66093</v>
      </c>
      <c r="AM52" s="26">
        <f t="shared" si="3"/>
        <v>36463.181818181816</v>
      </c>
      <c r="AN52" s="37">
        <f>'MAG College Enrollment Forecast'!B54</f>
        <v>38032</v>
      </c>
      <c r="AO52" s="26">
        <f t="shared" si="1"/>
        <v>2000</v>
      </c>
      <c r="AP52" s="4">
        <f t="shared" si="4"/>
        <v>2722.2222222222222</v>
      </c>
    </row>
    <row r="53" spans="33:42" x14ac:dyDescent="0.25">
      <c r="AI53" s="3">
        <v>2041</v>
      </c>
      <c r="AJ53" s="26">
        <f t="shared" si="3"/>
        <v>40678</v>
      </c>
      <c r="AK53" s="26">
        <f t="shared" si="3"/>
        <v>38938.954545454544</v>
      </c>
      <c r="AL53" s="37">
        <f>SUM('MAG College Enrollment Forecast'!C55:H55)</f>
        <v>67327</v>
      </c>
      <c r="AM53" s="26">
        <f t="shared" si="3"/>
        <v>36816.863636363632</v>
      </c>
      <c r="AN53" s="37">
        <f>'MAG College Enrollment Forecast'!B55</f>
        <v>38069</v>
      </c>
      <c r="AO53" s="26">
        <f t="shared" si="1"/>
        <v>2000</v>
      </c>
      <c r="AP53" s="4">
        <f t="shared" si="4"/>
        <v>2750</v>
      </c>
    </row>
    <row r="54" spans="33:42" x14ac:dyDescent="0.25">
      <c r="AI54" s="3">
        <v>2042</v>
      </c>
      <c r="AJ54" s="26">
        <f t="shared" si="3"/>
        <v>40936</v>
      </c>
      <c r="AK54" s="26">
        <f t="shared" si="3"/>
        <v>39390.181818181816</v>
      </c>
      <c r="AL54" s="37">
        <f>SUM('MAG College Enrollment Forecast'!C56:H56)</f>
        <v>68561</v>
      </c>
      <c r="AM54" s="26">
        <f t="shared" si="3"/>
        <v>37170.545454545456</v>
      </c>
      <c r="AN54" s="37">
        <f>'MAG College Enrollment Forecast'!B56</f>
        <v>38106</v>
      </c>
      <c r="AO54" s="26">
        <f t="shared" si="1"/>
        <v>2000</v>
      </c>
      <c r="AP54" s="4">
        <f t="shared" si="4"/>
        <v>2777.7777777777778</v>
      </c>
    </row>
    <row r="55" spans="33:42" x14ac:dyDescent="0.25">
      <c r="AI55" s="3">
        <v>2043</v>
      </c>
      <c r="AJ55" s="26">
        <f t="shared" si="3"/>
        <v>41194</v>
      </c>
      <c r="AK55" s="26">
        <f t="shared" si="3"/>
        <v>39841.409090909088</v>
      </c>
      <c r="AL55" s="37">
        <f>SUM('MAG College Enrollment Forecast'!C57:H57)</f>
        <v>69795</v>
      </c>
      <c r="AM55" s="26">
        <f t="shared" si="3"/>
        <v>37524.227272727272</v>
      </c>
      <c r="AN55" s="37">
        <f>'MAG College Enrollment Forecast'!B57</f>
        <v>38143</v>
      </c>
      <c r="AO55" s="26">
        <f t="shared" si="1"/>
        <v>2000</v>
      </c>
      <c r="AP55" s="4">
        <f t="shared" si="4"/>
        <v>2805.5555555555557</v>
      </c>
    </row>
    <row r="56" spans="33:42" x14ac:dyDescent="0.25">
      <c r="AI56" s="3">
        <v>2044</v>
      </c>
      <c r="AJ56" s="26">
        <f t="shared" si="3"/>
        <v>41452</v>
      </c>
      <c r="AK56" s="26">
        <f t="shared" si="3"/>
        <v>40292.636363636368</v>
      </c>
      <c r="AL56" s="37">
        <f>SUM('MAG College Enrollment Forecast'!C58:H58)</f>
        <v>71028</v>
      </c>
      <c r="AM56" s="26">
        <f t="shared" si="3"/>
        <v>37877.909090909088</v>
      </c>
      <c r="AN56" s="37">
        <f>'MAG College Enrollment Forecast'!B58</f>
        <v>38524</v>
      </c>
      <c r="AO56" s="26">
        <f t="shared" si="1"/>
        <v>2000</v>
      </c>
      <c r="AP56" s="4">
        <f t="shared" si="4"/>
        <v>2833.3333333333335</v>
      </c>
    </row>
    <row r="57" spans="33:42" x14ac:dyDescent="0.25">
      <c r="AI57" s="3">
        <v>2045</v>
      </c>
      <c r="AJ57" s="26">
        <f t="shared" si="3"/>
        <v>41710</v>
      </c>
      <c r="AK57" s="26">
        <f t="shared" si="3"/>
        <v>40743.86363636364</v>
      </c>
      <c r="AL57" s="37">
        <f>SUM('MAG College Enrollment Forecast'!C59:H59)</f>
        <v>72262</v>
      </c>
      <c r="AM57" s="26">
        <f t="shared" si="3"/>
        <v>38231.590909090912</v>
      </c>
      <c r="AN57" s="37">
        <f>'MAG College Enrollment Forecast'!B59</f>
        <v>38910</v>
      </c>
      <c r="AO57" s="26">
        <f t="shared" si="1"/>
        <v>2000</v>
      </c>
      <c r="AP57" s="4">
        <f t="shared" si="4"/>
        <v>2861.1111111111113</v>
      </c>
    </row>
    <row r="58" spans="33:42" x14ac:dyDescent="0.25">
      <c r="AI58" s="3">
        <v>2046</v>
      </c>
      <c r="AJ58" s="26">
        <f t="shared" si="3"/>
        <v>41968</v>
      </c>
      <c r="AK58" s="26">
        <f t="shared" si="3"/>
        <v>41195.090909090912</v>
      </c>
      <c r="AL58" s="37">
        <f>SUM('MAG College Enrollment Forecast'!C60:H60)</f>
        <v>73496</v>
      </c>
      <c r="AM58" s="26">
        <f t="shared" si="3"/>
        <v>38585.272727272728</v>
      </c>
      <c r="AN58" s="37">
        <f>'MAG College Enrollment Forecast'!B60</f>
        <v>39299</v>
      </c>
      <c r="AO58" s="26">
        <f t="shared" si="1"/>
        <v>2000</v>
      </c>
      <c r="AP58" s="4">
        <f t="shared" si="4"/>
        <v>2888.8888888888887</v>
      </c>
    </row>
    <row r="59" spans="33:42" x14ac:dyDescent="0.25">
      <c r="AI59" s="3">
        <v>2047</v>
      </c>
      <c r="AJ59" s="26">
        <f t="shared" si="3"/>
        <v>42226</v>
      </c>
      <c r="AK59" s="26">
        <f t="shared" si="3"/>
        <v>41646.318181818184</v>
      </c>
      <c r="AL59" s="37">
        <f>SUM('MAG College Enrollment Forecast'!C61:H61)</f>
        <v>74730</v>
      </c>
      <c r="AM59" s="26">
        <f t="shared" si="3"/>
        <v>38938.954545454544</v>
      </c>
      <c r="AN59" s="37">
        <f>'MAG College Enrollment Forecast'!B61</f>
        <v>39303</v>
      </c>
      <c r="AO59" s="26">
        <f t="shared" si="1"/>
        <v>2000</v>
      </c>
      <c r="AP59" s="4">
        <f t="shared" si="4"/>
        <v>2916.6666666666665</v>
      </c>
    </row>
    <row r="60" spans="33:42" x14ac:dyDescent="0.25">
      <c r="AI60" s="3">
        <v>2048</v>
      </c>
      <c r="AJ60" s="26">
        <f t="shared" si="3"/>
        <v>42484</v>
      </c>
      <c r="AK60" s="26">
        <f t="shared" si="3"/>
        <v>42097.545454545456</v>
      </c>
      <c r="AL60" s="37">
        <f>SUM('MAG College Enrollment Forecast'!C62:H62)</f>
        <v>75963</v>
      </c>
      <c r="AM60" s="26">
        <f t="shared" si="3"/>
        <v>39292.636363636368</v>
      </c>
      <c r="AN60" s="37">
        <f>'MAG College Enrollment Forecast'!B62</f>
        <v>39307</v>
      </c>
      <c r="AO60" s="26">
        <f t="shared" si="1"/>
        <v>2000</v>
      </c>
      <c r="AP60" s="4">
        <f t="shared" si="4"/>
        <v>2944.4444444444443</v>
      </c>
    </row>
    <row r="61" spans="33:42" x14ac:dyDescent="0.25">
      <c r="AI61" s="3">
        <v>2049</v>
      </c>
      <c r="AJ61" s="26">
        <f t="shared" si="3"/>
        <v>42742</v>
      </c>
      <c r="AK61" s="26">
        <f t="shared" si="3"/>
        <v>42548.772727272728</v>
      </c>
      <c r="AL61" s="37">
        <f>SUM('MAG College Enrollment Forecast'!C63:H63)</f>
        <v>77197</v>
      </c>
      <c r="AM61" s="26">
        <f t="shared" si="3"/>
        <v>39646.318181818184</v>
      </c>
      <c r="AN61" s="37">
        <f>'MAG College Enrollment Forecast'!B63</f>
        <v>39311</v>
      </c>
      <c r="AO61" s="26">
        <f>AO62</f>
        <v>2000</v>
      </c>
      <c r="AP61" s="4">
        <f t="shared" si="4"/>
        <v>2972.2222222222222</v>
      </c>
    </row>
    <row r="62" spans="33:42" x14ac:dyDescent="0.25">
      <c r="AG62" s="25" t="s">
        <v>102</v>
      </c>
      <c r="AH62" s="25" t="s">
        <v>95</v>
      </c>
      <c r="AI62" s="30">
        <v>2050</v>
      </c>
      <c r="AJ62" s="19">
        <v>43000</v>
      </c>
      <c r="AK62" s="19">
        <v>43000</v>
      </c>
      <c r="AL62" s="37">
        <f>SUM('MAG College Enrollment Forecast'!C64:H64)</f>
        <v>78431</v>
      </c>
      <c r="AM62" s="19">
        <v>40000</v>
      </c>
      <c r="AN62" s="37">
        <f>'MAG College Enrollment Forecast'!B64</f>
        <v>39315</v>
      </c>
      <c r="AO62" s="19">
        <v>2000</v>
      </c>
      <c r="AP62" s="19">
        <v>3000</v>
      </c>
    </row>
    <row r="63" spans="33:42" x14ac:dyDescent="0.25">
      <c r="AG63" s="29" t="s">
        <v>96</v>
      </c>
      <c r="AH63" s="29" t="s">
        <v>95</v>
      </c>
      <c r="AI63" s="31">
        <v>2050</v>
      </c>
      <c r="AJ63" s="28">
        <v>42000</v>
      </c>
      <c r="AK63" s="28">
        <v>43000</v>
      </c>
      <c r="AL63" s="28">
        <v>67000</v>
      </c>
      <c r="AM63" s="28">
        <v>65400</v>
      </c>
      <c r="AN63" s="28">
        <v>34000</v>
      </c>
      <c r="AO63" s="28">
        <v>6300</v>
      </c>
      <c r="AP63" s="28">
        <v>3500</v>
      </c>
    </row>
    <row r="64" spans="33:42" x14ac:dyDescent="0.25">
      <c r="AI64" s="3" t="s">
        <v>5</v>
      </c>
      <c r="AJ64" s="3" t="s">
        <v>1</v>
      </c>
      <c r="AK64" s="3" t="s">
        <v>2</v>
      </c>
      <c r="AL64" s="3" t="s">
        <v>3</v>
      </c>
      <c r="AM64" s="3" t="s">
        <v>4</v>
      </c>
      <c r="AN64" s="3" t="s">
        <v>15</v>
      </c>
      <c r="AO64" s="3" t="s">
        <v>16</v>
      </c>
      <c r="AP64" s="3" t="s">
        <v>17</v>
      </c>
    </row>
  </sheetData>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D15D-F179-470A-BFC2-A25A65888066}">
  <dimension ref="A1:T15"/>
  <sheetViews>
    <sheetView zoomScale="130" zoomScaleNormal="130" workbookViewId="0">
      <selection activeCell="Q4" sqref="Q4"/>
    </sheetView>
  </sheetViews>
  <sheetFormatPr defaultColWidth="9" defaultRowHeight="15" x14ac:dyDescent="0.25"/>
  <cols>
    <col min="1" max="1" width="12.140625" style="2" bestFit="1" customWidth="1"/>
    <col min="2" max="2" width="9.85546875" style="2" bestFit="1" customWidth="1"/>
    <col min="3" max="16384" width="9" style="2"/>
  </cols>
  <sheetData>
    <row r="1" spans="1:20" x14ac:dyDescent="0.25">
      <c r="A1" s="58" t="s">
        <v>48</v>
      </c>
      <c r="B1" s="59" t="s">
        <v>171</v>
      </c>
      <c r="D1" s="5" t="s">
        <v>127</v>
      </c>
      <c r="J1" s="5" t="s">
        <v>124</v>
      </c>
      <c r="P1" s="5" t="s">
        <v>50</v>
      </c>
    </row>
    <row r="2" spans="1:20" x14ac:dyDescent="0.25">
      <c r="A2" s="17" t="s">
        <v>15</v>
      </c>
      <c r="B2" s="79">
        <f>$E$8</f>
        <v>1.0252202452927968</v>
      </c>
      <c r="D2" s="3" t="s">
        <v>5</v>
      </c>
      <c r="E2" s="3" t="s">
        <v>1</v>
      </c>
      <c r="F2" s="3" t="s">
        <v>2</v>
      </c>
      <c r="G2" s="3" t="s">
        <v>3</v>
      </c>
      <c r="H2" s="3" t="s">
        <v>4</v>
      </c>
      <c r="J2" s="3" t="s">
        <v>5</v>
      </c>
      <c r="K2" s="3" t="s">
        <v>1</v>
      </c>
      <c r="L2" s="3" t="s">
        <v>2</v>
      </c>
      <c r="M2" s="3" t="s">
        <v>3</v>
      </c>
      <c r="N2" s="3" t="s">
        <v>4</v>
      </c>
      <c r="P2" s="3" t="s">
        <v>5</v>
      </c>
      <c r="Q2" s="3" t="s">
        <v>1</v>
      </c>
      <c r="R2" s="3" t="s">
        <v>2</v>
      </c>
      <c r="S2" s="3" t="s">
        <v>3</v>
      </c>
      <c r="T2" s="3" t="s">
        <v>4</v>
      </c>
    </row>
    <row r="3" spans="1:20" x14ac:dyDescent="0.25">
      <c r="A3" s="17" t="s">
        <v>16</v>
      </c>
      <c r="B3" s="78">
        <f>FTE!$F$3</f>
        <v>1.1790281329923273</v>
      </c>
      <c r="D3" s="3">
        <f>P3</f>
        <v>2017</v>
      </c>
      <c r="E3" s="47">
        <f>K3/Q3</f>
        <v>1.0289634146341464</v>
      </c>
      <c r="F3" s="47">
        <f t="shared" ref="F3:F8" si="0">L3/R3</f>
        <v>1.0375684282085227</v>
      </c>
      <c r="G3" s="47">
        <f t="shared" ref="G3:G8" si="1">M3/S3</f>
        <v>1.1447347245319457</v>
      </c>
      <c r="H3" s="47">
        <f t="shared" ref="H3:H8" si="2">N3/T3</f>
        <v>1.0643821742066171</v>
      </c>
      <c r="J3" s="3">
        <v>2017</v>
      </c>
      <c r="K3" s="20">
        <v>33750</v>
      </c>
      <c r="L3" s="20">
        <v>28999</v>
      </c>
      <c r="M3" s="20">
        <v>42678</v>
      </c>
      <c r="N3" s="20">
        <v>31527</v>
      </c>
      <c r="P3" s="3">
        <f t="shared" ref="P3:P8" si="3">J3</f>
        <v>2017</v>
      </c>
      <c r="Q3" s="20">
        <f>INDEX('USHE Historic'!$B$4:$E$10,MATCH('FTE Rate Calcs'!$P3,'USHE Historic'!$A$4:$A$10,0),MATCH('FTE Rate Calcs'!Q$2,'USHE Historic'!$K$3:$N$3,0))</f>
        <v>32800</v>
      </c>
      <c r="R3" s="20">
        <f>INDEX('USHE Historic'!$B$4:$E$10,MATCH('FTE Rate Calcs'!$P3,'USHE Historic'!$A$4:$A$10,0),MATCH('FTE Rate Calcs'!R$2,'USHE Historic'!$K$3:$N$3,0))</f>
        <v>27949</v>
      </c>
      <c r="S3" s="20">
        <f>INDEX('USHE Historic'!$B$4:$E$10,MATCH('FTE Rate Calcs'!$P3,'USHE Historic'!$A$4:$A$10,0),MATCH('FTE Rate Calcs'!S$2,'USHE Historic'!$K$3:$N$3,0))</f>
        <v>37282</v>
      </c>
      <c r="T3" s="20">
        <f>INDEX('USHE Historic'!$B$4:$E$10,MATCH('FTE Rate Calcs'!$P3,'USHE Historic'!$A$4:$A$10,0),MATCH('FTE Rate Calcs'!T$2,'USHE Historic'!$K$3:$N$3,0))</f>
        <v>29620</v>
      </c>
    </row>
    <row r="4" spans="1:20" x14ac:dyDescent="0.25">
      <c r="A4" s="17" t="s">
        <v>52</v>
      </c>
      <c r="B4" s="51">
        <f>$H$8</f>
        <v>1.2081372400182178</v>
      </c>
      <c r="D4" s="3">
        <f t="shared" ref="D4:D8" si="4">P4</f>
        <v>2018</v>
      </c>
      <c r="E4" s="47">
        <f t="shared" ref="E4:E8" si="5">K4/Q4</f>
        <v>1.0399418587045393</v>
      </c>
      <c r="F4" s="47">
        <f t="shared" si="0"/>
        <v>1.0505186391475201</v>
      </c>
      <c r="G4" s="47">
        <f t="shared" si="1"/>
        <v>1.1057073451704189</v>
      </c>
      <c r="H4" s="47">
        <f t="shared" si="2"/>
        <v>1.0776169570585814</v>
      </c>
      <c r="J4" s="3">
        <v>2018</v>
      </c>
      <c r="K4" s="20">
        <v>34342</v>
      </c>
      <c r="L4" s="20">
        <v>29674</v>
      </c>
      <c r="M4" s="20">
        <v>44152</v>
      </c>
      <c r="N4" s="20">
        <v>31419</v>
      </c>
      <c r="P4" s="3">
        <f t="shared" si="3"/>
        <v>2018</v>
      </c>
      <c r="Q4" s="20">
        <f>INDEX('USHE Historic'!$B$4:$E$10,MATCH('FTE Rate Calcs'!$P4,'USHE Historic'!$A$4:$A$10,0),MATCH('FTE Rate Calcs'!Q$2,'USHE Historic'!$K$3:$N$3,0))</f>
        <v>33023</v>
      </c>
      <c r="R4" s="20">
        <f>INDEX('USHE Historic'!$B$4:$E$10,MATCH('FTE Rate Calcs'!$P4,'USHE Historic'!$A$4:$A$10,0),MATCH('FTE Rate Calcs'!R$2,'USHE Historic'!$K$3:$N$3,0))</f>
        <v>28247</v>
      </c>
      <c r="S4" s="20">
        <f>INDEX('USHE Historic'!$B$4:$E$10,MATCH('FTE Rate Calcs'!$P4,'USHE Historic'!$A$4:$A$10,0),MATCH('FTE Rate Calcs'!S$2,'USHE Historic'!$K$3:$N$3,0))</f>
        <v>39931</v>
      </c>
      <c r="T4" s="20">
        <f>INDEX('USHE Historic'!$B$4:$E$10,MATCH('FTE Rate Calcs'!$P4,'USHE Historic'!$A$4:$A$10,0),MATCH('FTE Rate Calcs'!T$2,'USHE Historic'!$K$3:$N$3,0))</f>
        <v>29156</v>
      </c>
    </row>
    <row r="5" spans="1:20" x14ac:dyDescent="0.25">
      <c r="A5" s="17" t="s">
        <v>53</v>
      </c>
      <c r="B5" s="51">
        <f>$H$8</f>
        <v>1.2081372400182178</v>
      </c>
      <c r="D5" s="3">
        <f t="shared" si="4"/>
        <v>2019</v>
      </c>
      <c r="E5" s="47">
        <f t="shared" si="5"/>
        <v>1.0652928284427128</v>
      </c>
      <c r="F5" s="47">
        <f t="shared" si="0"/>
        <v>1.0232424773984616</v>
      </c>
      <c r="G5" s="47">
        <f t="shared" si="1"/>
        <v>1.094756518404908</v>
      </c>
      <c r="H5" s="47">
        <f t="shared" si="2"/>
        <v>1.0661313819155063</v>
      </c>
      <c r="J5" s="3">
        <v>2019</v>
      </c>
      <c r="K5" s="20">
        <v>34997</v>
      </c>
      <c r="L5" s="20">
        <v>30333</v>
      </c>
      <c r="M5" s="20">
        <v>45682</v>
      </c>
      <c r="N5" s="20">
        <v>31469</v>
      </c>
      <c r="P5" s="3">
        <f t="shared" si="3"/>
        <v>2019</v>
      </c>
      <c r="Q5" s="20">
        <f>INDEX('USHE Historic'!$B$4:$E$10,MATCH('FTE Rate Calcs'!$P5,'USHE Historic'!$A$4:$A$10,0),MATCH('FTE Rate Calcs'!Q$2,'USHE Historic'!$K$3:$N$3,0))</f>
        <v>32852</v>
      </c>
      <c r="R5" s="20">
        <f>INDEX('USHE Historic'!$B$4:$E$10,MATCH('FTE Rate Calcs'!$P5,'USHE Historic'!$A$4:$A$10,0),MATCH('FTE Rate Calcs'!R$2,'USHE Historic'!$K$3:$N$3,0))</f>
        <v>29644</v>
      </c>
      <c r="S5" s="20">
        <f>INDEX('USHE Historic'!$B$4:$E$10,MATCH('FTE Rate Calcs'!$P5,'USHE Historic'!$A$4:$A$10,0),MATCH('FTE Rate Calcs'!S$2,'USHE Historic'!$K$3:$N$3,0))</f>
        <v>41728</v>
      </c>
      <c r="T5" s="20">
        <f>INDEX('USHE Historic'!$B$4:$E$10,MATCH('FTE Rate Calcs'!$P5,'USHE Historic'!$A$4:$A$10,0),MATCH('FTE Rate Calcs'!T$2,'USHE Historic'!$K$3:$N$3,0))</f>
        <v>29517</v>
      </c>
    </row>
    <row r="6" spans="1:20" x14ac:dyDescent="0.25">
      <c r="A6" s="17" t="s">
        <v>54</v>
      </c>
      <c r="B6" s="51">
        <f>$H$8</f>
        <v>1.2081372400182178</v>
      </c>
      <c r="D6" s="3">
        <f t="shared" si="4"/>
        <v>2020</v>
      </c>
      <c r="E6" s="47">
        <f t="shared" si="5"/>
        <v>1.0764812575574365</v>
      </c>
      <c r="F6" s="47">
        <f t="shared" si="0"/>
        <v>1.0475402081362346</v>
      </c>
      <c r="G6" s="47">
        <f t="shared" si="1"/>
        <v>1.1547293335939026</v>
      </c>
      <c r="H6" s="47">
        <f t="shared" si="2"/>
        <v>1.166306378924999</v>
      </c>
      <c r="J6" s="3">
        <v>2020</v>
      </c>
      <c r="K6" s="20">
        <v>35610</v>
      </c>
      <c r="L6" s="20">
        <v>31003</v>
      </c>
      <c r="M6" s="20">
        <v>47270</v>
      </c>
      <c r="N6" s="20">
        <v>31832</v>
      </c>
      <c r="P6" s="3">
        <f t="shared" si="3"/>
        <v>2020</v>
      </c>
      <c r="Q6" s="20">
        <f>INDEX('USHE Historic'!$B$4:$E$10,MATCH('FTE Rate Calcs'!$P6,'USHE Historic'!$A$4:$A$10,0),MATCH('FTE Rate Calcs'!Q$2,'USHE Historic'!$K$3:$N$3,0))</f>
        <v>33080</v>
      </c>
      <c r="R6" s="20">
        <f>INDEX('USHE Historic'!$B$4:$E$10,MATCH('FTE Rate Calcs'!$P6,'USHE Historic'!$A$4:$A$10,0),MATCH('FTE Rate Calcs'!R$2,'USHE Historic'!$K$3:$N$3,0))</f>
        <v>29596</v>
      </c>
      <c r="S6" s="20">
        <f>INDEX('USHE Historic'!$B$4:$E$10,MATCH('FTE Rate Calcs'!$P6,'USHE Historic'!$A$4:$A$10,0),MATCH('FTE Rate Calcs'!S$2,'USHE Historic'!$K$3:$N$3,0))</f>
        <v>40936</v>
      </c>
      <c r="T6" s="20">
        <f>INDEX('USHE Historic'!$B$4:$E$10,MATCH('FTE Rate Calcs'!$P6,'USHE Historic'!$A$4:$A$10,0),MATCH('FTE Rate Calcs'!T$2,'USHE Historic'!$K$3:$N$3,0))</f>
        <v>27293</v>
      </c>
    </row>
    <row r="7" spans="1:20" x14ac:dyDescent="0.25">
      <c r="A7" s="17" t="s">
        <v>55</v>
      </c>
      <c r="B7" s="51">
        <f>$H$8</f>
        <v>1.2081372400182178</v>
      </c>
      <c r="D7" s="3">
        <f t="shared" si="4"/>
        <v>2021</v>
      </c>
      <c r="E7" s="47">
        <f t="shared" si="5"/>
        <v>1.0333120538564216</v>
      </c>
      <c r="F7" s="47">
        <f t="shared" si="0"/>
        <v>1.0412776247732922</v>
      </c>
      <c r="G7" s="47">
        <f t="shared" si="1"/>
        <v>1.145606126702535</v>
      </c>
      <c r="H7" s="47">
        <f t="shared" si="2"/>
        <v>1.1692194674012857</v>
      </c>
      <c r="J7" s="3">
        <v>2021</v>
      </c>
      <c r="K7" s="20">
        <v>35610</v>
      </c>
      <c r="L7" s="20">
        <v>31003</v>
      </c>
      <c r="M7" s="20">
        <v>47270</v>
      </c>
      <c r="N7" s="20">
        <v>31832</v>
      </c>
      <c r="P7" s="3">
        <f t="shared" si="3"/>
        <v>2021</v>
      </c>
      <c r="Q7" s="20">
        <f>INDEX('USHE Historic'!$B$4:$E$10,MATCH('FTE Rate Calcs'!$P7,'USHE Historic'!$A$4:$A$10,0),MATCH('FTE Rate Calcs'!Q$2,'USHE Historic'!$K$3:$N$3,0))</f>
        <v>34462</v>
      </c>
      <c r="R7" s="20">
        <f>INDEX('USHE Historic'!$B$4:$E$10,MATCH('FTE Rate Calcs'!$P7,'USHE Historic'!$A$4:$A$10,0),MATCH('FTE Rate Calcs'!R$2,'USHE Historic'!$K$3:$N$3,0))</f>
        <v>29774</v>
      </c>
      <c r="S7" s="20">
        <f>INDEX('USHE Historic'!$B$4:$E$10,MATCH('FTE Rate Calcs'!$P7,'USHE Historic'!$A$4:$A$10,0),MATCH('FTE Rate Calcs'!S$2,'USHE Historic'!$K$3:$N$3,0))</f>
        <v>41262</v>
      </c>
      <c r="T7" s="20">
        <f>INDEX('USHE Historic'!$B$4:$E$10,MATCH('FTE Rate Calcs'!$P7,'USHE Historic'!$A$4:$A$10,0),MATCH('FTE Rate Calcs'!T$2,'USHE Historic'!$K$3:$N$3,0))</f>
        <v>27225</v>
      </c>
    </row>
    <row r="8" spans="1:20" x14ac:dyDescent="0.25">
      <c r="A8" s="17" t="s">
        <v>100</v>
      </c>
      <c r="B8" s="51">
        <f>$E$8</f>
        <v>1.0252202452927968</v>
      </c>
      <c r="D8" s="3">
        <f t="shared" si="4"/>
        <v>2022</v>
      </c>
      <c r="E8" s="60">
        <f t="shared" si="5"/>
        <v>1.0252202452927968</v>
      </c>
      <c r="F8" s="60">
        <f t="shared" si="0"/>
        <v>1.0364043591629337</v>
      </c>
      <c r="G8" s="60">
        <f t="shared" si="1"/>
        <v>1.0967771874057404</v>
      </c>
      <c r="H8" s="60">
        <f t="shared" si="2"/>
        <v>1.2081372400182178</v>
      </c>
      <c r="J8" s="3">
        <v>2022</v>
      </c>
      <c r="K8" s="20">
        <v>35610</v>
      </c>
      <c r="L8" s="20">
        <v>31003</v>
      </c>
      <c r="M8" s="20">
        <v>47270</v>
      </c>
      <c r="N8" s="20">
        <v>31832</v>
      </c>
      <c r="P8" s="3">
        <f t="shared" si="3"/>
        <v>2022</v>
      </c>
      <c r="Q8" s="20">
        <f>INDEX('USHE Historic'!$B$4:$E$10,MATCH('FTE Rate Calcs'!$P8,'USHE Historic'!$A$4:$A$10,0),MATCH('FTE Rate Calcs'!Q$2,'USHE Historic'!$K$3:$N$3,0))</f>
        <v>34734</v>
      </c>
      <c r="R8" s="20">
        <f>INDEX('USHE Historic'!$B$4:$E$10,MATCH('FTE Rate Calcs'!$P8,'USHE Historic'!$A$4:$A$10,0),MATCH('FTE Rate Calcs'!R$2,'USHE Historic'!$K$3:$N$3,0))</f>
        <v>29914</v>
      </c>
      <c r="S8" s="20">
        <f>INDEX('USHE Historic'!$B$4:$E$10,MATCH('FTE Rate Calcs'!$P8,'USHE Historic'!$A$4:$A$10,0),MATCH('FTE Rate Calcs'!S$2,'USHE Historic'!$K$3:$N$3,0))</f>
        <v>43099</v>
      </c>
      <c r="T8" s="20">
        <f>INDEX('USHE Historic'!$B$4:$E$10,MATCH('FTE Rate Calcs'!$P8,'USHE Historic'!$A$4:$A$10,0),MATCH('FTE Rate Calcs'!T$2,'USHE Historic'!$K$3:$N$3,0))</f>
        <v>26348</v>
      </c>
    </row>
    <row r="9" spans="1:20" x14ac:dyDescent="0.25">
      <c r="A9" s="17" t="s">
        <v>101</v>
      </c>
      <c r="B9" s="51">
        <f>$G$8</f>
        <v>1.0967771874057404</v>
      </c>
    </row>
    <row r="10" spans="1:20" x14ac:dyDescent="0.25">
      <c r="A10" s="17" t="s">
        <v>121</v>
      </c>
      <c r="B10" s="51">
        <f>$G$8</f>
        <v>1.0967771874057404</v>
      </c>
    </row>
    <row r="11" spans="1:20" x14ac:dyDescent="0.25">
      <c r="A11" s="17" t="s">
        <v>122</v>
      </c>
      <c r="B11" s="51">
        <f>$G$8</f>
        <v>1.0967771874057404</v>
      </c>
    </row>
    <row r="12" spans="1:20" x14ac:dyDescent="0.25">
      <c r="A12" s="17" t="s">
        <v>123</v>
      </c>
      <c r="B12" s="51">
        <f>$G$8</f>
        <v>1.0967771874057404</v>
      </c>
    </row>
    <row r="13" spans="1:20" x14ac:dyDescent="0.25">
      <c r="A13" s="17" t="s">
        <v>107</v>
      </c>
      <c r="B13" s="51">
        <f>$F$3</f>
        <v>1.0375684282085227</v>
      </c>
    </row>
    <row r="14" spans="1:20" x14ac:dyDescent="0.25">
      <c r="A14" s="17" t="s">
        <v>106</v>
      </c>
      <c r="B14" s="51">
        <f>$F$3</f>
        <v>1.0375684282085227</v>
      </c>
    </row>
    <row r="15" spans="1:20" x14ac:dyDescent="0.25">
      <c r="A15" s="17" t="s">
        <v>17</v>
      </c>
      <c r="B15" s="78">
        <f>FTE!F7</f>
        <v>1.0984236831987697</v>
      </c>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CEA0-C961-4050-AD8B-6A4D407238EE}">
  <sheetPr>
    <tabColor theme="0" tint="-0.499984740745262"/>
  </sheetPr>
  <dimension ref="A1:AC15"/>
  <sheetViews>
    <sheetView workbookViewId="0"/>
  </sheetViews>
  <sheetFormatPr defaultColWidth="9" defaultRowHeight="15" x14ac:dyDescent="0.25"/>
  <cols>
    <col min="1" max="1" width="12.140625" style="2" bestFit="1" customWidth="1"/>
    <col min="2" max="2" width="9.85546875" style="2" customWidth="1"/>
    <col min="3" max="16384" width="9" style="2"/>
  </cols>
  <sheetData>
    <row r="1" spans="1:29" x14ac:dyDescent="0.25">
      <c r="A1" s="58" t="s">
        <v>48</v>
      </c>
      <c r="B1" s="59" t="s">
        <v>174</v>
      </c>
      <c r="D1" s="39"/>
      <c r="E1" s="39" t="s">
        <v>149</v>
      </c>
      <c r="F1" s="80" t="s">
        <v>150</v>
      </c>
      <c r="G1" s="80" t="s">
        <v>151</v>
      </c>
      <c r="H1" s="80" t="s">
        <v>152</v>
      </c>
      <c r="I1" s="39" t="s">
        <v>153</v>
      </c>
      <c r="J1" s="80" t="s">
        <v>108</v>
      </c>
      <c r="K1" s="39" t="s">
        <v>106</v>
      </c>
      <c r="L1" s="39" t="s">
        <v>154</v>
      </c>
      <c r="M1" s="80" t="s">
        <v>155</v>
      </c>
      <c r="N1" s="39" t="s">
        <v>55</v>
      </c>
      <c r="O1" s="39" t="s">
        <v>53</v>
      </c>
      <c r="P1" s="39" t="s">
        <v>156</v>
      </c>
      <c r="Q1" s="39" t="s">
        <v>54</v>
      </c>
      <c r="R1" s="39" t="s">
        <v>157</v>
      </c>
      <c r="S1" s="39" t="s">
        <v>158</v>
      </c>
      <c r="T1" s="39" t="s">
        <v>159</v>
      </c>
      <c r="U1" s="39" t="s">
        <v>160</v>
      </c>
      <c r="V1" s="39" t="s">
        <v>161</v>
      </c>
      <c r="W1" s="80" t="s">
        <v>15</v>
      </c>
      <c r="X1" s="80" t="s">
        <v>162</v>
      </c>
      <c r="Y1" s="39" t="s">
        <v>163</v>
      </c>
      <c r="Z1" s="39" t="s">
        <v>164</v>
      </c>
      <c r="AA1" s="39" t="s">
        <v>165</v>
      </c>
      <c r="AB1" s="39" t="s">
        <v>166</v>
      </c>
      <c r="AC1" s="39" t="s">
        <v>167</v>
      </c>
    </row>
    <row r="2" spans="1:29" x14ac:dyDescent="0.25">
      <c r="A2" s="17" t="s">
        <v>15</v>
      </c>
      <c r="B2" s="51">
        <f>$W$2</f>
        <v>0.93010000000000004</v>
      </c>
      <c r="D2" s="81" t="s">
        <v>170</v>
      </c>
      <c r="E2" s="39">
        <v>3</v>
      </c>
      <c r="F2" s="53">
        <v>0.93010000000000004</v>
      </c>
      <c r="G2" s="53">
        <v>0.93010000000000004</v>
      </c>
      <c r="H2" s="53">
        <v>0.93010000000000004</v>
      </c>
      <c r="I2" s="54">
        <f>$H2</f>
        <v>0.93010000000000004</v>
      </c>
      <c r="J2" s="53">
        <v>0.83</v>
      </c>
      <c r="K2" s="54">
        <v>0.67700000000000005</v>
      </c>
      <c r="L2" s="54">
        <f>K2</f>
        <v>0.67700000000000005</v>
      </c>
      <c r="M2" s="53">
        <v>0.62190000000000001</v>
      </c>
      <c r="N2" s="54">
        <v>0.64219999999999999</v>
      </c>
      <c r="O2" s="54">
        <v>0.56869999999999998</v>
      </c>
      <c r="P2" s="54">
        <f>O2</f>
        <v>0.56869999999999998</v>
      </c>
      <c r="Q2" s="54">
        <v>0.61580000000000001</v>
      </c>
      <c r="R2" s="54">
        <f>Q2</f>
        <v>0.61580000000000001</v>
      </c>
      <c r="S2" s="54">
        <f t="shared" ref="S2:U2" si="0">R2</f>
        <v>0.61580000000000001</v>
      </c>
      <c r="T2" s="54">
        <f t="shared" si="0"/>
        <v>0.61580000000000001</v>
      </c>
      <c r="U2" s="54">
        <f t="shared" si="0"/>
        <v>0.61580000000000001</v>
      </c>
      <c r="V2" s="54">
        <f>U2</f>
        <v>0.61580000000000001</v>
      </c>
      <c r="W2" s="53">
        <v>0.93010000000000004</v>
      </c>
      <c r="X2" s="53">
        <v>0.94520000000000004</v>
      </c>
      <c r="Y2" s="54">
        <f>$X2</f>
        <v>0.94520000000000004</v>
      </c>
      <c r="Z2" s="54">
        <f>$X2</f>
        <v>0.94520000000000004</v>
      </c>
      <c r="AA2" s="54">
        <f>$X2</f>
        <v>0.94520000000000004</v>
      </c>
      <c r="AB2" s="54">
        <f>$X2</f>
        <v>0.94520000000000004</v>
      </c>
      <c r="AC2" s="21" t="s">
        <v>170</v>
      </c>
    </row>
    <row r="3" spans="1:29" x14ac:dyDescent="0.25">
      <c r="A3" s="17" t="s">
        <v>16</v>
      </c>
      <c r="B3" s="51">
        <f>$F$2</f>
        <v>0.93010000000000004</v>
      </c>
      <c r="D3" s="5" t="s">
        <v>148</v>
      </c>
    </row>
    <row r="4" spans="1:29" x14ac:dyDescent="0.25">
      <c r="A4" s="17" t="s">
        <v>52</v>
      </c>
      <c r="B4" s="51">
        <f>$M$2</f>
        <v>0.62190000000000001</v>
      </c>
    </row>
    <row r="5" spans="1:29" x14ac:dyDescent="0.25">
      <c r="A5" s="17" t="s">
        <v>53</v>
      </c>
      <c r="B5" s="51">
        <f>$O$2</f>
        <v>0.56869999999999998</v>
      </c>
    </row>
    <row r="6" spans="1:29" x14ac:dyDescent="0.25">
      <c r="A6" s="17" t="s">
        <v>54</v>
      </c>
      <c r="B6" s="51">
        <f>$Q$2</f>
        <v>0.61580000000000001</v>
      </c>
    </row>
    <row r="7" spans="1:29" x14ac:dyDescent="0.25">
      <c r="A7" s="17" t="s">
        <v>55</v>
      </c>
      <c r="B7" s="51">
        <f>$N$2</f>
        <v>0.64219999999999999</v>
      </c>
    </row>
    <row r="8" spans="1:29" x14ac:dyDescent="0.25">
      <c r="A8" s="17" t="s">
        <v>100</v>
      </c>
      <c r="B8" s="51">
        <f>$H$2</f>
        <v>0.93010000000000004</v>
      </c>
    </row>
    <row r="9" spans="1:29" x14ac:dyDescent="0.25">
      <c r="A9" s="17" t="s">
        <v>101</v>
      </c>
      <c r="B9" s="51">
        <f>$X$2</f>
        <v>0.94520000000000004</v>
      </c>
    </row>
    <row r="10" spans="1:29" x14ac:dyDescent="0.25">
      <c r="A10" s="17" t="s">
        <v>121</v>
      </c>
      <c r="B10" s="51">
        <f>$Z$2</f>
        <v>0.94520000000000004</v>
      </c>
    </row>
    <row r="11" spans="1:29" x14ac:dyDescent="0.25">
      <c r="A11" s="17" t="s">
        <v>122</v>
      </c>
      <c r="B11" s="51">
        <f>$AB$2</f>
        <v>0.94520000000000004</v>
      </c>
    </row>
    <row r="12" spans="1:29" x14ac:dyDescent="0.25">
      <c r="A12" s="17" t="s">
        <v>123</v>
      </c>
      <c r="B12" s="51">
        <f>$AA$2</f>
        <v>0.94520000000000004</v>
      </c>
    </row>
    <row r="13" spans="1:29" x14ac:dyDescent="0.25">
      <c r="A13" s="17" t="s">
        <v>107</v>
      </c>
      <c r="B13" s="51">
        <f>$J$2</f>
        <v>0.83</v>
      </c>
    </row>
    <row r="14" spans="1:29" x14ac:dyDescent="0.25">
      <c r="A14" s="17" t="s">
        <v>106</v>
      </c>
      <c r="B14" s="51">
        <f>$K$2</f>
        <v>0.67700000000000005</v>
      </c>
    </row>
    <row r="15" spans="1:29" x14ac:dyDescent="0.25">
      <c r="A15" s="17" t="s">
        <v>17</v>
      </c>
      <c r="B15" s="51">
        <f>$G$2</f>
        <v>0.93010000000000004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DD1A1-9C3F-4AE2-8911-1136E0B11F77}">
  <sheetPr>
    <tabColor theme="0" tint="-0.499984740745262"/>
  </sheetPr>
  <dimension ref="A1:G8"/>
  <sheetViews>
    <sheetView workbookViewId="0">
      <selection activeCell="B7" sqref="B7"/>
    </sheetView>
  </sheetViews>
  <sheetFormatPr defaultColWidth="9" defaultRowHeight="15" x14ac:dyDescent="0.25"/>
  <cols>
    <col min="1" max="1" width="9" style="2"/>
    <col min="2" max="2" width="10.7109375" style="2" customWidth="1"/>
    <col min="3" max="5" width="9" style="2"/>
    <col min="6" max="6" width="9" style="7"/>
    <col min="7" max="16384" width="9" style="2"/>
  </cols>
  <sheetData>
    <row r="1" spans="1:7" ht="16.5" x14ac:dyDescent="0.3">
      <c r="A1" s="63" t="s">
        <v>16</v>
      </c>
      <c r="B1" s="64"/>
      <c r="C1" s="64"/>
      <c r="D1" s="64"/>
      <c r="E1" s="64"/>
      <c r="F1" s="65"/>
      <c r="G1" s="5" t="s">
        <v>148</v>
      </c>
    </row>
    <row r="2" spans="1:7" ht="30.75" x14ac:dyDescent="0.3">
      <c r="A2" s="66" t="s">
        <v>5</v>
      </c>
      <c r="B2" s="67" t="s">
        <v>50</v>
      </c>
      <c r="C2" s="67" t="s">
        <v>126</v>
      </c>
      <c r="D2" s="68" t="s">
        <v>172</v>
      </c>
      <c r="E2" s="68" t="s">
        <v>173</v>
      </c>
      <c r="F2" s="69" t="s">
        <v>127</v>
      </c>
    </row>
    <row r="3" spans="1:7" ht="15.75" thickBot="1" x14ac:dyDescent="0.3">
      <c r="A3" s="70">
        <v>2008</v>
      </c>
      <c r="B3" s="71">
        <v>1383</v>
      </c>
      <c r="C3" s="71">
        <v>1173</v>
      </c>
      <c r="D3" s="72">
        <v>3895.7674418325337</v>
      </c>
      <c r="E3" s="73">
        <v>1173</v>
      </c>
      <c r="F3" s="74">
        <f>B3/C3</f>
        <v>1.1790281329923273</v>
      </c>
    </row>
    <row r="4" spans="1:7" ht="16.5" x14ac:dyDescent="0.3">
      <c r="A4" s="64"/>
      <c r="B4" s="64"/>
      <c r="C4" s="64"/>
      <c r="D4" s="64"/>
      <c r="E4" s="64"/>
      <c r="F4" s="65"/>
    </row>
    <row r="5" spans="1:7" ht="16.5" x14ac:dyDescent="0.3">
      <c r="A5" s="63" t="s">
        <v>17</v>
      </c>
      <c r="B5" s="64"/>
      <c r="C5" s="64"/>
      <c r="D5" s="64"/>
      <c r="E5" s="64"/>
      <c r="F5" s="65"/>
    </row>
    <row r="6" spans="1:7" ht="30.75" x14ac:dyDescent="0.3">
      <c r="A6" s="66" t="s">
        <v>5</v>
      </c>
      <c r="B6" s="67" t="s">
        <v>50</v>
      </c>
      <c r="C6" s="67" t="s">
        <v>126</v>
      </c>
      <c r="D6" s="68" t="s">
        <v>172</v>
      </c>
      <c r="E6" s="68" t="s">
        <v>173</v>
      </c>
      <c r="F6" s="65"/>
    </row>
    <row r="7" spans="1:7" x14ac:dyDescent="0.25">
      <c r="A7" s="75">
        <v>2008</v>
      </c>
      <c r="B7" s="76">
        <v>2857</v>
      </c>
      <c r="C7" s="76">
        <v>2601</v>
      </c>
      <c r="D7" s="73">
        <v>2654.0817854944244</v>
      </c>
      <c r="E7" s="77">
        <v>2601</v>
      </c>
      <c r="F7" s="74">
        <f>B7/C7</f>
        <v>1.0984236831987697</v>
      </c>
    </row>
    <row r="8" spans="1:7" x14ac:dyDescent="0.25">
      <c r="A8" s="61"/>
      <c r="B8" s="61"/>
      <c r="C8" s="61"/>
      <c r="D8" s="61"/>
      <c r="E8" s="61"/>
      <c r="F8" s="6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622B-B84D-4C1B-832E-33D5B70EAC67}">
  <sheetPr>
    <tabColor theme="0" tint="-0.499984740745262"/>
  </sheetPr>
  <dimension ref="A1:J15"/>
  <sheetViews>
    <sheetView workbookViewId="0"/>
  </sheetViews>
  <sheetFormatPr defaultColWidth="9" defaultRowHeight="15" x14ac:dyDescent="0.25"/>
  <cols>
    <col min="1" max="1" width="13.85546875" style="11" customWidth="1"/>
    <col min="2" max="2" width="13.85546875" style="7" customWidth="1"/>
    <col min="3" max="4" width="9" style="2"/>
    <col min="5" max="5" width="21.85546875" style="2" bestFit="1" customWidth="1"/>
    <col min="6" max="6" width="10.140625" style="2" bestFit="1" customWidth="1"/>
    <col min="7" max="7" width="12" style="2" bestFit="1" customWidth="1"/>
    <col min="8" max="8" width="10.5703125" style="2" bestFit="1" customWidth="1"/>
    <col min="9" max="16384" width="9" style="2"/>
  </cols>
  <sheetData>
    <row r="1" spans="1:10" x14ac:dyDescent="0.25">
      <c r="A1" s="58" t="s">
        <v>48</v>
      </c>
      <c r="B1" s="59" t="s">
        <v>171</v>
      </c>
      <c r="D1" s="21"/>
      <c r="E1" s="21"/>
      <c r="F1" s="21"/>
      <c r="G1" s="21" t="s">
        <v>128</v>
      </c>
      <c r="H1" s="21"/>
      <c r="I1" s="21"/>
      <c r="J1" s="5" t="s">
        <v>148</v>
      </c>
    </row>
    <row r="2" spans="1:10" x14ac:dyDescent="0.25">
      <c r="A2" s="17" t="s">
        <v>15</v>
      </c>
      <c r="B2" s="52">
        <f>$I$9</f>
        <v>2.6040514489776623E-2</v>
      </c>
      <c r="D2" s="21" t="s">
        <v>20</v>
      </c>
      <c r="E2" s="21"/>
      <c r="F2" s="21"/>
      <c r="G2" s="21" t="s">
        <v>105</v>
      </c>
      <c r="H2" s="21"/>
      <c r="I2" s="21"/>
    </row>
    <row r="3" spans="1:10" x14ac:dyDescent="0.25">
      <c r="A3" s="17" t="s">
        <v>16</v>
      </c>
      <c r="B3" s="51">
        <f>$I$5</f>
        <v>0.10050000000000003</v>
      </c>
      <c r="D3" s="21" t="s">
        <v>129</v>
      </c>
      <c r="E3" s="21" t="s">
        <v>130</v>
      </c>
      <c r="F3" s="21" t="s">
        <v>48</v>
      </c>
      <c r="G3" s="21" t="s">
        <v>131</v>
      </c>
      <c r="H3" s="21" t="s">
        <v>132</v>
      </c>
      <c r="I3" s="21"/>
    </row>
    <row r="4" spans="1:10" x14ac:dyDescent="0.25">
      <c r="A4" s="17" t="s">
        <v>52</v>
      </c>
      <c r="B4" s="51">
        <f>$I$6</f>
        <v>0.34092450566077115</v>
      </c>
      <c r="D4" s="21">
        <v>2.0099999999999998</v>
      </c>
      <c r="E4" s="21" t="s">
        <v>133</v>
      </c>
      <c r="F4" s="21" t="s">
        <v>134</v>
      </c>
      <c r="G4" s="22">
        <v>8082</v>
      </c>
      <c r="H4" s="21"/>
      <c r="I4" s="21"/>
    </row>
    <row r="5" spans="1:10" x14ac:dyDescent="0.25">
      <c r="A5" s="17" t="s">
        <v>53</v>
      </c>
      <c r="B5" s="51">
        <f>$I$6</f>
        <v>0.34092450566077115</v>
      </c>
      <c r="D5" s="21">
        <v>3</v>
      </c>
      <c r="E5" s="21" t="s">
        <v>135</v>
      </c>
      <c r="F5" s="21"/>
      <c r="G5" s="22">
        <v>1799</v>
      </c>
      <c r="H5" s="48">
        <v>2000</v>
      </c>
      <c r="I5" s="49">
        <f>1-G5/H5</f>
        <v>0.10050000000000003</v>
      </c>
    </row>
    <row r="6" spans="1:10" x14ac:dyDescent="0.25">
      <c r="A6" s="17" t="s">
        <v>54</v>
      </c>
      <c r="B6" s="51">
        <f>$I$6</f>
        <v>0.34092450566077115</v>
      </c>
      <c r="D6" s="21"/>
      <c r="E6" s="21" t="s">
        <v>136</v>
      </c>
      <c r="F6" s="21" t="s">
        <v>137</v>
      </c>
      <c r="G6" s="22">
        <v>25265</v>
      </c>
      <c r="H6" s="48">
        <v>38334</v>
      </c>
      <c r="I6" s="49">
        <f>1-G6/H6</f>
        <v>0.34092450566077115</v>
      </c>
    </row>
    <row r="7" spans="1:10" x14ac:dyDescent="0.25">
      <c r="A7" s="17" t="s">
        <v>55</v>
      </c>
      <c r="B7" s="51">
        <f>$I$6</f>
        <v>0.34092450566077115</v>
      </c>
      <c r="D7" s="21">
        <v>6.01</v>
      </c>
      <c r="E7" s="21" t="s">
        <v>138</v>
      </c>
      <c r="F7" s="21" t="s">
        <v>139</v>
      </c>
      <c r="G7" s="22">
        <v>16472</v>
      </c>
      <c r="H7" s="48"/>
      <c r="I7" s="21"/>
    </row>
    <row r="8" spans="1:10" x14ac:dyDescent="0.25">
      <c r="A8" s="17" t="s">
        <v>100</v>
      </c>
      <c r="B8" s="51">
        <f>$I$9</f>
        <v>2.6040514489776623E-2</v>
      </c>
      <c r="D8" s="21">
        <v>7.01</v>
      </c>
      <c r="E8" s="21" t="s">
        <v>140</v>
      </c>
      <c r="F8" s="21" t="s">
        <v>141</v>
      </c>
      <c r="G8" s="22">
        <v>23172</v>
      </c>
      <c r="H8" s="48">
        <v>31739</v>
      </c>
      <c r="I8" s="49">
        <f>1-G8/H8</f>
        <v>0.26992028734364659</v>
      </c>
    </row>
    <row r="9" spans="1:10" x14ac:dyDescent="0.25">
      <c r="A9" s="17" t="s">
        <v>101</v>
      </c>
      <c r="B9" s="51">
        <f>$I$8</f>
        <v>0.26992028734364659</v>
      </c>
      <c r="D9" s="21">
        <v>8</v>
      </c>
      <c r="E9" s="21" t="s">
        <v>142</v>
      </c>
      <c r="F9" s="21"/>
      <c r="G9" s="22">
        <v>30819</v>
      </c>
      <c r="H9" s="48">
        <v>31643</v>
      </c>
      <c r="I9" s="50">
        <f>1-G9/H9</f>
        <v>2.6040514489776623E-2</v>
      </c>
    </row>
    <row r="10" spans="1:10" x14ac:dyDescent="0.25">
      <c r="A10" s="17" t="s">
        <v>121</v>
      </c>
      <c r="B10" s="51">
        <f>$I$8</f>
        <v>0.26992028734364659</v>
      </c>
      <c r="D10" s="21">
        <v>9.01</v>
      </c>
      <c r="E10" s="21" t="s">
        <v>143</v>
      </c>
      <c r="F10" s="21" t="s">
        <v>144</v>
      </c>
      <c r="G10" s="22">
        <v>15191</v>
      </c>
      <c r="H10" s="48">
        <v>19352</v>
      </c>
      <c r="I10" s="49">
        <f>1-G10/H10</f>
        <v>0.21501653575857793</v>
      </c>
    </row>
    <row r="11" spans="1:10" x14ac:dyDescent="0.25">
      <c r="A11" s="17" t="s">
        <v>122</v>
      </c>
      <c r="B11" s="51">
        <f>$I$8</f>
        <v>0.26992028734364659</v>
      </c>
      <c r="D11" s="21">
        <v>9.02</v>
      </c>
      <c r="E11" s="21" t="s">
        <v>143</v>
      </c>
      <c r="F11" s="21" t="s">
        <v>145</v>
      </c>
      <c r="G11" s="22">
        <v>3557</v>
      </c>
      <c r="H11" s="48">
        <v>5144</v>
      </c>
      <c r="I11" s="49">
        <f>1-G11/H11</f>
        <v>0.30851477449455678</v>
      </c>
    </row>
    <row r="12" spans="1:10" x14ac:dyDescent="0.25">
      <c r="A12" s="17" t="s">
        <v>123</v>
      </c>
      <c r="B12" s="51">
        <f>$I$8</f>
        <v>0.26992028734364659</v>
      </c>
      <c r="D12" s="21">
        <v>10</v>
      </c>
      <c r="E12" s="21" t="s">
        <v>146</v>
      </c>
      <c r="F12" s="21"/>
      <c r="G12" s="22">
        <v>3163</v>
      </c>
      <c r="H12" s="48">
        <v>3200</v>
      </c>
      <c r="I12" s="50">
        <f>1-G12/H12</f>
        <v>1.1562500000000031E-2</v>
      </c>
    </row>
    <row r="13" spans="1:10" x14ac:dyDescent="0.25">
      <c r="A13" s="17" t="s">
        <v>107</v>
      </c>
      <c r="B13" s="51">
        <f>$I$10</f>
        <v>0.21501653575857793</v>
      </c>
      <c r="D13" s="21" t="s">
        <v>147</v>
      </c>
      <c r="E13" s="21"/>
      <c r="F13" s="21"/>
      <c r="G13" s="21"/>
      <c r="H13" s="21"/>
      <c r="I13" s="21"/>
    </row>
    <row r="14" spans="1:10" x14ac:dyDescent="0.25">
      <c r="A14" s="17" t="s">
        <v>106</v>
      </c>
      <c r="B14" s="51">
        <f>$I$11</f>
        <v>0.30851477449455678</v>
      </c>
    </row>
    <row r="15" spans="1:10" x14ac:dyDescent="0.25">
      <c r="A15" s="17" t="s">
        <v>17</v>
      </c>
      <c r="B15" s="51">
        <f>$I$12</f>
        <v>1.1562500000000031E-2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8831F-C4B9-4F08-9776-070C79269153}">
  <sheetPr>
    <tabColor theme="0" tint="-0.499984740745262"/>
  </sheetPr>
  <dimension ref="A1:M11"/>
  <sheetViews>
    <sheetView workbookViewId="0">
      <selection activeCell="T36" sqref="A25:T36"/>
    </sheetView>
  </sheetViews>
  <sheetFormatPr defaultColWidth="9.140625" defaultRowHeight="15" x14ac:dyDescent="0.25"/>
  <cols>
    <col min="1" max="16384" width="9.140625" style="2"/>
  </cols>
  <sheetData>
    <row r="1" spans="1:13" x14ac:dyDescent="0.25">
      <c r="A1" s="3" t="s">
        <v>5</v>
      </c>
      <c r="B1" s="3" t="s">
        <v>1</v>
      </c>
      <c r="C1" s="3" t="s">
        <v>2</v>
      </c>
      <c r="D1" s="3" t="s">
        <v>3</v>
      </c>
      <c r="E1" s="3" t="s">
        <v>4</v>
      </c>
      <c r="G1" s="5" t="s">
        <v>93</v>
      </c>
      <c r="J1" s="1" t="s">
        <v>58</v>
      </c>
      <c r="M1" s="1" t="s">
        <v>94</v>
      </c>
    </row>
    <row r="2" spans="1:13" x14ac:dyDescent="0.25">
      <c r="A2" s="3">
        <v>2019</v>
      </c>
      <c r="B2" s="4">
        <v>33750</v>
      </c>
      <c r="C2" s="4">
        <v>28999</v>
      </c>
      <c r="D2" s="4">
        <v>42678</v>
      </c>
      <c r="E2" s="4">
        <v>31527</v>
      </c>
    </row>
    <row r="3" spans="1:13" x14ac:dyDescent="0.25">
      <c r="A3" s="3">
        <v>2020</v>
      </c>
      <c r="B3" s="4">
        <v>34342</v>
      </c>
      <c r="C3" s="4">
        <v>29674</v>
      </c>
      <c r="D3" s="4">
        <v>44152</v>
      </c>
      <c r="E3" s="4">
        <v>31419</v>
      </c>
    </row>
    <row r="4" spans="1:13" x14ac:dyDescent="0.25">
      <c r="A4" s="3">
        <v>2021</v>
      </c>
      <c r="B4" s="4">
        <v>34997</v>
      </c>
      <c r="C4" s="4">
        <v>30333</v>
      </c>
      <c r="D4" s="4">
        <v>45682</v>
      </c>
      <c r="E4" s="4">
        <v>31469</v>
      </c>
    </row>
    <row r="5" spans="1:13" x14ac:dyDescent="0.25">
      <c r="A5" s="3">
        <v>2022</v>
      </c>
      <c r="B5" s="4">
        <v>35610</v>
      </c>
      <c r="C5" s="4">
        <v>31003</v>
      </c>
      <c r="D5" s="4">
        <v>47270</v>
      </c>
      <c r="E5" s="4">
        <v>31832</v>
      </c>
    </row>
    <row r="6" spans="1:13" x14ac:dyDescent="0.25">
      <c r="A6" s="3">
        <v>2023</v>
      </c>
      <c r="B6" s="4">
        <v>36050</v>
      </c>
      <c r="C6" s="4">
        <v>31443</v>
      </c>
      <c r="D6" s="4">
        <v>48920</v>
      </c>
      <c r="E6" s="4">
        <v>32462</v>
      </c>
    </row>
    <row r="7" spans="1:13" x14ac:dyDescent="0.25">
      <c r="A7" s="3">
        <v>2024</v>
      </c>
      <c r="B7" s="4">
        <v>36571</v>
      </c>
      <c r="C7" s="4">
        <v>31784</v>
      </c>
      <c r="D7" s="4">
        <v>50583</v>
      </c>
      <c r="E7" s="4">
        <v>32552</v>
      </c>
    </row>
    <row r="8" spans="1:13" x14ac:dyDescent="0.25">
      <c r="A8" s="3">
        <v>2025</v>
      </c>
      <c r="B8" s="4">
        <v>36873</v>
      </c>
      <c r="C8" s="4">
        <v>32055</v>
      </c>
      <c r="D8" s="4">
        <v>52332</v>
      </c>
      <c r="E8" s="4">
        <v>32557</v>
      </c>
    </row>
    <row r="9" spans="1:13" x14ac:dyDescent="0.25">
      <c r="A9" s="3">
        <v>2026</v>
      </c>
      <c r="B9" s="4">
        <v>37086</v>
      </c>
      <c r="C9" s="4">
        <v>32380</v>
      </c>
      <c r="D9" s="4">
        <v>53733</v>
      </c>
      <c r="E9" s="4">
        <v>32490</v>
      </c>
    </row>
    <row r="10" spans="1:13" x14ac:dyDescent="0.25">
      <c r="A10" s="3">
        <v>2027</v>
      </c>
      <c r="B10" s="4">
        <v>37266</v>
      </c>
      <c r="C10" s="4">
        <v>32709</v>
      </c>
      <c r="D10" s="4">
        <v>54849</v>
      </c>
      <c r="E10" s="4">
        <v>32395</v>
      </c>
    </row>
    <row r="11" spans="1:13" x14ac:dyDescent="0.25">
      <c r="A11" s="3">
        <v>2028</v>
      </c>
      <c r="B11" s="4">
        <v>37324</v>
      </c>
      <c r="C11" s="4">
        <v>33073</v>
      </c>
      <c r="D11" s="4">
        <v>55836</v>
      </c>
      <c r="E11" s="4">
        <v>32219</v>
      </c>
    </row>
  </sheetData>
  <hyperlinks>
    <hyperlink ref="J1" r:id="rId1" xr:uid="{DBA892C1-AD26-409E-BF79-0C3D45FE02CE}"/>
    <hyperlink ref="M1" r:id="rId2" xr:uid="{616A7281-6989-4954-9F74-890BEAB18C33}"/>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0B46-85DD-460C-9630-32A2C36D7F1E}">
  <sheetPr>
    <tabColor theme="0" tint="-0.499984740745262"/>
  </sheetPr>
  <dimension ref="A1:AF17"/>
  <sheetViews>
    <sheetView zoomScaleNormal="100" workbookViewId="0">
      <selection activeCell="K5" sqref="K5"/>
    </sheetView>
  </sheetViews>
  <sheetFormatPr defaultColWidth="9" defaultRowHeight="15" x14ac:dyDescent="0.25"/>
  <cols>
    <col min="1" max="26" width="9" style="2"/>
    <col min="27" max="27" width="9" style="2" customWidth="1"/>
    <col min="28" max="16384" width="9" style="2"/>
  </cols>
  <sheetData>
    <row r="1" spans="1:32" x14ac:dyDescent="0.25">
      <c r="A1" s="5" t="s">
        <v>7</v>
      </c>
      <c r="J1" s="5" t="s">
        <v>126</v>
      </c>
      <c r="P1" s="5" t="s">
        <v>125</v>
      </c>
    </row>
    <row r="2" spans="1:32" x14ac:dyDescent="0.25">
      <c r="A2" s="5"/>
      <c r="J2" s="5"/>
      <c r="Q2" s="98" t="s">
        <v>1</v>
      </c>
      <c r="R2" s="99"/>
      <c r="S2" s="99"/>
      <c r="T2" s="99"/>
      <c r="U2" s="98" t="s">
        <v>2</v>
      </c>
      <c r="V2" s="99"/>
      <c r="W2" s="99"/>
      <c r="X2" s="99"/>
      <c r="Y2" s="98" t="s">
        <v>3</v>
      </c>
      <c r="Z2" s="99"/>
      <c r="AA2" s="99"/>
      <c r="AB2" s="99"/>
      <c r="AC2" s="98" t="s">
        <v>4</v>
      </c>
      <c r="AD2" s="99"/>
      <c r="AE2" s="99"/>
      <c r="AF2" s="99"/>
    </row>
    <row r="3" spans="1:32" ht="60" x14ac:dyDescent="0.25">
      <c r="A3" s="3" t="s">
        <v>5</v>
      </c>
      <c r="B3" s="3" t="s">
        <v>1</v>
      </c>
      <c r="C3" s="3" t="s">
        <v>2</v>
      </c>
      <c r="D3" s="3" t="s">
        <v>3</v>
      </c>
      <c r="E3" s="3" t="s">
        <v>4</v>
      </c>
      <c r="F3" s="6" t="s">
        <v>10</v>
      </c>
      <c r="G3" s="6" t="s">
        <v>8</v>
      </c>
      <c r="H3" s="6" t="s">
        <v>9</v>
      </c>
      <c r="J3" s="3" t="s">
        <v>5</v>
      </c>
      <c r="K3" s="3" t="s">
        <v>1</v>
      </c>
      <c r="L3" s="3" t="s">
        <v>2</v>
      </c>
      <c r="M3" s="3" t="s">
        <v>3</v>
      </c>
      <c r="N3" s="3" t="s">
        <v>4</v>
      </c>
      <c r="P3" s="3" t="s">
        <v>5</v>
      </c>
      <c r="Q3" s="8" t="s">
        <v>11</v>
      </c>
      <c r="R3" s="6" t="s">
        <v>12</v>
      </c>
      <c r="S3" s="6" t="s">
        <v>13</v>
      </c>
      <c r="T3" s="6" t="s">
        <v>14</v>
      </c>
      <c r="U3" s="8" t="s">
        <v>11</v>
      </c>
      <c r="V3" s="6" t="s">
        <v>12</v>
      </c>
      <c r="W3" s="6" t="s">
        <v>13</v>
      </c>
      <c r="X3" s="6" t="s">
        <v>14</v>
      </c>
      <c r="Y3" s="8" t="s">
        <v>11</v>
      </c>
      <c r="Z3" s="6" t="s">
        <v>12</v>
      </c>
      <c r="AA3" s="6" t="s">
        <v>13</v>
      </c>
      <c r="AB3" s="6" t="s">
        <v>14</v>
      </c>
      <c r="AC3" s="8" t="s">
        <v>11</v>
      </c>
      <c r="AD3" s="6" t="s">
        <v>12</v>
      </c>
      <c r="AE3" s="6" t="s">
        <v>13</v>
      </c>
      <c r="AF3" s="6" t="s">
        <v>14</v>
      </c>
    </row>
    <row r="4" spans="1:32" x14ac:dyDescent="0.25">
      <c r="A4" s="3">
        <v>2016</v>
      </c>
      <c r="B4" s="42"/>
      <c r="C4" s="42"/>
      <c r="D4" s="42"/>
      <c r="E4" s="42"/>
      <c r="F4" s="18">
        <v>5500</v>
      </c>
      <c r="G4" s="18">
        <v>6039</v>
      </c>
      <c r="H4" s="18">
        <v>4293</v>
      </c>
      <c r="J4" s="3">
        <v>2016</v>
      </c>
      <c r="K4" s="42"/>
      <c r="L4" s="42"/>
      <c r="M4" s="42"/>
      <c r="N4" s="42"/>
      <c r="P4" s="3"/>
      <c r="Q4" s="10"/>
      <c r="R4" s="9"/>
      <c r="S4" s="9"/>
      <c r="T4" s="9"/>
      <c r="U4" s="10"/>
      <c r="V4" s="9"/>
      <c r="W4" s="9"/>
      <c r="X4" s="9"/>
      <c r="Y4" s="10"/>
      <c r="Z4" s="9"/>
      <c r="AA4" s="9"/>
      <c r="AB4" s="9"/>
      <c r="AC4" s="10"/>
      <c r="AD4" s="9"/>
      <c r="AE4" s="9"/>
      <c r="AF4" s="9"/>
    </row>
    <row r="5" spans="1:32" x14ac:dyDescent="0.25">
      <c r="A5" s="3">
        <v>2017</v>
      </c>
      <c r="B5" s="18">
        <v>32800</v>
      </c>
      <c r="C5" s="18">
        <v>27949</v>
      </c>
      <c r="D5" s="18">
        <v>37282</v>
      </c>
      <c r="E5" s="18">
        <v>29620</v>
      </c>
      <c r="F5" s="18">
        <v>5641</v>
      </c>
      <c r="G5" s="18">
        <v>5841</v>
      </c>
      <c r="H5" s="18">
        <v>4420</v>
      </c>
      <c r="J5" s="3">
        <v>2017</v>
      </c>
      <c r="K5" s="26">
        <f>SUM($R5:$U5)</f>
        <v>19335.3</v>
      </c>
      <c r="L5" s="26">
        <f>SUM($U5:$X5)</f>
        <v>8771.5999999999985</v>
      </c>
      <c r="M5" s="26">
        <f>SUM($Y5:$AB5)</f>
        <v>14861.2</v>
      </c>
      <c r="N5" s="26">
        <f>SUM($AC5:$AF5)</f>
        <v>7991</v>
      </c>
      <c r="P5" s="3">
        <v>2017</v>
      </c>
      <c r="Q5" s="43">
        <v>8360.7999999999993</v>
      </c>
      <c r="R5" s="44">
        <v>8716</v>
      </c>
      <c r="S5" s="44">
        <v>3206.5</v>
      </c>
      <c r="T5" s="44">
        <v>1986.1</v>
      </c>
      <c r="U5" s="43">
        <v>5426.7</v>
      </c>
      <c r="V5" s="44">
        <v>2876.1</v>
      </c>
      <c r="W5" s="44">
        <v>468.8</v>
      </c>
      <c r="X5" s="44"/>
      <c r="Y5" s="43">
        <v>9927.2000000000007</v>
      </c>
      <c r="Z5" s="44">
        <v>4650</v>
      </c>
      <c r="AA5" s="44">
        <v>284</v>
      </c>
      <c r="AB5" s="44"/>
      <c r="AC5" s="43">
        <v>7991</v>
      </c>
      <c r="AD5" s="44"/>
      <c r="AE5" s="44"/>
      <c r="AF5" s="44"/>
    </row>
    <row r="6" spans="1:32" x14ac:dyDescent="0.25">
      <c r="A6" s="3">
        <v>2018</v>
      </c>
      <c r="B6" s="18">
        <v>33023</v>
      </c>
      <c r="C6" s="18">
        <v>28247</v>
      </c>
      <c r="D6" s="18">
        <v>39931</v>
      </c>
      <c r="E6" s="18">
        <v>29156</v>
      </c>
      <c r="F6" s="18">
        <v>6015</v>
      </c>
      <c r="G6" s="18">
        <v>6011</v>
      </c>
      <c r="H6" s="18">
        <v>5033</v>
      </c>
      <c r="J6" s="3">
        <v>2018</v>
      </c>
      <c r="K6" s="26">
        <f t="shared" ref="K6:K10" si="0">SUM($R6:$U6)</f>
        <v>19516.7</v>
      </c>
      <c r="L6" s="26">
        <f t="shared" ref="L6:L10" si="1">SUM($U6:$X6)</f>
        <v>8996.6</v>
      </c>
      <c r="M6" s="26">
        <f t="shared" ref="M6:M10" si="2">SUM($Y6:$AB6)</f>
        <v>15419.3</v>
      </c>
      <c r="N6" s="26">
        <f t="shared" ref="N6:N10" si="3">SUM($AC6:$AF6)</f>
        <v>7785</v>
      </c>
      <c r="P6" s="3">
        <v>2018</v>
      </c>
      <c r="Q6" s="43">
        <v>8348.1</v>
      </c>
      <c r="R6" s="44">
        <v>8700.2000000000007</v>
      </c>
      <c r="S6" s="44">
        <v>3274.6</v>
      </c>
      <c r="T6" s="44">
        <v>2036</v>
      </c>
      <c r="U6" s="43">
        <v>5505.9</v>
      </c>
      <c r="V6" s="44">
        <v>3026</v>
      </c>
      <c r="W6" s="44">
        <v>464.7</v>
      </c>
      <c r="X6" s="44"/>
      <c r="Y6" s="43">
        <v>9906.7999999999993</v>
      </c>
      <c r="Z6" s="44">
        <v>5116</v>
      </c>
      <c r="AA6" s="44">
        <v>396.5</v>
      </c>
      <c r="AB6" s="44"/>
      <c r="AC6" s="43">
        <v>7785</v>
      </c>
      <c r="AD6" s="44"/>
      <c r="AE6" s="44"/>
      <c r="AF6" s="44"/>
    </row>
    <row r="7" spans="1:32" x14ac:dyDescent="0.25">
      <c r="A7" s="3">
        <v>2019</v>
      </c>
      <c r="B7" s="18">
        <v>32852</v>
      </c>
      <c r="C7" s="18">
        <v>29644</v>
      </c>
      <c r="D7" s="18">
        <v>41728</v>
      </c>
      <c r="E7" s="18">
        <v>29517</v>
      </c>
      <c r="F7" s="18">
        <v>5883</v>
      </c>
      <c r="G7" s="18">
        <v>6450</v>
      </c>
      <c r="H7" s="18">
        <v>5163</v>
      </c>
      <c r="J7" s="3">
        <v>2019</v>
      </c>
      <c r="K7" s="26">
        <f t="shared" si="0"/>
        <v>19427.45</v>
      </c>
      <c r="L7" s="26">
        <f t="shared" si="1"/>
        <v>8956.1999999999989</v>
      </c>
      <c r="M7" s="26">
        <f t="shared" si="2"/>
        <v>15739.3</v>
      </c>
      <c r="N7" s="26">
        <f t="shared" si="3"/>
        <v>7795</v>
      </c>
      <c r="P7" s="3">
        <v>2019</v>
      </c>
      <c r="Q7" s="43">
        <v>8079.2</v>
      </c>
      <c r="R7" s="44">
        <v>8638</v>
      </c>
      <c r="S7" s="44">
        <v>3365.1</v>
      </c>
      <c r="T7" s="44">
        <v>2047.75</v>
      </c>
      <c r="U7" s="43">
        <v>5376.6</v>
      </c>
      <c r="V7" s="44">
        <v>3098.9</v>
      </c>
      <c r="W7" s="44">
        <v>462.3</v>
      </c>
      <c r="X7" s="44">
        <v>18.399999999999999</v>
      </c>
      <c r="Y7" s="43">
        <v>9882.5</v>
      </c>
      <c r="Z7" s="44">
        <v>5459</v>
      </c>
      <c r="AA7" s="44">
        <v>397.8</v>
      </c>
      <c r="AB7" s="44"/>
      <c r="AC7" s="43">
        <v>7795</v>
      </c>
      <c r="AD7" s="44"/>
      <c r="AE7" s="44"/>
      <c r="AF7" s="44"/>
    </row>
    <row r="8" spans="1:32" x14ac:dyDescent="0.25">
      <c r="A8" s="3">
        <v>2020</v>
      </c>
      <c r="B8" s="18">
        <v>33080</v>
      </c>
      <c r="C8" s="18">
        <v>29596</v>
      </c>
      <c r="D8" s="18">
        <v>40936</v>
      </c>
      <c r="E8" s="18">
        <v>27293</v>
      </c>
      <c r="F8" s="18">
        <v>5993</v>
      </c>
      <c r="G8" s="18">
        <v>6709</v>
      </c>
      <c r="H8" s="18">
        <v>5562</v>
      </c>
      <c r="J8" s="3">
        <v>2020</v>
      </c>
      <c r="K8" s="26">
        <f t="shared" si="0"/>
        <v>19400.150000000001</v>
      </c>
      <c r="L8" s="26">
        <f t="shared" si="1"/>
        <v>8760.1999999999989</v>
      </c>
      <c r="M8" s="26">
        <f t="shared" si="2"/>
        <v>15960.7</v>
      </c>
      <c r="N8" s="26">
        <f t="shared" si="3"/>
        <v>7086</v>
      </c>
      <c r="P8" s="3">
        <v>2020</v>
      </c>
      <c r="Q8" s="43">
        <v>7785.4</v>
      </c>
      <c r="R8" s="44">
        <v>8750.1</v>
      </c>
      <c r="S8" s="44">
        <v>3478.7</v>
      </c>
      <c r="T8" s="44">
        <v>2026.85</v>
      </c>
      <c r="U8" s="43">
        <v>5144.5</v>
      </c>
      <c r="V8" s="44">
        <v>3075.3</v>
      </c>
      <c r="W8" s="44">
        <v>501.4</v>
      </c>
      <c r="X8" s="44">
        <v>39</v>
      </c>
      <c r="Y8" s="43">
        <v>9783</v>
      </c>
      <c r="Z8" s="44">
        <v>5688</v>
      </c>
      <c r="AA8" s="44">
        <v>489.7</v>
      </c>
      <c r="AB8" s="44"/>
      <c r="AC8" s="43">
        <v>7086</v>
      </c>
      <c r="AD8" s="44"/>
      <c r="AE8" s="44"/>
      <c r="AF8" s="44"/>
    </row>
    <row r="9" spans="1:32" x14ac:dyDescent="0.25">
      <c r="A9" s="3">
        <v>2021</v>
      </c>
      <c r="B9" s="18">
        <v>34462</v>
      </c>
      <c r="C9" s="18">
        <v>29774</v>
      </c>
      <c r="D9" s="18">
        <v>41262</v>
      </c>
      <c r="E9" s="18">
        <v>27225</v>
      </c>
      <c r="F9" s="42"/>
      <c r="G9" s="42"/>
      <c r="H9" s="42"/>
      <c r="J9" s="3">
        <v>2021</v>
      </c>
      <c r="K9" s="26">
        <f t="shared" si="0"/>
        <v>18694.25</v>
      </c>
      <c r="L9" s="26">
        <f t="shared" si="1"/>
        <v>8356.5</v>
      </c>
      <c r="M9" s="26">
        <f t="shared" si="2"/>
        <v>15352</v>
      </c>
      <c r="N9" s="26">
        <f t="shared" si="3"/>
        <v>6432</v>
      </c>
      <c r="P9" s="3">
        <v>2021</v>
      </c>
      <c r="Q9" s="43">
        <v>7957.8</v>
      </c>
      <c r="R9" s="44">
        <v>8469.7999999999993</v>
      </c>
      <c r="S9" s="44">
        <v>3441.5</v>
      </c>
      <c r="T9" s="44">
        <v>1980.65</v>
      </c>
      <c r="U9" s="43">
        <v>4802.3</v>
      </c>
      <c r="V9" s="44">
        <v>2964.2</v>
      </c>
      <c r="W9" s="44">
        <v>533.79999999999995</v>
      </c>
      <c r="X9" s="44">
        <v>56.2</v>
      </c>
      <c r="Y9" s="43">
        <v>9364.1</v>
      </c>
      <c r="Z9" s="44">
        <v>5437</v>
      </c>
      <c r="AA9" s="44">
        <v>550.9</v>
      </c>
      <c r="AB9" s="44"/>
      <c r="AC9" s="43">
        <v>6432</v>
      </c>
      <c r="AD9" s="44"/>
      <c r="AE9" s="44"/>
      <c r="AF9" s="44"/>
    </row>
    <row r="10" spans="1:32" x14ac:dyDescent="0.25">
      <c r="A10" s="3">
        <v>2022</v>
      </c>
      <c r="B10" s="18">
        <v>34734</v>
      </c>
      <c r="C10" s="18">
        <v>29914</v>
      </c>
      <c r="D10" s="18">
        <v>43099</v>
      </c>
      <c r="E10" s="18">
        <v>26348</v>
      </c>
      <c r="F10" s="42"/>
      <c r="G10" s="42"/>
      <c r="H10" s="42"/>
      <c r="J10" s="3">
        <v>2022</v>
      </c>
      <c r="K10" s="26">
        <f t="shared" si="0"/>
        <v>0</v>
      </c>
      <c r="L10" s="26">
        <f t="shared" si="1"/>
        <v>0</v>
      </c>
      <c r="M10" s="26">
        <f t="shared" si="2"/>
        <v>0</v>
      </c>
      <c r="N10" s="26">
        <f t="shared" si="3"/>
        <v>0</v>
      </c>
      <c r="P10" s="3">
        <v>2022</v>
      </c>
      <c r="Q10" s="45"/>
      <c r="R10" s="46"/>
      <c r="S10" s="46"/>
      <c r="T10" s="46"/>
      <c r="U10" s="45"/>
      <c r="V10" s="46"/>
      <c r="W10" s="46"/>
      <c r="X10" s="46"/>
      <c r="Y10" s="45"/>
      <c r="Z10" s="46"/>
      <c r="AA10" s="46"/>
      <c r="AB10" s="46"/>
      <c r="AC10" s="45"/>
      <c r="AD10" s="46"/>
      <c r="AE10" s="46"/>
      <c r="AF10" s="46"/>
    </row>
    <row r="14" spans="1:32" x14ac:dyDescent="0.25">
      <c r="B14" s="1" t="s">
        <v>59</v>
      </c>
      <c r="K14" s="1"/>
    </row>
    <row r="15" spans="1:32" x14ac:dyDescent="0.25">
      <c r="B15" s="1" t="s">
        <v>58</v>
      </c>
      <c r="K15" s="1"/>
    </row>
    <row r="16" spans="1:32" x14ac:dyDescent="0.25">
      <c r="B16" s="1" t="s">
        <v>56</v>
      </c>
      <c r="K16" s="1"/>
    </row>
    <row r="17" spans="1:16" x14ac:dyDescent="0.25">
      <c r="A17" s="2" t="s">
        <v>6</v>
      </c>
      <c r="B17" s="1" t="s">
        <v>0</v>
      </c>
      <c r="K17" s="1"/>
      <c r="P17" s="1" t="s">
        <v>57</v>
      </c>
    </row>
  </sheetData>
  <mergeCells count="4">
    <mergeCell ref="Q2:T2"/>
    <mergeCell ref="U2:X2"/>
    <mergeCell ref="Y2:AB2"/>
    <mergeCell ref="AC2:AF2"/>
  </mergeCells>
  <hyperlinks>
    <hyperlink ref="B17" r:id="rId1" xr:uid="{4617F98B-FF18-4701-92C7-6554353140E4}"/>
    <hyperlink ref="B16" r:id="rId2" xr:uid="{C437EB03-DD25-4D51-B5E2-205E6D539A0D}"/>
    <hyperlink ref="P17" r:id="rId3" xr:uid="{CF89EF46-8749-4163-BB7F-DECEA06E27C8}"/>
    <hyperlink ref="B15" r:id="rId4" xr:uid="{5BF517A7-FF18-47C2-BBAC-5BDE1C6533EE}"/>
    <hyperlink ref="B14" r:id="rId5" xr:uid="{47BE5545-5559-4576-8876-15B4354A4644}"/>
  </hyperlinks>
  <pageMargins left="0.7" right="0.7" top="0.75" bottom="0.75" header="0.3" footer="0.3"/>
  <pageSetup orientation="portrait" verticalDpi="0" r:id="rId6"/>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DE824-A5C3-446F-AB0F-828D0CB7E283}">
  <sheetPr>
    <tabColor theme="0" tint="-0.499984740745262"/>
  </sheetPr>
  <dimension ref="A1:AC5"/>
  <sheetViews>
    <sheetView workbookViewId="0">
      <selection activeCell="AC5" sqref="AC5"/>
    </sheetView>
  </sheetViews>
  <sheetFormatPr defaultColWidth="9.140625" defaultRowHeight="15" x14ac:dyDescent="0.25"/>
  <cols>
    <col min="1" max="16384" width="9.140625" style="2"/>
  </cols>
  <sheetData>
    <row r="1" spans="1:29" x14ac:dyDescent="0.25">
      <c r="A1" s="16" t="s">
        <v>91</v>
      </c>
      <c r="B1" s="16" t="s">
        <v>90</v>
      </c>
      <c r="C1" s="16" t="s">
        <v>89</v>
      </c>
      <c r="D1" s="16" t="s">
        <v>88</v>
      </c>
      <c r="E1" s="16" t="s">
        <v>87</v>
      </c>
      <c r="F1" s="16" t="s">
        <v>86</v>
      </c>
      <c r="G1" s="16" t="s">
        <v>85</v>
      </c>
      <c r="H1" s="16" t="s">
        <v>84</v>
      </c>
      <c r="I1" s="16" t="s">
        <v>83</v>
      </c>
      <c r="J1" s="16" t="s">
        <v>82</v>
      </c>
      <c r="K1" s="16" t="s">
        <v>81</v>
      </c>
      <c r="L1" s="16" t="s">
        <v>80</v>
      </c>
      <c r="M1" s="16" t="s">
        <v>79</v>
      </c>
      <c r="N1" s="16" t="s">
        <v>78</v>
      </c>
      <c r="O1" s="16" t="s">
        <v>77</v>
      </c>
      <c r="P1" s="16" t="s">
        <v>76</v>
      </c>
      <c r="Q1" s="16" t="s">
        <v>75</v>
      </c>
      <c r="R1" s="16" t="s">
        <v>74</v>
      </c>
      <c r="S1" s="16" t="s">
        <v>73</v>
      </c>
      <c r="T1" s="16" t="s">
        <v>72</v>
      </c>
      <c r="U1" s="16" t="s">
        <v>71</v>
      </c>
      <c r="V1" s="16" t="s">
        <v>70</v>
      </c>
      <c r="W1" s="16" t="s">
        <v>69</v>
      </c>
      <c r="X1" s="16" t="s">
        <v>68</v>
      </c>
      <c r="Y1" s="16" t="s">
        <v>67</v>
      </c>
      <c r="Z1" s="16" t="s">
        <v>66</v>
      </c>
      <c r="AA1" s="16" t="s">
        <v>65</v>
      </c>
      <c r="AB1" s="16" t="s">
        <v>64</v>
      </c>
      <c r="AC1" s="16" t="s">
        <v>63</v>
      </c>
    </row>
    <row r="2" spans="1:29" x14ac:dyDescent="0.25">
      <c r="A2" s="21">
        <v>1</v>
      </c>
      <c r="B2" s="21" t="s">
        <v>62</v>
      </c>
      <c r="C2" s="22">
        <v>30364</v>
      </c>
      <c r="D2" s="22">
        <v>27114</v>
      </c>
      <c r="E2" s="22">
        <v>26476</v>
      </c>
      <c r="F2" s="22">
        <v>29342</v>
      </c>
      <c r="G2" s="22">
        <v>30035</v>
      </c>
      <c r="H2" s="22">
        <v>30037</v>
      </c>
      <c r="I2" s="22">
        <v>30162</v>
      </c>
      <c r="J2" s="22">
        <v>30119</v>
      </c>
      <c r="K2" s="22">
        <v>31926</v>
      </c>
      <c r="L2" s="21">
        <v>230038</v>
      </c>
      <c r="M2" s="21">
        <v>230038</v>
      </c>
      <c r="N2" s="21">
        <v>230038</v>
      </c>
      <c r="O2" s="21">
        <v>230038</v>
      </c>
      <c r="P2" s="21">
        <v>230038</v>
      </c>
      <c r="Q2" s="21">
        <v>230038</v>
      </c>
      <c r="R2" s="21">
        <v>230038</v>
      </c>
      <c r="S2" s="21">
        <v>230038</v>
      </c>
      <c r="T2" s="21">
        <v>230038</v>
      </c>
      <c r="U2" s="21" t="s">
        <v>60</v>
      </c>
      <c r="V2" s="21" t="s">
        <v>60</v>
      </c>
      <c r="W2" s="21" t="s">
        <v>60</v>
      </c>
      <c r="X2" s="21" t="s">
        <v>60</v>
      </c>
      <c r="Y2" s="21" t="s">
        <v>60</v>
      </c>
      <c r="Z2" s="21" t="s">
        <v>60</v>
      </c>
      <c r="AA2" s="21" t="s">
        <v>60</v>
      </c>
      <c r="AB2" s="21" t="s">
        <v>60</v>
      </c>
      <c r="AC2" s="21" t="s">
        <v>60</v>
      </c>
    </row>
    <row r="3" spans="1:29" x14ac:dyDescent="0.25">
      <c r="A3" s="21">
        <v>2</v>
      </c>
      <c r="B3" s="21" t="s">
        <v>61</v>
      </c>
      <c r="C3" s="22">
        <v>4045</v>
      </c>
      <c r="D3" s="22">
        <v>4009</v>
      </c>
      <c r="E3" s="22">
        <v>4008</v>
      </c>
      <c r="F3" s="22">
        <v>4127</v>
      </c>
      <c r="G3" s="22">
        <v>4205</v>
      </c>
      <c r="H3" s="22">
        <v>4297</v>
      </c>
      <c r="I3" s="22">
        <v>4337</v>
      </c>
      <c r="J3" s="22">
        <v>4199</v>
      </c>
      <c r="K3" s="22">
        <v>4535</v>
      </c>
      <c r="L3" s="21">
        <v>230038</v>
      </c>
      <c r="M3" s="21">
        <v>230038</v>
      </c>
      <c r="N3" s="21">
        <v>230038</v>
      </c>
      <c r="O3" s="21">
        <v>230038</v>
      </c>
      <c r="P3" s="21">
        <v>230038</v>
      </c>
      <c r="Q3" s="21">
        <v>230038</v>
      </c>
      <c r="R3" s="21">
        <v>230038</v>
      </c>
      <c r="S3" s="21">
        <v>230038</v>
      </c>
      <c r="T3" s="21">
        <v>230038</v>
      </c>
      <c r="U3" s="21" t="s">
        <v>60</v>
      </c>
      <c r="V3" s="21" t="s">
        <v>60</v>
      </c>
      <c r="W3" s="21" t="s">
        <v>60</v>
      </c>
      <c r="X3" s="21" t="s">
        <v>60</v>
      </c>
      <c r="Y3" s="21" t="s">
        <v>60</v>
      </c>
      <c r="Z3" s="21" t="s">
        <v>60</v>
      </c>
      <c r="AA3" s="21" t="s">
        <v>60</v>
      </c>
      <c r="AB3" s="21" t="s">
        <v>60</v>
      </c>
      <c r="AC3" s="21" t="s">
        <v>60</v>
      </c>
    </row>
    <row r="4" spans="1:29" x14ac:dyDescent="0.25">
      <c r="B4" s="16" t="s">
        <v>5</v>
      </c>
      <c r="C4" s="24">
        <f t="shared" ref="C4:K4" si="0">INT(MID(C1,13,4))</f>
        <v>2012</v>
      </c>
      <c r="D4" s="24">
        <f t="shared" si="0"/>
        <v>2013</v>
      </c>
      <c r="E4" s="24">
        <f t="shared" si="0"/>
        <v>2014</v>
      </c>
      <c r="F4" s="24">
        <f t="shared" si="0"/>
        <v>2015</v>
      </c>
      <c r="G4" s="24">
        <f t="shared" si="0"/>
        <v>2016</v>
      </c>
      <c r="H4" s="24">
        <f t="shared" si="0"/>
        <v>2017</v>
      </c>
      <c r="I4" s="24">
        <f t="shared" si="0"/>
        <v>2018</v>
      </c>
      <c r="J4" s="24">
        <f t="shared" si="0"/>
        <v>2019</v>
      </c>
      <c r="K4" s="24">
        <f t="shared" si="0"/>
        <v>2020</v>
      </c>
    </row>
    <row r="5" spans="1:29" x14ac:dyDescent="0.25">
      <c r="B5" s="16" t="s">
        <v>92</v>
      </c>
      <c r="C5" s="23">
        <f t="shared" ref="C5:K5" si="1">SUM(C2:C3)</f>
        <v>34409</v>
      </c>
      <c r="D5" s="23">
        <f t="shared" si="1"/>
        <v>31123</v>
      </c>
      <c r="E5" s="23">
        <f t="shared" si="1"/>
        <v>30484</v>
      </c>
      <c r="F5" s="23">
        <f t="shared" si="1"/>
        <v>33469</v>
      </c>
      <c r="G5" s="23">
        <f t="shared" si="1"/>
        <v>34240</v>
      </c>
      <c r="H5" s="23">
        <f t="shared" si="1"/>
        <v>34334</v>
      </c>
      <c r="I5" s="23">
        <f t="shared" si="1"/>
        <v>34499</v>
      </c>
      <c r="J5" s="23">
        <f t="shared" si="1"/>
        <v>34318</v>
      </c>
      <c r="K5" s="23">
        <f t="shared" si="1"/>
        <v>36461</v>
      </c>
    </row>
  </sheetData>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D60A-3393-4A86-B3D4-2ADCEB7218E2}">
  <sheetPr>
    <tabColor theme="0" tint="-0.499984740745262"/>
  </sheetPr>
  <dimension ref="A1:N17"/>
  <sheetViews>
    <sheetView zoomScaleNormal="100" workbookViewId="0"/>
  </sheetViews>
  <sheetFormatPr defaultColWidth="9.140625" defaultRowHeight="15" x14ac:dyDescent="0.25"/>
  <cols>
    <col min="1" max="16384" width="9.140625" style="2"/>
  </cols>
  <sheetData>
    <row r="1" spans="1:14" x14ac:dyDescent="0.25">
      <c r="A1" s="3" t="s">
        <v>5</v>
      </c>
      <c r="B1" s="3" t="s">
        <v>99</v>
      </c>
      <c r="C1" s="3" t="s">
        <v>98</v>
      </c>
      <c r="D1" s="3" t="s">
        <v>92</v>
      </c>
    </row>
    <row r="2" spans="1:14" x14ac:dyDescent="0.25">
      <c r="A2" s="3">
        <v>2006</v>
      </c>
      <c r="B2" s="33">
        <f>712+1014+131+92</f>
        <v>1949</v>
      </c>
      <c r="C2" s="33">
        <f>120+113+165+132</f>
        <v>530</v>
      </c>
      <c r="D2" s="33">
        <f t="shared" ref="D2:D17" si="0">B2+C2</f>
        <v>2479</v>
      </c>
      <c r="E2" s="1" t="s">
        <v>97</v>
      </c>
    </row>
    <row r="3" spans="1:14" x14ac:dyDescent="0.25">
      <c r="A3" s="3">
        <v>2007</v>
      </c>
      <c r="B3" s="33">
        <f>756+1063+163+125</f>
        <v>2107</v>
      </c>
      <c r="C3" s="33">
        <f>111+118+186+139</f>
        <v>554</v>
      </c>
      <c r="D3" s="33">
        <f t="shared" si="0"/>
        <v>2661</v>
      </c>
      <c r="N3" s="1" t="s">
        <v>18</v>
      </c>
    </row>
    <row r="4" spans="1:14" x14ac:dyDescent="0.25">
      <c r="A4" s="3">
        <v>2008</v>
      </c>
      <c r="B4" s="33">
        <f>848+1093+191+164</f>
        <v>2296</v>
      </c>
      <c r="C4" s="33">
        <f>98+92+226+147</f>
        <v>563</v>
      </c>
      <c r="D4" s="33">
        <f t="shared" si="0"/>
        <v>2859</v>
      </c>
    </row>
    <row r="5" spans="1:14" x14ac:dyDescent="0.25">
      <c r="A5" s="3">
        <v>2009</v>
      </c>
      <c r="B5" s="33">
        <f>900+1135+218+198</f>
        <v>2451</v>
      </c>
      <c r="C5" s="33">
        <f>68+69+272+177</f>
        <v>586</v>
      </c>
      <c r="D5" s="33">
        <f t="shared" si="0"/>
        <v>3037</v>
      </c>
    </row>
    <row r="6" spans="1:14" x14ac:dyDescent="0.25">
      <c r="A6" s="3">
        <v>2010</v>
      </c>
      <c r="B6" s="33">
        <f>928+1265+206+215</f>
        <v>2614</v>
      </c>
      <c r="C6" s="33">
        <f>84+66+217+182</f>
        <v>549</v>
      </c>
      <c r="D6" s="33">
        <f t="shared" si="0"/>
        <v>3163</v>
      </c>
    </row>
    <row r="7" spans="1:14" x14ac:dyDescent="0.25">
      <c r="A7" s="3">
        <v>2011</v>
      </c>
      <c r="B7" s="33">
        <f>1020+1276+216+216</f>
        <v>2728</v>
      </c>
      <c r="C7" s="33">
        <f>138+115+197+180</f>
        <v>630</v>
      </c>
      <c r="D7" s="33">
        <f t="shared" si="0"/>
        <v>3358</v>
      </c>
    </row>
    <row r="8" spans="1:14" x14ac:dyDescent="0.25">
      <c r="A8" s="3">
        <v>2012</v>
      </c>
      <c r="B8" s="33">
        <f>1015+1245+207+224</f>
        <v>2691</v>
      </c>
      <c r="C8" s="33">
        <f>154+112+176+168</f>
        <v>610</v>
      </c>
      <c r="D8" s="33">
        <f t="shared" si="0"/>
        <v>3301</v>
      </c>
    </row>
    <row r="9" spans="1:14" x14ac:dyDescent="0.25">
      <c r="A9" s="3">
        <v>2013</v>
      </c>
      <c r="B9" s="33">
        <f>953+1187+255+285</f>
        <v>2680</v>
      </c>
      <c r="C9" s="33">
        <f>57+98+127+146</f>
        <v>428</v>
      </c>
      <c r="D9" s="33">
        <f t="shared" si="0"/>
        <v>3108</v>
      </c>
    </row>
    <row r="10" spans="1:14" x14ac:dyDescent="0.25">
      <c r="A10" s="3">
        <v>2014</v>
      </c>
      <c r="B10" s="33">
        <f>932+1143+227+275</f>
        <v>2577</v>
      </c>
      <c r="C10" s="33">
        <f>87+71+116+140</f>
        <v>414</v>
      </c>
      <c r="D10" s="33">
        <f t="shared" si="0"/>
        <v>2991</v>
      </c>
    </row>
    <row r="11" spans="1:14" x14ac:dyDescent="0.25">
      <c r="A11" s="3">
        <v>2015</v>
      </c>
      <c r="B11" s="33">
        <f>896+1141+191+237</f>
        <v>2465</v>
      </c>
      <c r="C11" s="33">
        <f>62+60+113+121</f>
        <v>356</v>
      </c>
      <c r="D11" s="33">
        <f t="shared" si="0"/>
        <v>2821</v>
      </c>
    </row>
    <row r="12" spans="1:14" x14ac:dyDescent="0.25">
      <c r="A12" s="3">
        <v>2016</v>
      </c>
      <c r="B12" s="33">
        <f>872+1141+146+206</f>
        <v>2365</v>
      </c>
      <c r="C12" s="33">
        <f>58+56+101+112</f>
        <v>327</v>
      </c>
      <c r="D12" s="33">
        <f t="shared" si="0"/>
        <v>2692</v>
      </c>
    </row>
    <row r="13" spans="1:14" x14ac:dyDescent="0.25">
      <c r="A13" s="3">
        <v>2017</v>
      </c>
      <c r="B13" s="33">
        <f>773+1133+134+197</f>
        <v>2237</v>
      </c>
      <c r="C13" s="33">
        <f>61+63+96+113</f>
        <v>333</v>
      </c>
      <c r="D13" s="33">
        <f t="shared" si="0"/>
        <v>2570</v>
      </c>
    </row>
    <row r="14" spans="1:14" x14ac:dyDescent="0.25">
      <c r="A14" s="3">
        <v>2018</v>
      </c>
      <c r="B14" s="33">
        <f>749+1116+143+191</f>
        <v>2199</v>
      </c>
      <c r="C14" s="33">
        <f>43+60+68+107</f>
        <v>278</v>
      </c>
      <c r="D14" s="33">
        <f t="shared" si="0"/>
        <v>2477</v>
      </c>
    </row>
    <row r="15" spans="1:14" x14ac:dyDescent="0.25">
      <c r="A15" s="3">
        <v>2019</v>
      </c>
      <c r="B15" s="33">
        <f>639+1010+91+224</f>
        <v>1964</v>
      </c>
      <c r="C15" s="33">
        <f>36+55+66+94</f>
        <v>251</v>
      </c>
      <c r="D15" s="33">
        <f t="shared" si="0"/>
        <v>2215</v>
      </c>
    </row>
    <row r="16" spans="1:14" x14ac:dyDescent="0.25">
      <c r="A16" s="3">
        <v>2020</v>
      </c>
      <c r="B16" s="33">
        <f>511+834+91+211</f>
        <v>1647</v>
      </c>
      <c r="C16" s="33">
        <f>44+38+42+79</f>
        <v>203</v>
      </c>
      <c r="D16" s="33">
        <f t="shared" si="0"/>
        <v>1850</v>
      </c>
    </row>
    <row r="17" spans="1:4" x14ac:dyDescent="0.25">
      <c r="A17" s="3">
        <v>2021</v>
      </c>
      <c r="B17" s="33">
        <f>402+728+44+104</f>
        <v>1278</v>
      </c>
      <c r="C17" s="33">
        <f>19+17+81+140</f>
        <v>257</v>
      </c>
      <c r="D17" s="33">
        <f t="shared" si="0"/>
        <v>1535</v>
      </c>
    </row>
  </sheetData>
  <hyperlinks>
    <hyperlink ref="E2" r:id="rId1" xr:uid="{DCCF06CB-CEA6-49ED-BB92-406CE0184721}"/>
    <hyperlink ref="N3" r:id="rId2" xr:uid="{E8CF2410-2BAB-4706-96EA-BD779C84D09B}"/>
  </hyperlinks>
  <pageMargins left="0.7" right="0.7" top="0.75" bottom="0.75" header="0.3" footer="0.3"/>
  <pageSetup orientation="portrait"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AE77D-5018-40C4-B56C-683A4AF8AC7B}">
  <sheetPr>
    <tabColor theme="0" tint="-0.499984740745262"/>
  </sheetPr>
  <dimension ref="A1:D7"/>
  <sheetViews>
    <sheetView workbookViewId="0"/>
  </sheetViews>
  <sheetFormatPr defaultColWidth="9.140625" defaultRowHeight="15" x14ac:dyDescent="0.25"/>
  <cols>
    <col min="1" max="1" width="9.140625" style="2"/>
    <col min="2" max="2" width="10.85546875" style="2" bestFit="1" customWidth="1"/>
    <col min="3" max="16384" width="9.140625" style="2"/>
  </cols>
  <sheetData>
    <row r="1" spans="1:4" x14ac:dyDescent="0.25">
      <c r="A1" s="3" t="s">
        <v>5</v>
      </c>
      <c r="B1" s="3" t="s">
        <v>105</v>
      </c>
      <c r="D1" s="1" t="s">
        <v>104</v>
      </c>
    </row>
    <row r="2" spans="1:4" x14ac:dyDescent="0.25">
      <c r="A2" s="41">
        <v>2014</v>
      </c>
      <c r="B2" s="26">
        <v>2006</v>
      </c>
    </row>
    <row r="3" spans="1:4" x14ac:dyDescent="0.25">
      <c r="A3" s="41">
        <v>2015</v>
      </c>
      <c r="B3" s="26">
        <v>2153</v>
      </c>
    </row>
    <row r="4" spans="1:4" x14ac:dyDescent="0.25">
      <c r="A4" s="41">
        <v>2016</v>
      </c>
      <c r="B4" s="26">
        <v>2119</v>
      </c>
    </row>
    <row r="5" spans="1:4" x14ac:dyDescent="0.25">
      <c r="A5" s="41">
        <v>2017</v>
      </c>
      <c r="B5" s="26">
        <v>2045</v>
      </c>
    </row>
    <row r="6" spans="1:4" x14ac:dyDescent="0.25">
      <c r="A6" s="41">
        <v>2018</v>
      </c>
      <c r="B6" s="26">
        <v>1996</v>
      </c>
    </row>
    <row r="7" spans="1:4" x14ac:dyDescent="0.25">
      <c r="A7" s="41">
        <v>2019</v>
      </c>
      <c r="B7" s="26">
        <v>1929</v>
      </c>
    </row>
  </sheetData>
  <hyperlinks>
    <hyperlink ref="D1" r:id="rId1" xr:uid="{219D7F4B-204B-4F44-B3A4-E664715D8D9B}"/>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E53E4-CDE3-4D8B-88C3-3C5AE1C55CFA}">
  <sheetPr>
    <tabColor theme="0" tint="-0.499984740745262"/>
  </sheetPr>
  <dimension ref="A1:N110"/>
  <sheetViews>
    <sheetView zoomScaleNormal="100" workbookViewId="0">
      <selection activeCell="G1" sqref="G1"/>
    </sheetView>
  </sheetViews>
  <sheetFormatPr defaultColWidth="9" defaultRowHeight="15" x14ac:dyDescent="0.25"/>
  <cols>
    <col min="1" max="8" width="9" style="7"/>
    <col min="9" max="16384" width="9" style="2"/>
  </cols>
  <sheetData>
    <row r="1" spans="1:14" x14ac:dyDescent="0.25">
      <c r="A1" s="3" t="s">
        <v>5</v>
      </c>
      <c r="B1" s="3" t="s">
        <v>1</v>
      </c>
      <c r="C1" s="3" t="s">
        <v>2</v>
      </c>
      <c r="D1" s="3" t="s">
        <v>3</v>
      </c>
      <c r="E1" s="3" t="s">
        <v>4</v>
      </c>
      <c r="F1" s="3" t="s">
        <v>15</v>
      </c>
      <c r="G1" s="97" t="s">
        <v>176</v>
      </c>
      <c r="I1" s="7"/>
      <c r="J1" s="7"/>
      <c r="K1" s="7"/>
      <c r="L1" s="7"/>
      <c r="M1" s="7"/>
      <c r="N1" s="7"/>
    </row>
    <row r="2" spans="1:14" x14ac:dyDescent="0.25">
      <c r="A2" s="3">
        <v>1990</v>
      </c>
      <c r="B2" s="18">
        <v>24311</v>
      </c>
      <c r="C2" s="18">
        <v>13449</v>
      </c>
      <c r="D2" s="18">
        <v>7885</v>
      </c>
      <c r="E2" s="18">
        <v>13344</v>
      </c>
      <c r="F2" s="18">
        <v>30465</v>
      </c>
      <c r="G2" s="11"/>
      <c r="I2" s="7"/>
      <c r="J2" s="7"/>
      <c r="K2" s="7"/>
      <c r="L2" s="7"/>
      <c r="M2" s="7"/>
      <c r="N2" s="7"/>
    </row>
    <row r="3" spans="1:14" x14ac:dyDescent="0.25">
      <c r="A3" s="3">
        <v>1991</v>
      </c>
      <c r="B3" s="18">
        <v>25581</v>
      </c>
      <c r="C3" s="18">
        <v>14495</v>
      </c>
      <c r="D3" s="18">
        <v>8777</v>
      </c>
      <c r="E3" s="18">
        <v>15972</v>
      </c>
      <c r="F3" s="18">
        <v>31101</v>
      </c>
      <c r="I3" s="7"/>
      <c r="J3" s="7"/>
      <c r="K3" s="7"/>
      <c r="L3" s="7"/>
      <c r="M3" s="7"/>
      <c r="N3" s="7"/>
    </row>
    <row r="4" spans="1:14" x14ac:dyDescent="0.25">
      <c r="A4" s="3">
        <v>1992</v>
      </c>
      <c r="B4" s="18">
        <v>25868</v>
      </c>
      <c r="C4" s="18">
        <v>14993</v>
      </c>
      <c r="D4" s="18">
        <v>9623</v>
      </c>
      <c r="E4" s="18">
        <v>17766</v>
      </c>
      <c r="F4" s="18">
        <v>31108</v>
      </c>
      <c r="I4" s="7"/>
      <c r="J4" s="7"/>
      <c r="K4" s="7"/>
      <c r="L4" s="7"/>
      <c r="M4" s="7"/>
      <c r="N4" s="7"/>
    </row>
    <row r="5" spans="1:14" x14ac:dyDescent="0.25">
      <c r="A5" s="3">
        <v>1993</v>
      </c>
      <c r="B5" s="18">
        <v>25982</v>
      </c>
      <c r="C5" s="18">
        <v>14447</v>
      </c>
      <c r="D5" s="18">
        <v>10512</v>
      </c>
      <c r="E5" s="18">
        <v>18311</v>
      </c>
      <c r="F5" s="18">
        <v>30547</v>
      </c>
      <c r="I5" s="7"/>
      <c r="J5" s="7"/>
      <c r="K5" s="7"/>
      <c r="L5" s="7"/>
      <c r="M5" s="7"/>
      <c r="N5" s="7"/>
    </row>
    <row r="6" spans="1:14" x14ac:dyDescent="0.25">
      <c r="A6" s="3">
        <v>1994</v>
      </c>
      <c r="B6" s="18">
        <v>25645</v>
      </c>
      <c r="C6" s="18">
        <v>14230</v>
      </c>
      <c r="D6" s="18">
        <v>13293</v>
      </c>
      <c r="E6" s="18">
        <v>19440</v>
      </c>
      <c r="F6" s="18">
        <v>30413</v>
      </c>
      <c r="I6" s="7"/>
      <c r="J6" s="7"/>
      <c r="K6" s="7"/>
      <c r="L6" s="7"/>
      <c r="M6" s="7"/>
      <c r="N6" s="7"/>
    </row>
    <row r="7" spans="1:14" x14ac:dyDescent="0.25">
      <c r="A7" s="3">
        <v>1995</v>
      </c>
      <c r="B7" s="18">
        <v>26810</v>
      </c>
      <c r="C7" s="18">
        <v>13996</v>
      </c>
      <c r="D7" s="18">
        <v>14040</v>
      </c>
      <c r="E7" s="18">
        <v>20834</v>
      </c>
      <c r="F7" s="18">
        <v>30465</v>
      </c>
      <c r="I7" s="7"/>
      <c r="J7" s="7"/>
      <c r="K7" s="7"/>
      <c r="L7" s="7"/>
      <c r="M7" s="7"/>
      <c r="N7" s="7"/>
    </row>
    <row r="8" spans="1:14" x14ac:dyDescent="0.25">
      <c r="A8" s="3">
        <v>1996</v>
      </c>
      <c r="B8" s="18">
        <v>26079</v>
      </c>
      <c r="C8" s="18">
        <v>13906</v>
      </c>
      <c r="D8" s="18">
        <v>14756</v>
      </c>
      <c r="E8" s="18">
        <v>22394</v>
      </c>
      <c r="F8" s="18">
        <v>30563</v>
      </c>
      <c r="I8" s="7"/>
      <c r="J8" s="7"/>
      <c r="K8" s="7"/>
      <c r="L8" s="7"/>
      <c r="M8" s="7"/>
      <c r="N8" s="7"/>
    </row>
    <row r="9" spans="1:14" x14ac:dyDescent="0.25">
      <c r="A9" s="3">
        <v>1997</v>
      </c>
      <c r="B9" s="18">
        <v>25895</v>
      </c>
      <c r="C9" s="18">
        <v>14613</v>
      </c>
      <c r="D9" s="18">
        <v>15994</v>
      </c>
      <c r="E9" s="18">
        <v>24307</v>
      </c>
      <c r="F9" s="18">
        <v>31249</v>
      </c>
      <c r="I9" s="7"/>
      <c r="J9" s="7"/>
      <c r="K9" s="7"/>
      <c r="L9" s="7"/>
      <c r="M9" s="7"/>
      <c r="N9" s="7"/>
    </row>
    <row r="10" spans="1:14" x14ac:dyDescent="0.25">
      <c r="A10" s="3">
        <v>1998</v>
      </c>
      <c r="B10" s="18">
        <v>25018</v>
      </c>
      <c r="C10" s="18">
        <v>13900</v>
      </c>
      <c r="D10" s="18">
        <v>18174</v>
      </c>
      <c r="E10" s="18">
        <v>19754</v>
      </c>
      <c r="F10" s="18">
        <v>32202</v>
      </c>
      <c r="I10" s="7"/>
      <c r="J10" s="7"/>
      <c r="K10" s="7"/>
      <c r="L10" s="7"/>
      <c r="M10" s="7"/>
      <c r="N10" s="7"/>
    </row>
    <row r="11" spans="1:14" x14ac:dyDescent="0.25">
      <c r="A11" s="3">
        <v>1999</v>
      </c>
      <c r="B11" s="18">
        <v>25781</v>
      </c>
      <c r="C11" s="18">
        <v>14984</v>
      </c>
      <c r="D11" s="18">
        <v>20062</v>
      </c>
      <c r="E11" s="18">
        <v>21273</v>
      </c>
      <c r="F11" s="18">
        <v>32731</v>
      </c>
      <c r="I11" s="7"/>
      <c r="J11" s="7"/>
      <c r="K11" s="7"/>
      <c r="L11" s="7"/>
      <c r="M11" s="7"/>
      <c r="N11" s="7"/>
    </row>
    <row r="12" spans="1:14" x14ac:dyDescent="0.25">
      <c r="A12" s="3">
        <v>2000</v>
      </c>
      <c r="B12" s="18">
        <v>26163</v>
      </c>
      <c r="C12" s="18">
        <v>16050</v>
      </c>
      <c r="D12" s="18">
        <v>20946</v>
      </c>
      <c r="E12" s="18">
        <v>22109</v>
      </c>
      <c r="F12" s="18">
        <v>32554</v>
      </c>
      <c r="I12" s="7"/>
      <c r="J12" s="7"/>
      <c r="K12" s="7"/>
      <c r="L12" s="7"/>
      <c r="M12" s="7"/>
      <c r="N12" s="7"/>
    </row>
    <row r="13" spans="1:14" x14ac:dyDescent="0.25">
      <c r="A13" s="3">
        <v>2001</v>
      </c>
      <c r="B13" s="18">
        <v>27658</v>
      </c>
      <c r="C13" s="18">
        <v>16871</v>
      </c>
      <c r="D13" s="18">
        <v>22609</v>
      </c>
      <c r="E13" s="18">
        <v>24215</v>
      </c>
      <c r="F13" s="18">
        <v>32771</v>
      </c>
      <c r="I13" s="7"/>
      <c r="J13" s="7"/>
      <c r="K13" s="7"/>
      <c r="L13" s="7"/>
      <c r="M13" s="7"/>
      <c r="N13" s="7"/>
    </row>
    <row r="14" spans="1:14" x14ac:dyDescent="0.25">
      <c r="A14" s="3">
        <v>2002</v>
      </c>
      <c r="B14" s="18">
        <v>28369</v>
      </c>
      <c r="C14" s="18">
        <v>18059</v>
      </c>
      <c r="D14" s="18">
        <v>23609</v>
      </c>
      <c r="E14" s="18">
        <v>23825</v>
      </c>
      <c r="F14" s="18">
        <v>32408</v>
      </c>
      <c r="I14" s="7"/>
      <c r="J14" s="7"/>
      <c r="K14" s="7"/>
      <c r="L14" s="7"/>
      <c r="M14" s="7"/>
      <c r="N14" s="7"/>
    </row>
    <row r="15" spans="1:14" x14ac:dyDescent="0.25">
      <c r="A15" s="3">
        <v>2003</v>
      </c>
      <c r="B15" s="18">
        <v>28437</v>
      </c>
      <c r="C15" s="18">
        <v>18821</v>
      </c>
      <c r="D15" s="18">
        <v>23803</v>
      </c>
      <c r="E15" s="18">
        <v>24153</v>
      </c>
      <c r="F15" s="18">
        <v>33008</v>
      </c>
      <c r="I15" s="7"/>
      <c r="J15" s="7"/>
      <c r="K15" s="7"/>
      <c r="L15" s="7"/>
      <c r="M15" s="7"/>
      <c r="N15" s="7"/>
    </row>
    <row r="16" spans="1:14" x14ac:dyDescent="0.25">
      <c r="A16" s="3">
        <v>2004</v>
      </c>
      <c r="B16" s="18">
        <v>28933</v>
      </c>
      <c r="C16" s="18">
        <v>18498</v>
      </c>
      <c r="D16" s="18">
        <v>24149</v>
      </c>
      <c r="E16" s="18">
        <v>25711</v>
      </c>
      <c r="F16" s="18">
        <v>33427</v>
      </c>
      <c r="I16" s="7"/>
      <c r="J16" s="7"/>
      <c r="K16" s="7"/>
      <c r="L16" s="7"/>
      <c r="M16" s="7"/>
      <c r="N16" s="7"/>
    </row>
    <row r="17" spans="1:14" x14ac:dyDescent="0.25">
      <c r="A17" s="3">
        <v>2005</v>
      </c>
      <c r="B17" s="18">
        <v>29012</v>
      </c>
      <c r="C17" s="18">
        <v>18142</v>
      </c>
      <c r="D17" s="18">
        <v>24487</v>
      </c>
      <c r="E17" s="18">
        <v>25551</v>
      </c>
      <c r="F17" s="18">
        <v>32920</v>
      </c>
      <c r="I17" s="7"/>
      <c r="J17" s="7"/>
      <c r="K17" s="7"/>
      <c r="L17" s="7"/>
      <c r="M17" s="7"/>
      <c r="N17" s="7"/>
    </row>
    <row r="18" spans="1:14" x14ac:dyDescent="0.25">
      <c r="A18" s="3">
        <v>2006</v>
      </c>
      <c r="B18" s="18">
        <v>28619</v>
      </c>
      <c r="C18" s="18">
        <v>18303</v>
      </c>
      <c r="D18" s="18">
        <v>23305</v>
      </c>
      <c r="E18" s="18">
        <v>25129</v>
      </c>
      <c r="F18" s="18">
        <v>32679</v>
      </c>
      <c r="I18" s="7"/>
      <c r="J18" s="7"/>
      <c r="K18" s="7"/>
      <c r="L18" s="7"/>
      <c r="M18" s="7"/>
      <c r="N18" s="7"/>
    </row>
    <row r="19" spans="1:14" x14ac:dyDescent="0.25">
      <c r="A19" s="3">
        <v>2007</v>
      </c>
      <c r="B19" s="18">
        <v>28025</v>
      </c>
      <c r="C19" s="18">
        <v>18081</v>
      </c>
      <c r="D19" s="18">
        <v>23840</v>
      </c>
      <c r="E19" s="18">
        <v>25144</v>
      </c>
      <c r="F19" s="18">
        <v>32964</v>
      </c>
      <c r="I19" s="7"/>
      <c r="J19" s="7"/>
      <c r="K19" s="7"/>
      <c r="L19" s="7"/>
      <c r="M19" s="7"/>
      <c r="N19" s="7"/>
    </row>
    <row r="20" spans="1:14" x14ac:dyDescent="0.25">
      <c r="A20" s="3">
        <v>2008</v>
      </c>
      <c r="B20" s="18">
        <v>28211</v>
      </c>
      <c r="C20" s="18">
        <v>21388</v>
      </c>
      <c r="D20" s="18">
        <v>27051.666666666664</v>
      </c>
      <c r="E20" s="18">
        <v>29867</v>
      </c>
      <c r="F20" s="18">
        <v>32992</v>
      </c>
      <c r="I20" s="7"/>
      <c r="J20" s="7"/>
      <c r="K20" s="7"/>
      <c r="L20" s="7"/>
      <c r="M20" s="7"/>
      <c r="N20" s="7"/>
    </row>
    <row r="21" spans="1:14" x14ac:dyDescent="0.25">
      <c r="A21" s="3">
        <v>2009</v>
      </c>
      <c r="B21" s="18">
        <v>30110</v>
      </c>
      <c r="C21" s="18">
        <v>23777</v>
      </c>
      <c r="D21" s="18">
        <v>29045</v>
      </c>
      <c r="E21" s="18">
        <v>39903</v>
      </c>
      <c r="F21" s="18">
        <v>32955</v>
      </c>
      <c r="I21" s="7"/>
      <c r="J21" s="7"/>
      <c r="K21" s="7"/>
      <c r="L21" s="7"/>
      <c r="M21" s="7"/>
      <c r="N21" s="7"/>
    </row>
    <row r="22" spans="1:14" x14ac:dyDescent="0.25">
      <c r="A22" s="3">
        <v>2010</v>
      </c>
      <c r="B22" s="18">
        <v>31643</v>
      </c>
      <c r="C22" s="18">
        <v>24496</v>
      </c>
      <c r="D22" s="18">
        <v>31739</v>
      </c>
      <c r="E22" s="18">
        <v>38288</v>
      </c>
      <c r="F22" s="18">
        <v>32947</v>
      </c>
      <c r="I22" s="7"/>
      <c r="J22" s="7"/>
      <c r="K22" s="7"/>
      <c r="L22" s="7"/>
      <c r="M22" s="7"/>
      <c r="N22" s="7"/>
    </row>
    <row r="23" spans="1:14" x14ac:dyDescent="0.25">
      <c r="A23" s="3">
        <v>2011</v>
      </c>
      <c r="B23" s="18">
        <v>32722</v>
      </c>
      <c r="C23" s="18">
        <v>26256</v>
      </c>
      <c r="D23" s="18">
        <v>32734</v>
      </c>
      <c r="E23" s="18">
        <v>36782</v>
      </c>
      <c r="F23" s="18">
        <v>32980</v>
      </c>
      <c r="I23" s="7"/>
      <c r="J23" s="7"/>
      <c r="K23" s="7"/>
      <c r="L23" s="7"/>
      <c r="M23" s="7"/>
      <c r="N23" s="7"/>
    </row>
    <row r="24" spans="1:14" x14ac:dyDescent="0.25">
      <c r="A24" s="3">
        <v>2012</v>
      </c>
      <c r="B24" s="18">
        <v>33291</v>
      </c>
      <c r="C24" s="18">
        <v>27381</v>
      </c>
      <c r="D24" s="18">
        <v>31810</v>
      </c>
      <c r="E24" s="18">
        <v>35804</v>
      </c>
      <c r="F24" s="2"/>
      <c r="I24" s="7"/>
      <c r="J24" s="7"/>
      <c r="K24" s="7"/>
      <c r="L24" s="7"/>
      <c r="M24" s="7"/>
      <c r="N24" s="7"/>
    </row>
    <row r="25" spans="1:14" x14ac:dyDescent="0.25">
      <c r="A25" s="3">
        <v>2013</v>
      </c>
      <c r="B25" s="18">
        <v>36226</v>
      </c>
      <c r="C25" s="18">
        <v>25886</v>
      </c>
      <c r="D25" s="18">
        <v>30880</v>
      </c>
      <c r="E25" s="18">
        <v>35043</v>
      </c>
      <c r="F25" s="2"/>
      <c r="I25" s="7"/>
      <c r="J25" s="7"/>
      <c r="K25" s="7"/>
      <c r="L25" s="7"/>
      <c r="M25" s="7"/>
      <c r="N25" s="7"/>
    </row>
    <row r="26" spans="1:14" x14ac:dyDescent="0.25">
      <c r="A26" s="3">
        <v>2014</v>
      </c>
      <c r="B26" s="18">
        <v>32003</v>
      </c>
      <c r="C26" s="18">
        <v>26913</v>
      </c>
      <c r="D26" s="18">
        <v>31589</v>
      </c>
      <c r="E26" s="18">
        <v>33451</v>
      </c>
      <c r="F26" s="2"/>
      <c r="I26" s="7"/>
      <c r="J26" s="7"/>
      <c r="K26" s="7"/>
      <c r="L26" s="7"/>
      <c r="M26" s="7"/>
      <c r="N26" s="7"/>
    </row>
    <row r="27" spans="1:14" x14ac:dyDescent="0.25">
      <c r="A27" s="3">
        <v>2015</v>
      </c>
      <c r="B27" s="18">
        <v>32155</v>
      </c>
      <c r="C27" s="18">
        <v>26252</v>
      </c>
      <c r="D27" s="18">
        <v>33565</v>
      </c>
      <c r="E27" s="18">
        <v>31131</v>
      </c>
      <c r="F27" s="2"/>
      <c r="I27" s="7"/>
      <c r="J27" s="7"/>
      <c r="K27" s="7"/>
      <c r="L27" s="7"/>
      <c r="M27" s="7"/>
      <c r="N27" s="7"/>
    </row>
    <row r="28" spans="1:14" x14ac:dyDescent="0.25">
      <c r="A28" s="3">
        <v>2016</v>
      </c>
      <c r="B28" s="18">
        <v>32451</v>
      </c>
      <c r="C28" s="18">
        <v>27236</v>
      </c>
      <c r="D28" s="18">
        <v>35126</v>
      </c>
      <c r="E28" s="18">
        <v>32133</v>
      </c>
      <c r="F28" s="2"/>
      <c r="I28" s="7"/>
      <c r="J28" s="7"/>
      <c r="K28" s="7"/>
      <c r="L28" s="7"/>
      <c r="M28" s="7"/>
      <c r="N28" s="7"/>
    </row>
    <row r="29" spans="1:14" x14ac:dyDescent="0.25">
      <c r="A29" s="3">
        <v>2017</v>
      </c>
      <c r="B29" s="18">
        <v>33153</v>
      </c>
      <c r="C29" s="18">
        <v>28379</v>
      </c>
      <c r="D29" s="18">
        <v>37785</v>
      </c>
      <c r="E29" s="18">
        <v>32277</v>
      </c>
      <c r="F29" s="2"/>
      <c r="I29" s="7"/>
      <c r="J29" s="7"/>
      <c r="K29" s="7"/>
      <c r="L29" s="7"/>
      <c r="M29" s="7"/>
      <c r="N29" s="7"/>
    </row>
    <row r="30" spans="1:14" x14ac:dyDescent="0.25">
      <c r="I30" s="7"/>
      <c r="J30" s="7"/>
      <c r="K30" s="7"/>
      <c r="L30" s="7"/>
      <c r="M30" s="7"/>
      <c r="N30" s="7"/>
    </row>
    <row r="31" spans="1:14" x14ac:dyDescent="0.25">
      <c r="I31" s="7"/>
      <c r="J31" s="7"/>
      <c r="K31" s="7"/>
      <c r="L31" s="7"/>
      <c r="M31" s="7"/>
      <c r="N31" s="7"/>
    </row>
    <row r="32" spans="1:14" x14ac:dyDescent="0.25">
      <c r="I32" s="7"/>
      <c r="J32" s="7"/>
      <c r="K32" s="7"/>
      <c r="L32" s="7"/>
      <c r="M32" s="7"/>
      <c r="N32" s="7"/>
    </row>
    <row r="33" spans="1:14" x14ac:dyDescent="0.25">
      <c r="A33" s="2"/>
      <c r="B33" s="2"/>
      <c r="C33" s="2"/>
      <c r="D33" s="2"/>
      <c r="E33" s="2"/>
      <c r="F33" s="2"/>
      <c r="I33" s="7"/>
      <c r="J33" s="7"/>
      <c r="K33" s="7"/>
      <c r="L33" s="7"/>
      <c r="M33" s="7"/>
      <c r="N33" s="7"/>
    </row>
    <row r="34" spans="1:14" x14ac:dyDescent="0.25">
      <c r="A34" s="2"/>
      <c r="B34" s="2"/>
      <c r="C34" s="2"/>
      <c r="D34" s="2"/>
      <c r="E34" s="2"/>
      <c r="F34" s="2"/>
      <c r="I34" s="7"/>
      <c r="J34" s="7"/>
      <c r="K34" s="7"/>
      <c r="L34" s="7"/>
      <c r="M34" s="7"/>
      <c r="N34" s="7"/>
    </row>
    <row r="35" spans="1:14" x14ac:dyDescent="0.25">
      <c r="I35" s="7"/>
      <c r="J35" s="7"/>
      <c r="K35" s="7"/>
      <c r="L35" s="7"/>
      <c r="M35" s="7"/>
      <c r="N35" s="7"/>
    </row>
    <row r="36" spans="1:14" x14ac:dyDescent="0.25">
      <c r="I36" s="7"/>
      <c r="J36" s="7"/>
      <c r="K36" s="7"/>
      <c r="L36" s="7"/>
      <c r="M36" s="7"/>
      <c r="N36" s="7"/>
    </row>
    <row r="37" spans="1:14" x14ac:dyDescent="0.25">
      <c r="I37" s="7"/>
      <c r="J37" s="7"/>
      <c r="K37" s="7"/>
      <c r="L37" s="7"/>
      <c r="M37" s="7"/>
      <c r="N37" s="7"/>
    </row>
    <row r="38" spans="1:14" x14ac:dyDescent="0.25">
      <c r="I38" s="7"/>
      <c r="J38" s="7"/>
      <c r="K38" s="7"/>
      <c r="L38" s="7"/>
      <c r="M38" s="7"/>
      <c r="N38" s="7"/>
    </row>
    <row r="39" spans="1:14" x14ac:dyDescent="0.25">
      <c r="I39" s="7"/>
      <c r="J39" s="7"/>
      <c r="K39" s="7"/>
      <c r="L39" s="7"/>
      <c r="M39" s="7"/>
      <c r="N39" s="7"/>
    </row>
    <row r="40" spans="1:14" x14ac:dyDescent="0.25">
      <c r="A40" s="2"/>
      <c r="B40" s="2"/>
      <c r="C40" s="2"/>
      <c r="D40" s="2"/>
      <c r="E40" s="2"/>
      <c r="F40" s="2"/>
      <c r="I40" s="7"/>
      <c r="J40" s="7"/>
      <c r="K40" s="7"/>
      <c r="L40" s="7"/>
      <c r="M40" s="7"/>
      <c r="N40" s="7"/>
    </row>
    <row r="41" spans="1:14" x14ac:dyDescent="0.25">
      <c r="A41" s="2"/>
      <c r="B41" s="2"/>
      <c r="C41" s="2"/>
      <c r="D41" s="2"/>
      <c r="E41" s="2"/>
      <c r="F41" s="2"/>
      <c r="I41" s="7"/>
      <c r="J41" s="7"/>
      <c r="K41" s="7"/>
      <c r="L41" s="7"/>
      <c r="M41" s="7"/>
      <c r="N41" s="7"/>
    </row>
    <row r="42" spans="1:14" x14ac:dyDescent="0.25">
      <c r="A42" s="2"/>
      <c r="B42" s="2"/>
      <c r="C42" s="2"/>
      <c r="D42" s="2"/>
      <c r="E42" s="2"/>
      <c r="F42" s="2"/>
      <c r="I42" s="7"/>
      <c r="J42" s="7"/>
      <c r="K42" s="7"/>
      <c r="L42" s="7"/>
      <c r="M42" s="7"/>
      <c r="N42" s="7"/>
    </row>
    <row r="43" spans="1:14" x14ac:dyDescent="0.25">
      <c r="A43" s="2"/>
      <c r="B43" s="2"/>
      <c r="C43" s="2"/>
      <c r="D43" s="2"/>
      <c r="E43" s="2"/>
      <c r="F43" s="2"/>
      <c r="I43" s="7"/>
      <c r="J43" s="7"/>
      <c r="K43" s="7"/>
      <c r="L43" s="7"/>
      <c r="M43" s="7"/>
      <c r="N43" s="7"/>
    </row>
    <row r="44" spans="1:14" x14ac:dyDescent="0.25">
      <c r="A44" s="2"/>
      <c r="B44" s="2"/>
      <c r="C44" s="2"/>
      <c r="D44" s="2"/>
      <c r="E44" s="2"/>
      <c r="F44" s="2"/>
      <c r="I44" s="7"/>
      <c r="J44" s="7"/>
      <c r="K44" s="7"/>
      <c r="L44" s="7"/>
      <c r="M44" s="7"/>
      <c r="N44" s="7"/>
    </row>
    <row r="45" spans="1:14" x14ac:dyDescent="0.25">
      <c r="A45" s="2"/>
      <c r="B45" s="2"/>
      <c r="C45" s="2"/>
      <c r="D45" s="2"/>
      <c r="E45" s="2"/>
      <c r="F45" s="2"/>
      <c r="I45" s="7"/>
      <c r="J45" s="7"/>
      <c r="K45" s="7"/>
      <c r="L45" s="7"/>
      <c r="M45" s="7"/>
      <c r="N45" s="7"/>
    </row>
    <row r="46" spans="1:14" x14ac:dyDescent="0.25">
      <c r="I46" s="7"/>
      <c r="J46" s="7"/>
      <c r="K46" s="7"/>
      <c r="L46" s="7"/>
      <c r="M46" s="7"/>
      <c r="N46" s="7"/>
    </row>
    <row r="47" spans="1:14" x14ac:dyDescent="0.25">
      <c r="I47" s="7"/>
      <c r="J47" s="7"/>
      <c r="K47" s="7"/>
      <c r="L47" s="7"/>
      <c r="M47" s="7"/>
      <c r="N47" s="7"/>
    </row>
    <row r="48" spans="1:14" x14ac:dyDescent="0.25">
      <c r="I48" s="7"/>
      <c r="J48" s="7"/>
      <c r="K48" s="7"/>
      <c r="L48" s="7"/>
      <c r="M48" s="7"/>
      <c r="N48" s="7"/>
    </row>
    <row r="49" spans="1:14" x14ac:dyDescent="0.25">
      <c r="I49" s="7"/>
      <c r="J49" s="7"/>
      <c r="K49" s="7"/>
      <c r="L49" s="7"/>
      <c r="M49" s="7"/>
      <c r="N49" s="7"/>
    </row>
    <row r="50" spans="1:14" x14ac:dyDescent="0.25">
      <c r="I50" s="7"/>
      <c r="J50" s="7"/>
      <c r="K50" s="7"/>
      <c r="L50" s="7"/>
      <c r="M50" s="7"/>
      <c r="N50" s="7"/>
    </row>
    <row r="51" spans="1:14" x14ac:dyDescent="0.25">
      <c r="I51" s="7"/>
      <c r="J51" s="7"/>
      <c r="K51" s="7"/>
      <c r="L51" s="7"/>
      <c r="M51" s="7"/>
      <c r="N51" s="7"/>
    </row>
    <row r="52" spans="1:14" x14ac:dyDescent="0.25">
      <c r="I52" s="7"/>
      <c r="J52" s="7"/>
      <c r="K52" s="7"/>
      <c r="L52" s="7"/>
      <c r="M52" s="7"/>
      <c r="N52" s="7"/>
    </row>
    <row r="53" spans="1:14" x14ac:dyDescent="0.25">
      <c r="A53" s="2"/>
      <c r="B53" s="2"/>
      <c r="C53" s="2"/>
      <c r="D53" s="2"/>
      <c r="E53" s="2"/>
      <c r="F53" s="2"/>
      <c r="I53" s="7"/>
      <c r="J53" s="7"/>
      <c r="K53" s="7"/>
      <c r="L53" s="7"/>
      <c r="M53" s="7"/>
      <c r="N53" s="7"/>
    </row>
    <row r="54" spans="1:14" x14ac:dyDescent="0.25">
      <c r="I54" s="7"/>
      <c r="J54" s="7"/>
      <c r="K54" s="7"/>
      <c r="L54" s="7"/>
      <c r="M54" s="7"/>
      <c r="N54" s="7"/>
    </row>
    <row r="55" spans="1:14" x14ac:dyDescent="0.25">
      <c r="I55" s="7"/>
      <c r="J55" s="7"/>
      <c r="K55" s="7"/>
      <c r="L55" s="7"/>
      <c r="M55" s="7"/>
      <c r="N55" s="7"/>
    </row>
    <row r="56" spans="1:14" x14ac:dyDescent="0.25">
      <c r="I56" s="7"/>
      <c r="J56" s="7"/>
      <c r="K56" s="7"/>
      <c r="L56" s="7"/>
      <c r="M56" s="7"/>
      <c r="N56" s="7"/>
    </row>
    <row r="57" spans="1:14" x14ac:dyDescent="0.25">
      <c r="I57" s="7"/>
      <c r="J57" s="7"/>
      <c r="K57" s="7"/>
      <c r="L57" s="7"/>
      <c r="M57" s="7"/>
      <c r="N57" s="7"/>
    </row>
    <row r="58" spans="1:14" x14ac:dyDescent="0.25">
      <c r="I58" s="7"/>
      <c r="J58" s="7"/>
      <c r="K58" s="7"/>
      <c r="L58" s="7"/>
      <c r="M58" s="7"/>
      <c r="N58" s="7"/>
    </row>
    <row r="59" spans="1:14" x14ac:dyDescent="0.25">
      <c r="I59" s="7"/>
      <c r="J59" s="7"/>
      <c r="K59" s="7"/>
      <c r="L59" s="7"/>
      <c r="M59" s="7"/>
      <c r="N59" s="7"/>
    </row>
    <row r="60" spans="1:14" x14ac:dyDescent="0.25">
      <c r="I60" s="7"/>
      <c r="J60" s="7"/>
      <c r="K60" s="7"/>
      <c r="L60" s="7"/>
      <c r="M60" s="7"/>
      <c r="N60" s="7"/>
    </row>
    <row r="61" spans="1:14" x14ac:dyDescent="0.25">
      <c r="I61" s="7"/>
      <c r="J61" s="7"/>
      <c r="K61" s="7"/>
      <c r="L61" s="7"/>
      <c r="M61" s="7"/>
      <c r="N61" s="7"/>
    </row>
    <row r="62" spans="1:14" x14ac:dyDescent="0.25">
      <c r="I62" s="7"/>
      <c r="J62" s="7"/>
      <c r="K62" s="7"/>
      <c r="L62" s="7"/>
      <c r="M62" s="7"/>
      <c r="N62" s="7"/>
    </row>
    <row r="63" spans="1:14" x14ac:dyDescent="0.25">
      <c r="I63" s="7"/>
      <c r="J63" s="7"/>
      <c r="K63" s="7"/>
      <c r="L63" s="7"/>
      <c r="M63" s="7"/>
      <c r="N63" s="7"/>
    </row>
    <row r="64" spans="1:14" x14ac:dyDescent="0.25">
      <c r="I64" s="7"/>
      <c r="J64" s="7"/>
      <c r="K64" s="7"/>
      <c r="L64" s="7"/>
      <c r="M64" s="7"/>
      <c r="N64" s="7"/>
    </row>
    <row r="65" spans="9:14" x14ac:dyDescent="0.25">
      <c r="I65" s="7"/>
      <c r="J65" s="7"/>
      <c r="K65" s="7"/>
      <c r="L65" s="7"/>
      <c r="M65" s="7"/>
      <c r="N65" s="7"/>
    </row>
    <row r="66" spans="9:14" x14ac:dyDescent="0.25">
      <c r="I66" s="7"/>
      <c r="J66" s="7"/>
      <c r="K66" s="7"/>
      <c r="L66" s="7"/>
      <c r="M66" s="7"/>
      <c r="N66" s="7"/>
    </row>
    <row r="67" spans="9:14" x14ac:dyDescent="0.25">
      <c r="I67" s="7"/>
      <c r="J67" s="7"/>
      <c r="K67" s="7"/>
      <c r="L67" s="7"/>
      <c r="M67" s="7"/>
      <c r="N67" s="7"/>
    </row>
    <row r="68" spans="9:14" x14ac:dyDescent="0.25">
      <c r="I68" s="7"/>
      <c r="J68" s="7"/>
      <c r="K68" s="7"/>
      <c r="L68" s="7"/>
      <c r="M68" s="7"/>
      <c r="N68" s="7"/>
    </row>
    <row r="69" spans="9:14" x14ac:dyDescent="0.25">
      <c r="I69" s="7"/>
      <c r="J69" s="7"/>
      <c r="K69" s="7"/>
      <c r="L69" s="7"/>
      <c r="M69" s="7"/>
      <c r="N69" s="7"/>
    </row>
    <row r="70" spans="9:14" x14ac:dyDescent="0.25">
      <c r="I70" s="7"/>
      <c r="J70" s="7"/>
      <c r="K70" s="7"/>
      <c r="L70" s="7"/>
      <c r="M70" s="7"/>
      <c r="N70" s="7"/>
    </row>
    <row r="71" spans="9:14" x14ac:dyDescent="0.25">
      <c r="I71" s="7"/>
      <c r="J71" s="7"/>
      <c r="K71" s="7"/>
      <c r="L71" s="7"/>
      <c r="M71" s="7"/>
      <c r="N71" s="7"/>
    </row>
    <row r="72" spans="9:14" x14ac:dyDescent="0.25">
      <c r="I72" s="7"/>
      <c r="J72" s="7"/>
      <c r="K72" s="7"/>
      <c r="L72" s="7"/>
      <c r="M72" s="7"/>
      <c r="N72" s="7"/>
    </row>
    <row r="73" spans="9:14" x14ac:dyDescent="0.25">
      <c r="I73" s="7"/>
      <c r="J73" s="7"/>
      <c r="K73" s="7"/>
      <c r="L73" s="7"/>
      <c r="M73" s="7"/>
      <c r="N73" s="7"/>
    </row>
    <row r="74" spans="9:14" x14ac:dyDescent="0.25">
      <c r="I74" s="7"/>
      <c r="J74" s="7"/>
      <c r="K74" s="7"/>
      <c r="L74" s="7"/>
      <c r="M74" s="7"/>
      <c r="N74" s="7"/>
    </row>
    <row r="75" spans="9:14" x14ac:dyDescent="0.25">
      <c r="I75" s="7"/>
      <c r="J75" s="7"/>
      <c r="K75" s="7"/>
      <c r="L75" s="7"/>
      <c r="M75" s="7"/>
      <c r="N75" s="7"/>
    </row>
    <row r="76" spans="9:14" x14ac:dyDescent="0.25">
      <c r="I76" s="7"/>
      <c r="J76" s="7"/>
      <c r="K76" s="7"/>
      <c r="L76" s="7"/>
      <c r="M76" s="7"/>
      <c r="N76" s="7"/>
    </row>
    <row r="77" spans="9:14" x14ac:dyDescent="0.25">
      <c r="I77" s="7"/>
      <c r="J77" s="7"/>
      <c r="K77" s="7"/>
      <c r="L77" s="7"/>
      <c r="M77" s="7"/>
      <c r="N77" s="7"/>
    </row>
    <row r="78" spans="9:14" x14ac:dyDescent="0.25">
      <c r="I78" s="7"/>
      <c r="J78" s="7"/>
      <c r="K78" s="7"/>
      <c r="L78" s="7"/>
      <c r="M78" s="7"/>
      <c r="N78" s="7"/>
    </row>
    <row r="79" spans="9:14" x14ac:dyDescent="0.25">
      <c r="I79" s="7"/>
      <c r="J79" s="7"/>
      <c r="K79" s="7"/>
      <c r="L79" s="7"/>
      <c r="M79" s="7"/>
      <c r="N79" s="7"/>
    </row>
    <row r="80" spans="9:14" x14ac:dyDescent="0.25">
      <c r="I80" s="7"/>
      <c r="J80" s="7"/>
      <c r="K80" s="7"/>
      <c r="L80" s="7"/>
      <c r="M80" s="7"/>
      <c r="N80" s="7"/>
    </row>
    <row r="81" spans="9:14" x14ac:dyDescent="0.25">
      <c r="I81" s="7"/>
      <c r="J81" s="7"/>
      <c r="K81" s="7"/>
      <c r="L81" s="7"/>
      <c r="M81" s="7"/>
      <c r="N81" s="7"/>
    </row>
    <row r="82" spans="9:14" x14ac:dyDescent="0.25">
      <c r="I82" s="7"/>
      <c r="J82" s="7"/>
      <c r="K82" s="7"/>
      <c r="L82" s="7"/>
      <c r="M82" s="7"/>
      <c r="N82" s="7"/>
    </row>
    <row r="83" spans="9:14" x14ac:dyDescent="0.25">
      <c r="I83" s="7"/>
      <c r="J83" s="7"/>
      <c r="K83" s="7"/>
      <c r="L83" s="7"/>
      <c r="M83" s="7"/>
      <c r="N83" s="7"/>
    </row>
    <row r="84" spans="9:14" x14ac:dyDescent="0.25">
      <c r="I84" s="7"/>
      <c r="J84" s="7"/>
      <c r="K84" s="7"/>
      <c r="L84" s="7"/>
      <c r="M84" s="7"/>
      <c r="N84" s="7"/>
    </row>
    <row r="85" spans="9:14" x14ac:dyDescent="0.25">
      <c r="I85" s="7"/>
      <c r="J85" s="7"/>
      <c r="K85" s="7"/>
      <c r="L85" s="7"/>
      <c r="M85" s="7"/>
      <c r="N85" s="7"/>
    </row>
    <row r="86" spans="9:14" x14ac:dyDescent="0.25">
      <c r="I86" s="7"/>
      <c r="J86" s="7"/>
      <c r="K86" s="7"/>
      <c r="L86" s="7"/>
      <c r="M86" s="7"/>
      <c r="N86" s="7"/>
    </row>
    <row r="87" spans="9:14" x14ac:dyDescent="0.25">
      <c r="I87" s="7"/>
      <c r="J87" s="7"/>
      <c r="K87" s="7"/>
      <c r="L87" s="7"/>
      <c r="M87" s="7"/>
      <c r="N87" s="7"/>
    </row>
    <row r="88" spans="9:14" x14ac:dyDescent="0.25">
      <c r="I88" s="7"/>
      <c r="J88" s="7"/>
      <c r="K88" s="7"/>
      <c r="L88" s="7"/>
      <c r="M88" s="7"/>
      <c r="N88" s="7"/>
    </row>
    <row r="89" spans="9:14" x14ac:dyDescent="0.25">
      <c r="I89" s="7"/>
      <c r="J89" s="7"/>
      <c r="K89" s="7"/>
      <c r="L89" s="7"/>
      <c r="M89" s="7"/>
      <c r="N89" s="7"/>
    </row>
    <row r="90" spans="9:14" x14ac:dyDescent="0.25">
      <c r="I90" s="7"/>
      <c r="J90" s="7"/>
      <c r="K90" s="7"/>
      <c r="L90" s="7"/>
      <c r="M90" s="7"/>
      <c r="N90" s="7"/>
    </row>
    <row r="91" spans="9:14" x14ac:dyDescent="0.25">
      <c r="I91" s="7"/>
      <c r="J91" s="7"/>
      <c r="K91" s="7"/>
      <c r="L91" s="7"/>
      <c r="M91" s="7"/>
      <c r="N91" s="7"/>
    </row>
    <row r="92" spans="9:14" x14ac:dyDescent="0.25">
      <c r="I92" s="7"/>
      <c r="J92" s="7"/>
      <c r="K92" s="7"/>
      <c r="L92" s="7"/>
      <c r="M92" s="7"/>
      <c r="N92" s="7"/>
    </row>
    <row r="93" spans="9:14" x14ac:dyDescent="0.25">
      <c r="I93" s="7"/>
      <c r="J93" s="7"/>
      <c r="K93" s="7"/>
      <c r="L93" s="7"/>
      <c r="M93" s="7"/>
      <c r="N93" s="7"/>
    </row>
    <row r="94" spans="9:14" x14ac:dyDescent="0.25">
      <c r="I94" s="7"/>
      <c r="J94" s="7"/>
      <c r="K94" s="7"/>
      <c r="L94" s="7"/>
      <c r="M94" s="7"/>
      <c r="N94" s="7"/>
    </row>
    <row r="95" spans="9:14" x14ac:dyDescent="0.25">
      <c r="I95" s="7"/>
      <c r="J95" s="7"/>
      <c r="K95" s="7"/>
      <c r="L95" s="7"/>
      <c r="M95" s="7"/>
      <c r="N95" s="7"/>
    </row>
    <row r="96" spans="9:14" x14ac:dyDescent="0.25">
      <c r="I96" s="7"/>
      <c r="J96" s="7"/>
      <c r="K96" s="7"/>
      <c r="L96" s="7"/>
      <c r="M96" s="7"/>
      <c r="N96" s="7"/>
    </row>
    <row r="97" spans="9:14" x14ac:dyDescent="0.25">
      <c r="I97" s="7"/>
      <c r="J97" s="7"/>
      <c r="K97" s="7"/>
      <c r="L97" s="7"/>
      <c r="M97" s="7"/>
      <c r="N97" s="7"/>
    </row>
    <row r="98" spans="9:14" x14ac:dyDescent="0.25">
      <c r="I98" s="7"/>
      <c r="J98" s="7"/>
      <c r="K98" s="7"/>
      <c r="L98" s="7"/>
      <c r="M98" s="7"/>
      <c r="N98" s="7"/>
    </row>
    <row r="99" spans="9:14" x14ac:dyDescent="0.25">
      <c r="I99" s="7"/>
      <c r="J99" s="7"/>
      <c r="K99" s="7"/>
      <c r="L99" s="7"/>
      <c r="M99" s="7"/>
      <c r="N99" s="7"/>
    </row>
    <row r="100" spans="9:14" x14ac:dyDescent="0.25">
      <c r="I100" s="7"/>
      <c r="J100" s="7"/>
      <c r="K100" s="7"/>
      <c r="L100" s="7"/>
      <c r="M100" s="7"/>
      <c r="N100" s="7"/>
    </row>
    <row r="101" spans="9:14" x14ac:dyDescent="0.25">
      <c r="I101" s="7"/>
      <c r="J101" s="7"/>
      <c r="K101" s="7"/>
      <c r="L101" s="7"/>
      <c r="M101" s="7"/>
      <c r="N101" s="7"/>
    </row>
    <row r="102" spans="9:14" x14ac:dyDescent="0.25">
      <c r="I102" s="7"/>
      <c r="J102" s="7"/>
      <c r="K102" s="7"/>
      <c r="L102" s="7"/>
      <c r="M102" s="7"/>
      <c r="N102" s="7"/>
    </row>
    <row r="103" spans="9:14" x14ac:dyDescent="0.25">
      <c r="I103" s="7"/>
      <c r="J103" s="7"/>
      <c r="K103" s="7"/>
      <c r="L103" s="7"/>
      <c r="M103" s="7"/>
      <c r="N103" s="7"/>
    </row>
    <row r="104" spans="9:14" x14ac:dyDescent="0.25">
      <c r="I104" s="7"/>
      <c r="J104" s="7"/>
      <c r="K104" s="7"/>
      <c r="L104" s="7"/>
      <c r="M104" s="7"/>
      <c r="N104" s="7"/>
    </row>
    <row r="105" spans="9:14" x14ac:dyDescent="0.25">
      <c r="I105" s="7"/>
      <c r="J105" s="7"/>
      <c r="K105" s="7"/>
      <c r="L105" s="7"/>
      <c r="M105" s="7"/>
      <c r="N105" s="7"/>
    </row>
    <row r="106" spans="9:14" x14ac:dyDescent="0.25">
      <c r="I106" s="7"/>
      <c r="J106" s="7"/>
      <c r="K106" s="7"/>
      <c r="L106" s="7"/>
      <c r="M106" s="7"/>
      <c r="N106" s="7"/>
    </row>
    <row r="107" spans="9:14" x14ac:dyDescent="0.25">
      <c r="I107" s="7"/>
      <c r="J107" s="7"/>
      <c r="K107" s="7"/>
      <c r="L107" s="7"/>
      <c r="M107" s="7"/>
      <c r="N107" s="7"/>
    </row>
    <row r="108" spans="9:14" x14ac:dyDescent="0.25">
      <c r="I108" s="7"/>
      <c r="J108" s="7"/>
      <c r="K108" s="7"/>
      <c r="L108" s="7"/>
      <c r="M108" s="7"/>
      <c r="N108" s="7"/>
    </row>
    <row r="109" spans="9:14" x14ac:dyDescent="0.25">
      <c r="I109" s="7"/>
      <c r="J109" s="7"/>
      <c r="K109" s="7"/>
      <c r="L109" s="7"/>
      <c r="M109" s="7"/>
      <c r="N109" s="7"/>
    </row>
    <row r="110" spans="9:14" x14ac:dyDescent="0.25">
      <c r="I110" s="7"/>
      <c r="J110" s="7"/>
      <c r="K110" s="7"/>
      <c r="L110" s="7"/>
      <c r="M110" s="7"/>
      <c r="N110" s="7"/>
    </row>
  </sheetData>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D9D28-1780-4BF0-87B2-1B467275A13A}">
  <sheetPr>
    <tabColor theme="0" tint="-0.499984740745262"/>
  </sheetPr>
  <dimension ref="A1:F62"/>
  <sheetViews>
    <sheetView workbookViewId="0">
      <selection activeCell="J23" sqref="J23"/>
    </sheetView>
  </sheetViews>
  <sheetFormatPr defaultColWidth="9" defaultRowHeight="15" x14ac:dyDescent="0.25"/>
  <cols>
    <col min="1" max="1" width="11.140625" style="2" bestFit="1" customWidth="1"/>
    <col min="2" max="2" width="8.7109375" style="2" customWidth="1"/>
    <col min="3" max="3" width="54" style="11" customWidth="1"/>
    <col min="4" max="4" width="8" style="2" bestFit="1" customWidth="1"/>
    <col min="5" max="5" width="9.28515625" style="2" bestFit="1" customWidth="1"/>
    <col min="6" max="16384" width="9" style="2"/>
  </cols>
  <sheetData>
    <row r="1" spans="1:6" x14ac:dyDescent="0.25">
      <c r="A1" s="16" t="s">
        <v>51</v>
      </c>
      <c r="B1" s="16" t="s">
        <v>47</v>
      </c>
      <c r="C1" s="17" t="s">
        <v>48</v>
      </c>
      <c r="D1" s="16" t="s">
        <v>49</v>
      </c>
      <c r="E1" s="16" t="s">
        <v>50</v>
      </c>
      <c r="F1" s="97" t="s">
        <v>177</v>
      </c>
    </row>
    <row r="2" spans="1:6" ht="16.5" x14ac:dyDescent="0.25">
      <c r="A2" s="40"/>
      <c r="B2" s="85" t="s">
        <v>4</v>
      </c>
      <c r="C2" s="86" t="s">
        <v>19</v>
      </c>
      <c r="D2" s="87">
        <f>E2/SUMIFS($E$2:$E$28,$B$2:$B$28,B2)</f>
        <v>2.6595744680851064E-4</v>
      </c>
      <c r="E2" s="12">
        <v>6</v>
      </c>
    </row>
    <row r="3" spans="1:6" ht="16.5" x14ac:dyDescent="0.25">
      <c r="A3" s="40" t="s">
        <v>52</v>
      </c>
      <c r="B3" s="85" t="s">
        <v>4</v>
      </c>
      <c r="C3" s="88" t="s">
        <v>20</v>
      </c>
      <c r="D3" s="89">
        <f t="shared" ref="D3:D28" si="0">E3/SUMIFS($E$2:$E$28,$B$2:$B$28,B3)</f>
        <v>0.52792553191489366</v>
      </c>
      <c r="E3" s="12">
        <v>11910</v>
      </c>
    </row>
    <row r="4" spans="1:6" ht="16.5" x14ac:dyDescent="0.25">
      <c r="A4" s="40"/>
      <c r="B4" s="85" t="s">
        <v>4</v>
      </c>
      <c r="C4" s="88" t="s">
        <v>21</v>
      </c>
      <c r="D4" s="89">
        <f t="shared" si="0"/>
        <v>5.7180851063829783E-3</v>
      </c>
      <c r="E4" s="12">
        <v>129</v>
      </c>
    </row>
    <row r="5" spans="1:6" ht="16.5" x14ac:dyDescent="0.25">
      <c r="A5" s="40"/>
      <c r="B5" s="85" t="s">
        <v>4</v>
      </c>
      <c r="C5" s="88" t="s">
        <v>22</v>
      </c>
      <c r="D5" s="89">
        <f t="shared" si="0"/>
        <v>1.2544326241134753E-2</v>
      </c>
      <c r="E5" s="12">
        <v>283</v>
      </c>
    </row>
    <row r="6" spans="1:6" ht="16.5" x14ac:dyDescent="0.25">
      <c r="A6" s="40" t="s">
        <v>53</v>
      </c>
      <c r="B6" s="85" t="s">
        <v>4</v>
      </c>
      <c r="C6" s="88" t="s">
        <v>23</v>
      </c>
      <c r="D6" s="89">
        <f t="shared" si="0"/>
        <v>0.18466312056737588</v>
      </c>
      <c r="E6" s="12">
        <v>4166</v>
      </c>
    </row>
    <row r="7" spans="1:6" ht="16.5" x14ac:dyDescent="0.25">
      <c r="A7" s="40" t="s">
        <v>54</v>
      </c>
      <c r="B7" s="85" t="s">
        <v>4</v>
      </c>
      <c r="C7" s="88" t="s">
        <v>24</v>
      </c>
      <c r="D7" s="89">
        <f t="shared" si="0"/>
        <v>4.6010638297872337E-2</v>
      </c>
      <c r="E7" s="12">
        <v>1038</v>
      </c>
    </row>
    <row r="8" spans="1:6" ht="33" x14ac:dyDescent="0.25">
      <c r="A8" s="40"/>
      <c r="B8" s="85" t="s">
        <v>4</v>
      </c>
      <c r="C8" s="88" t="s">
        <v>25</v>
      </c>
      <c r="D8" s="89">
        <f t="shared" si="0"/>
        <v>1.3430851063829788E-2</v>
      </c>
      <c r="E8" s="12">
        <v>303</v>
      </c>
    </row>
    <row r="9" spans="1:6" ht="16.5" x14ac:dyDescent="0.25">
      <c r="A9" s="40"/>
      <c r="B9" s="85" t="s">
        <v>4</v>
      </c>
      <c r="C9" s="88" t="s">
        <v>26</v>
      </c>
      <c r="D9" s="89">
        <f t="shared" si="0"/>
        <v>2.171985815602837E-3</v>
      </c>
      <c r="E9" s="12">
        <v>49</v>
      </c>
    </row>
    <row r="10" spans="1:6" ht="16.5" x14ac:dyDescent="0.25">
      <c r="A10" s="40" t="s">
        <v>55</v>
      </c>
      <c r="B10" s="85" t="s">
        <v>4</v>
      </c>
      <c r="C10" s="88" t="s">
        <v>27</v>
      </c>
      <c r="D10" s="89">
        <f t="shared" si="0"/>
        <v>0.16374113475177304</v>
      </c>
      <c r="E10" s="12">
        <v>3694</v>
      </c>
    </row>
    <row r="11" spans="1:6" ht="16.5" x14ac:dyDescent="0.25">
      <c r="A11" s="40"/>
      <c r="B11" s="85" t="s">
        <v>4</v>
      </c>
      <c r="C11" s="88" t="s">
        <v>28</v>
      </c>
      <c r="D11" s="89">
        <f t="shared" si="0"/>
        <v>2.2562056737588654E-2</v>
      </c>
      <c r="E11" s="12">
        <v>509</v>
      </c>
    </row>
    <row r="12" spans="1:6" ht="16.5" x14ac:dyDescent="0.25">
      <c r="A12" s="40"/>
      <c r="B12" s="90" t="s">
        <v>4</v>
      </c>
      <c r="C12" s="91" t="s">
        <v>29</v>
      </c>
      <c r="D12" s="92">
        <f t="shared" si="0"/>
        <v>2.0966312056737588E-2</v>
      </c>
      <c r="E12" s="13">
        <v>473</v>
      </c>
    </row>
    <row r="13" spans="1:6" ht="16.5" x14ac:dyDescent="0.25">
      <c r="A13" s="40"/>
      <c r="B13" s="85" t="s">
        <v>30</v>
      </c>
      <c r="C13" s="93" t="s">
        <v>31</v>
      </c>
      <c r="D13" s="94">
        <f t="shared" si="0"/>
        <v>1.9386106623586429E-2</v>
      </c>
      <c r="E13" s="14">
        <v>24</v>
      </c>
    </row>
    <row r="14" spans="1:6" ht="16.5" x14ac:dyDescent="0.25">
      <c r="A14" s="40"/>
      <c r="B14" s="85" t="s">
        <v>30</v>
      </c>
      <c r="C14" s="88" t="s">
        <v>32</v>
      </c>
      <c r="D14" s="89">
        <f t="shared" si="0"/>
        <v>0.37479806138933763</v>
      </c>
      <c r="E14" s="12">
        <v>464</v>
      </c>
    </row>
    <row r="15" spans="1:6" ht="16.5" x14ac:dyDescent="0.25">
      <c r="A15" s="40"/>
      <c r="B15" s="85" t="s">
        <v>30</v>
      </c>
      <c r="C15" s="88" t="s">
        <v>33</v>
      </c>
      <c r="D15" s="89">
        <f t="shared" si="0"/>
        <v>0.16316639741518579</v>
      </c>
      <c r="E15" s="12">
        <v>202</v>
      </c>
    </row>
    <row r="16" spans="1:6" ht="16.5" x14ac:dyDescent="0.25">
      <c r="A16" s="40"/>
      <c r="B16" s="85" t="s">
        <v>30</v>
      </c>
      <c r="C16" s="88" t="s">
        <v>34</v>
      </c>
      <c r="D16" s="89">
        <f t="shared" si="0"/>
        <v>6.4620355411954766E-2</v>
      </c>
      <c r="E16" s="12">
        <v>80</v>
      </c>
    </row>
    <row r="17" spans="1:5" ht="16.5" x14ac:dyDescent="0.25">
      <c r="A17" s="40"/>
      <c r="B17" s="85" t="s">
        <v>30</v>
      </c>
      <c r="C17" s="88" t="s">
        <v>35</v>
      </c>
      <c r="D17" s="89">
        <f t="shared" si="0"/>
        <v>0.2197092084006462</v>
      </c>
      <c r="E17" s="12">
        <v>272</v>
      </c>
    </row>
    <row r="18" spans="1:5" ht="16.5" x14ac:dyDescent="0.25">
      <c r="A18" s="40"/>
      <c r="B18" s="90" t="s">
        <v>30</v>
      </c>
      <c r="C18" s="91" t="s">
        <v>36</v>
      </c>
      <c r="D18" s="92">
        <f t="shared" si="0"/>
        <v>0.15831987075928919</v>
      </c>
      <c r="E18" s="13">
        <v>196</v>
      </c>
    </row>
    <row r="19" spans="1:5" ht="16.5" x14ac:dyDescent="0.25">
      <c r="A19" s="40" t="s">
        <v>100</v>
      </c>
      <c r="B19" s="85" t="s">
        <v>37</v>
      </c>
      <c r="C19" s="93" t="s">
        <v>20</v>
      </c>
      <c r="D19" s="94">
        <f t="shared" si="0"/>
        <v>0.97352412553573897</v>
      </c>
      <c r="E19" s="14">
        <v>28166</v>
      </c>
    </row>
    <row r="20" spans="1:5" ht="16.5" x14ac:dyDescent="0.25">
      <c r="A20" s="40"/>
      <c r="B20" s="90" t="s">
        <v>37</v>
      </c>
      <c r="C20" s="91" t="s">
        <v>38</v>
      </c>
      <c r="D20" s="92">
        <f t="shared" si="0"/>
        <v>2.6475874464261025E-2</v>
      </c>
      <c r="E20" s="13">
        <v>766</v>
      </c>
    </row>
    <row r="21" spans="1:5" ht="16.5" x14ac:dyDescent="0.25">
      <c r="A21" s="40" t="s">
        <v>101</v>
      </c>
      <c r="B21" s="95" t="s">
        <v>3</v>
      </c>
      <c r="C21" s="95" t="s">
        <v>20</v>
      </c>
      <c r="D21" s="96">
        <f t="shared" si="0"/>
        <v>1</v>
      </c>
      <c r="E21" s="15">
        <v>25217</v>
      </c>
    </row>
    <row r="22" spans="1:5" ht="16.5" x14ac:dyDescent="0.25">
      <c r="A22" s="40"/>
      <c r="B22" s="85" t="s">
        <v>2</v>
      </c>
      <c r="C22" s="93" t="s">
        <v>39</v>
      </c>
      <c r="D22" s="94">
        <f t="shared" si="0"/>
        <v>3.6760415451044461E-3</v>
      </c>
      <c r="E22" s="14">
        <v>63</v>
      </c>
    </row>
    <row r="23" spans="1:5" ht="16.5" x14ac:dyDescent="0.25">
      <c r="A23" s="40" t="s">
        <v>107</v>
      </c>
      <c r="B23" s="85" t="s">
        <v>2</v>
      </c>
      <c r="C23" s="88" t="s">
        <v>20</v>
      </c>
      <c r="D23" s="89">
        <f t="shared" si="0"/>
        <v>0.7519547205041428</v>
      </c>
      <c r="E23" s="12">
        <v>12887</v>
      </c>
    </row>
    <row r="24" spans="1:5" ht="16.5" x14ac:dyDescent="0.25">
      <c r="A24" s="40"/>
      <c r="B24" s="85" t="s">
        <v>2</v>
      </c>
      <c r="C24" s="88" t="s">
        <v>40</v>
      </c>
      <c r="D24" s="89">
        <f t="shared" si="0"/>
        <v>1.5754463764733342E-3</v>
      </c>
      <c r="E24" s="12">
        <v>27</v>
      </c>
    </row>
    <row r="25" spans="1:5" ht="16.5" x14ac:dyDescent="0.25">
      <c r="A25" s="40"/>
      <c r="B25" s="85" t="s">
        <v>2</v>
      </c>
      <c r="C25" s="88" t="s">
        <v>4</v>
      </c>
      <c r="D25" s="89">
        <f t="shared" si="0"/>
        <v>5.309837787373089E-3</v>
      </c>
      <c r="E25" s="12">
        <v>91</v>
      </c>
    </row>
    <row r="26" spans="1:5" ht="16.5" x14ac:dyDescent="0.25">
      <c r="A26" s="40" t="s">
        <v>106</v>
      </c>
      <c r="B26" s="85" t="s">
        <v>2</v>
      </c>
      <c r="C26" s="88" t="s">
        <v>41</v>
      </c>
      <c r="D26" s="89">
        <f t="shared" si="0"/>
        <v>0.19768934531450577</v>
      </c>
      <c r="E26" s="12">
        <v>3388</v>
      </c>
    </row>
    <row r="27" spans="1:5" ht="16.5" x14ac:dyDescent="0.25">
      <c r="A27" s="40"/>
      <c r="B27" s="85" t="s">
        <v>2</v>
      </c>
      <c r="C27" s="88" t="s">
        <v>42</v>
      </c>
      <c r="D27" s="89">
        <f t="shared" si="0"/>
        <v>2.0014003967790874E-2</v>
      </c>
      <c r="E27" s="12">
        <v>343</v>
      </c>
    </row>
    <row r="28" spans="1:5" ht="16.5" x14ac:dyDescent="0.25">
      <c r="A28" s="40"/>
      <c r="B28" s="90" t="s">
        <v>2</v>
      </c>
      <c r="C28" s="91" t="s">
        <v>43</v>
      </c>
      <c r="D28" s="92">
        <f t="shared" si="0"/>
        <v>1.9780604504609639E-2</v>
      </c>
      <c r="E28" s="13">
        <v>339</v>
      </c>
    </row>
    <row r="31" spans="1:5" ht="14.25" customHeight="1" x14ac:dyDescent="0.25">
      <c r="B31" s="100" t="s">
        <v>46</v>
      </c>
      <c r="C31" s="100"/>
      <c r="D31" s="100"/>
      <c r="E31" s="100"/>
    </row>
    <row r="32" spans="1:5" x14ac:dyDescent="0.25">
      <c r="B32" s="100"/>
      <c r="C32" s="100"/>
      <c r="D32" s="100"/>
      <c r="E32" s="100"/>
    </row>
    <row r="33" spans="2:5" x14ac:dyDescent="0.25">
      <c r="B33" s="100"/>
      <c r="C33" s="100"/>
      <c r="D33" s="100"/>
      <c r="E33" s="100"/>
    </row>
    <row r="34" spans="2:5" x14ac:dyDescent="0.25">
      <c r="B34" s="100"/>
      <c r="C34" s="100"/>
      <c r="D34" s="100"/>
      <c r="E34" s="100"/>
    </row>
    <row r="35" spans="2:5" x14ac:dyDescent="0.25">
      <c r="B35" s="100"/>
      <c r="C35" s="100"/>
      <c r="D35" s="100"/>
      <c r="E35" s="100"/>
    </row>
    <row r="36" spans="2:5" x14ac:dyDescent="0.25">
      <c r="B36" s="100"/>
      <c r="C36" s="100"/>
      <c r="D36" s="100"/>
      <c r="E36" s="100"/>
    </row>
    <row r="37" spans="2:5" x14ac:dyDescent="0.25">
      <c r="B37" s="100"/>
      <c r="C37" s="100"/>
      <c r="D37" s="100"/>
      <c r="E37" s="100"/>
    </row>
    <row r="38" spans="2:5" x14ac:dyDescent="0.25">
      <c r="B38" s="100"/>
      <c r="C38" s="100"/>
      <c r="D38" s="100"/>
      <c r="E38" s="100"/>
    </row>
    <row r="39" spans="2:5" x14ac:dyDescent="0.25">
      <c r="B39" s="100"/>
      <c r="C39" s="100"/>
      <c r="D39" s="100"/>
      <c r="E39" s="100"/>
    </row>
    <row r="40" spans="2:5" x14ac:dyDescent="0.25">
      <c r="B40" s="100"/>
      <c r="C40" s="100"/>
      <c r="D40" s="100"/>
      <c r="E40" s="100"/>
    </row>
    <row r="41" spans="2:5" x14ac:dyDescent="0.25">
      <c r="B41" s="100"/>
      <c r="C41" s="100"/>
      <c r="D41" s="100"/>
      <c r="E41" s="100"/>
    </row>
    <row r="42" spans="2:5" x14ac:dyDescent="0.25">
      <c r="B42" s="100"/>
      <c r="C42" s="100"/>
      <c r="D42" s="100"/>
      <c r="E42" s="100"/>
    </row>
    <row r="43" spans="2:5" x14ac:dyDescent="0.25">
      <c r="B43" s="100"/>
      <c r="C43" s="100"/>
      <c r="D43" s="100"/>
      <c r="E43" s="100"/>
    </row>
    <row r="44" spans="2:5" x14ac:dyDescent="0.25">
      <c r="B44" s="100"/>
      <c r="C44" s="100"/>
      <c r="D44" s="100"/>
      <c r="E44" s="100"/>
    </row>
    <row r="46" spans="2:5" x14ac:dyDescent="0.25">
      <c r="B46" s="100" t="s">
        <v>44</v>
      </c>
      <c r="C46" s="100"/>
      <c r="D46" s="100"/>
      <c r="E46" s="100"/>
    </row>
    <row r="47" spans="2:5" x14ac:dyDescent="0.25">
      <c r="B47" s="100" t="s">
        <v>45</v>
      </c>
      <c r="C47" s="100"/>
      <c r="D47" s="100"/>
      <c r="E47" s="100"/>
    </row>
    <row r="48" spans="2:5" x14ac:dyDescent="0.25">
      <c r="B48" s="100"/>
      <c r="C48" s="100"/>
      <c r="D48" s="100"/>
      <c r="E48" s="100"/>
    </row>
    <row r="49" spans="2:5" x14ac:dyDescent="0.25">
      <c r="B49" s="100"/>
      <c r="C49" s="100"/>
      <c r="D49" s="100"/>
      <c r="E49" s="100"/>
    </row>
    <row r="50" spans="2:5" x14ac:dyDescent="0.25">
      <c r="B50" s="100"/>
      <c r="C50" s="100"/>
      <c r="D50" s="100"/>
      <c r="E50" s="100"/>
    </row>
    <row r="51" spans="2:5" x14ac:dyDescent="0.25">
      <c r="B51" s="100"/>
      <c r="C51" s="100"/>
      <c r="D51" s="100"/>
      <c r="E51" s="100"/>
    </row>
    <row r="52" spans="2:5" x14ac:dyDescent="0.25">
      <c r="B52" s="100"/>
      <c r="C52" s="100"/>
      <c r="D52" s="100"/>
      <c r="E52" s="100"/>
    </row>
    <row r="53" spans="2:5" x14ac:dyDescent="0.25">
      <c r="B53" s="100"/>
      <c r="C53" s="100"/>
      <c r="D53" s="100"/>
      <c r="E53" s="100"/>
    </row>
    <row r="54" spans="2:5" x14ac:dyDescent="0.25">
      <c r="B54" s="100"/>
      <c r="C54" s="100"/>
      <c r="D54" s="100"/>
      <c r="E54" s="100"/>
    </row>
    <row r="55" spans="2:5" x14ac:dyDescent="0.25">
      <c r="B55" s="100"/>
      <c r="C55" s="100"/>
      <c r="D55" s="100"/>
      <c r="E55" s="100"/>
    </row>
    <row r="56" spans="2:5" x14ac:dyDescent="0.25">
      <c r="B56" s="100"/>
      <c r="C56" s="100"/>
      <c r="D56" s="100"/>
      <c r="E56" s="100"/>
    </row>
    <row r="57" spans="2:5" x14ac:dyDescent="0.25">
      <c r="B57" s="100"/>
      <c r="C57" s="100"/>
      <c r="D57" s="100"/>
      <c r="E57" s="100"/>
    </row>
    <row r="58" spans="2:5" x14ac:dyDescent="0.25">
      <c r="B58" s="100"/>
      <c r="C58" s="100"/>
      <c r="D58" s="100"/>
      <c r="E58" s="100"/>
    </row>
    <row r="59" spans="2:5" x14ac:dyDescent="0.25">
      <c r="B59" s="100"/>
      <c r="C59" s="100"/>
      <c r="D59" s="100"/>
      <c r="E59" s="100"/>
    </row>
    <row r="60" spans="2:5" x14ac:dyDescent="0.25">
      <c r="B60" s="100"/>
      <c r="C60" s="100"/>
      <c r="D60" s="100"/>
      <c r="E60" s="100"/>
    </row>
    <row r="61" spans="2:5" x14ac:dyDescent="0.25">
      <c r="B61" s="100"/>
      <c r="C61" s="100"/>
      <c r="D61" s="100"/>
      <c r="E61" s="100"/>
    </row>
    <row r="62" spans="2:5" x14ac:dyDescent="0.25">
      <c r="B62" s="100"/>
      <c r="C62" s="100"/>
      <c r="D62" s="100"/>
      <c r="E62" s="100"/>
    </row>
  </sheetData>
  <mergeCells count="2">
    <mergeCell ref="B46:E62"/>
    <mergeCell ref="B31:E4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527E-0F20-4106-AD38-5326285B92CC}">
  <sheetPr>
    <tabColor theme="0" tint="-0.499984740745262"/>
  </sheetPr>
  <dimension ref="A1:H64"/>
  <sheetViews>
    <sheetView topLeftCell="A31" workbookViewId="0">
      <selection activeCell="B59" sqref="B59"/>
    </sheetView>
  </sheetViews>
  <sheetFormatPr defaultColWidth="9" defaultRowHeight="15" x14ac:dyDescent="0.25"/>
  <cols>
    <col min="1" max="1" width="5.42578125" style="2" bestFit="1" customWidth="1"/>
    <col min="2" max="8" width="14.28515625" style="7" customWidth="1"/>
    <col min="9" max="16384" width="9" style="2"/>
  </cols>
  <sheetData>
    <row r="1" spans="1:8" x14ac:dyDescent="0.25">
      <c r="A1" s="40"/>
      <c r="B1" s="41"/>
      <c r="C1" s="41" t="s">
        <v>101</v>
      </c>
      <c r="D1" s="41" t="s">
        <v>121</v>
      </c>
      <c r="E1" s="41" t="s">
        <v>122</v>
      </c>
      <c r="F1" s="41" t="s">
        <v>123</v>
      </c>
      <c r="G1" s="41"/>
      <c r="H1" s="41"/>
    </row>
    <row r="2" spans="1:8" x14ac:dyDescent="0.25">
      <c r="A2" s="21" t="s">
        <v>120</v>
      </c>
      <c r="B2" s="39">
        <v>2939</v>
      </c>
      <c r="C2" s="39">
        <v>2848</v>
      </c>
      <c r="D2" s="39">
        <v>2606</v>
      </c>
      <c r="E2" s="39">
        <v>3336</v>
      </c>
      <c r="F2" s="39">
        <v>2792</v>
      </c>
      <c r="G2" s="39">
        <v>2809</v>
      </c>
      <c r="H2" s="39" t="s">
        <v>119</v>
      </c>
    </row>
    <row r="3" spans="1:8" x14ac:dyDescent="0.25">
      <c r="A3" s="21" t="s">
        <v>5</v>
      </c>
      <c r="B3" s="39" t="s">
        <v>15</v>
      </c>
      <c r="C3" s="39" t="s">
        <v>118</v>
      </c>
      <c r="D3" s="39" t="s">
        <v>117</v>
      </c>
      <c r="E3" s="39" t="s">
        <v>116</v>
      </c>
      <c r="F3" s="39" t="s">
        <v>115</v>
      </c>
      <c r="G3" s="39" t="s">
        <v>114</v>
      </c>
      <c r="H3" s="39" t="s">
        <v>113</v>
      </c>
    </row>
    <row r="4" spans="1:8" x14ac:dyDescent="0.25">
      <c r="A4" s="21">
        <v>1990</v>
      </c>
      <c r="B4" s="39">
        <v>30465</v>
      </c>
      <c r="C4" s="39">
        <v>7885</v>
      </c>
      <c r="D4" s="39">
        <v>0</v>
      </c>
      <c r="E4" s="39">
        <v>0</v>
      </c>
      <c r="F4" s="39">
        <v>0</v>
      </c>
      <c r="G4" s="39">
        <v>0</v>
      </c>
      <c r="H4" s="39">
        <v>0</v>
      </c>
    </row>
    <row r="5" spans="1:8" x14ac:dyDescent="0.25">
      <c r="A5" s="21">
        <v>1991</v>
      </c>
      <c r="B5" s="39">
        <v>31101</v>
      </c>
      <c r="C5" s="39">
        <v>8777</v>
      </c>
      <c r="D5" s="39">
        <v>0</v>
      </c>
      <c r="E5" s="39">
        <v>0</v>
      </c>
      <c r="F5" s="39">
        <v>0</v>
      </c>
      <c r="G5" s="39">
        <v>0</v>
      </c>
      <c r="H5" s="39">
        <v>0</v>
      </c>
    </row>
    <row r="6" spans="1:8" x14ac:dyDescent="0.25">
      <c r="A6" s="21">
        <v>1992</v>
      </c>
      <c r="B6" s="39">
        <v>31108</v>
      </c>
      <c r="C6" s="39">
        <v>9623</v>
      </c>
      <c r="D6" s="39">
        <v>0</v>
      </c>
      <c r="E6" s="39">
        <v>0</v>
      </c>
      <c r="F6" s="39">
        <v>0</v>
      </c>
      <c r="G6" s="39">
        <v>0</v>
      </c>
      <c r="H6" s="39">
        <v>0</v>
      </c>
    </row>
    <row r="7" spans="1:8" x14ac:dyDescent="0.25">
      <c r="A7" s="21">
        <v>1993</v>
      </c>
      <c r="B7" s="39">
        <v>30547</v>
      </c>
      <c r="C7" s="39">
        <v>10512</v>
      </c>
      <c r="D7" s="39">
        <v>0</v>
      </c>
      <c r="E7" s="39">
        <v>0</v>
      </c>
      <c r="F7" s="39">
        <v>0</v>
      </c>
      <c r="G7" s="39">
        <v>0</v>
      </c>
      <c r="H7" s="39">
        <v>0</v>
      </c>
    </row>
    <row r="8" spans="1:8" x14ac:dyDescent="0.25">
      <c r="A8" s="21">
        <v>1994</v>
      </c>
      <c r="B8" s="39">
        <v>30413</v>
      </c>
      <c r="C8" s="39">
        <v>13293</v>
      </c>
      <c r="D8" s="39">
        <v>0</v>
      </c>
      <c r="E8" s="39">
        <v>0</v>
      </c>
      <c r="F8" s="39">
        <v>0</v>
      </c>
      <c r="G8" s="39">
        <v>0</v>
      </c>
      <c r="H8" s="39">
        <v>0</v>
      </c>
    </row>
    <row r="9" spans="1:8" x14ac:dyDescent="0.25">
      <c r="A9" s="21">
        <v>1995</v>
      </c>
      <c r="B9" s="39">
        <v>30465</v>
      </c>
      <c r="C9" s="39">
        <v>14040</v>
      </c>
      <c r="D9" s="39">
        <v>0</v>
      </c>
      <c r="E9" s="39">
        <v>0</v>
      </c>
      <c r="F9" s="39">
        <v>0</v>
      </c>
      <c r="G9" s="39">
        <v>0</v>
      </c>
      <c r="H9" s="39">
        <v>0</v>
      </c>
    </row>
    <row r="10" spans="1:8" x14ac:dyDescent="0.25">
      <c r="A10" s="21">
        <v>1996</v>
      </c>
      <c r="B10" s="39">
        <v>30563</v>
      </c>
      <c r="C10" s="39">
        <v>14756</v>
      </c>
      <c r="D10" s="39">
        <v>0</v>
      </c>
      <c r="E10" s="39">
        <v>0</v>
      </c>
      <c r="F10" s="39">
        <v>0</v>
      </c>
      <c r="G10" s="39">
        <v>0</v>
      </c>
      <c r="H10" s="39">
        <v>0</v>
      </c>
    </row>
    <row r="11" spans="1:8" x14ac:dyDescent="0.25">
      <c r="A11" s="21">
        <v>1997</v>
      </c>
      <c r="B11" s="39">
        <v>31249</v>
      </c>
      <c r="C11" s="39">
        <v>15994</v>
      </c>
      <c r="D11" s="39">
        <v>0</v>
      </c>
      <c r="E11" s="39">
        <v>0</v>
      </c>
      <c r="F11" s="39">
        <v>0</v>
      </c>
      <c r="G11" s="39">
        <v>0</v>
      </c>
      <c r="H11" s="39">
        <v>0</v>
      </c>
    </row>
    <row r="12" spans="1:8" x14ac:dyDescent="0.25">
      <c r="A12" s="21">
        <v>1998</v>
      </c>
      <c r="B12" s="39">
        <v>32202</v>
      </c>
      <c r="C12" s="39">
        <v>18174</v>
      </c>
      <c r="D12" s="39">
        <v>0</v>
      </c>
      <c r="E12" s="39">
        <v>0</v>
      </c>
      <c r="F12" s="39">
        <v>0</v>
      </c>
      <c r="G12" s="39">
        <v>0</v>
      </c>
      <c r="H12" s="39">
        <v>0</v>
      </c>
    </row>
    <row r="13" spans="1:8" x14ac:dyDescent="0.25">
      <c r="A13" s="21">
        <v>1999</v>
      </c>
      <c r="B13" s="39">
        <v>32731</v>
      </c>
      <c r="C13" s="39">
        <v>20062</v>
      </c>
      <c r="D13" s="39">
        <v>0</v>
      </c>
      <c r="E13" s="39">
        <v>0</v>
      </c>
      <c r="F13" s="39">
        <v>0</v>
      </c>
      <c r="G13" s="39">
        <v>0</v>
      </c>
      <c r="H13" s="39">
        <v>0</v>
      </c>
    </row>
    <row r="14" spans="1:8" x14ac:dyDescent="0.25">
      <c r="A14" s="21">
        <v>2000</v>
      </c>
      <c r="B14" s="39">
        <v>32554</v>
      </c>
      <c r="C14" s="39">
        <v>20946</v>
      </c>
      <c r="D14" s="39">
        <v>0</v>
      </c>
      <c r="E14" s="39">
        <v>0</v>
      </c>
      <c r="F14" s="39">
        <v>0</v>
      </c>
      <c r="G14" s="39">
        <v>0</v>
      </c>
      <c r="H14" s="39">
        <v>0</v>
      </c>
    </row>
    <row r="15" spans="1:8" x14ac:dyDescent="0.25">
      <c r="A15" s="21">
        <v>2001</v>
      </c>
      <c r="B15" s="39">
        <v>32771</v>
      </c>
      <c r="C15" s="39">
        <v>22609</v>
      </c>
      <c r="D15" s="39">
        <v>0</v>
      </c>
      <c r="E15" s="39">
        <v>0</v>
      </c>
      <c r="F15" s="39">
        <v>0</v>
      </c>
      <c r="G15" s="39">
        <v>0</v>
      </c>
      <c r="H15" s="39">
        <v>0</v>
      </c>
    </row>
    <row r="16" spans="1:8" x14ac:dyDescent="0.25">
      <c r="A16" s="21">
        <v>2002</v>
      </c>
      <c r="B16" s="39">
        <v>32408</v>
      </c>
      <c r="C16" s="39">
        <v>23609</v>
      </c>
      <c r="D16" s="39">
        <v>0</v>
      </c>
      <c r="E16" s="39">
        <v>0</v>
      </c>
      <c r="F16" s="39">
        <v>0</v>
      </c>
      <c r="G16" s="39">
        <v>0</v>
      </c>
      <c r="H16" s="39">
        <v>0</v>
      </c>
    </row>
    <row r="17" spans="1:8" x14ac:dyDescent="0.25">
      <c r="A17" s="21">
        <v>2003</v>
      </c>
      <c r="B17" s="39">
        <v>33008</v>
      </c>
      <c r="C17" s="39">
        <v>23803</v>
      </c>
      <c r="D17" s="39">
        <v>0</v>
      </c>
      <c r="E17" s="39">
        <v>0</v>
      </c>
      <c r="F17" s="39">
        <v>0</v>
      </c>
      <c r="G17" s="39">
        <v>0</v>
      </c>
      <c r="H17" s="39">
        <v>0</v>
      </c>
    </row>
    <row r="18" spans="1:8" x14ac:dyDescent="0.25">
      <c r="A18" s="21">
        <v>2004</v>
      </c>
      <c r="B18" s="39">
        <v>33427</v>
      </c>
      <c r="C18" s="39">
        <v>24149</v>
      </c>
      <c r="D18" s="39">
        <v>0</v>
      </c>
      <c r="E18" s="39">
        <v>0</v>
      </c>
      <c r="F18" s="39">
        <v>0</v>
      </c>
      <c r="G18" s="39">
        <v>0</v>
      </c>
      <c r="H18" s="39">
        <v>0</v>
      </c>
    </row>
    <row r="19" spans="1:8" x14ac:dyDescent="0.25">
      <c r="A19" s="21">
        <v>2005</v>
      </c>
      <c r="B19" s="39">
        <v>32920</v>
      </c>
      <c r="C19" s="39">
        <v>24487</v>
      </c>
      <c r="D19" s="39">
        <v>0</v>
      </c>
      <c r="E19" s="39">
        <v>0</v>
      </c>
      <c r="F19" s="39">
        <v>0</v>
      </c>
      <c r="G19" s="39">
        <v>0</v>
      </c>
      <c r="H19" s="39">
        <v>0</v>
      </c>
    </row>
    <row r="20" spans="1:8" x14ac:dyDescent="0.25">
      <c r="A20" s="21">
        <v>2006</v>
      </c>
      <c r="B20" s="39">
        <v>32679</v>
      </c>
      <c r="C20" s="39">
        <v>23305</v>
      </c>
      <c r="D20" s="39">
        <v>0</v>
      </c>
      <c r="E20" s="39">
        <v>0</v>
      </c>
      <c r="F20" s="39">
        <v>0</v>
      </c>
      <c r="G20" s="39">
        <v>0</v>
      </c>
      <c r="H20" s="39">
        <v>0</v>
      </c>
    </row>
    <row r="21" spans="1:8" x14ac:dyDescent="0.25">
      <c r="A21" s="21">
        <v>2007</v>
      </c>
      <c r="B21" s="39">
        <v>32964</v>
      </c>
      <c r="C21" s="39">
        <v>23840</v>
      </c>
      <c r="D21" s="39">
        <v>0</v>
      </c>
      <c r="E21" s="39">
        <v>0</v>
      </c>
      <c r="F21" s="39">
        <v>0</v>
      </c>
      <c r="G21" s="39">
        <v>0</v>
      </c>
      <c r="H21" s="39">
        <v>0</v>
      </c>
    </row>
    <row r="22" spans="1:8" x14ac:dyDescent="0.25">
      <c r="A22" s="21">
        <v>2008</v>
      </c>
      <c r="B22" s="39">
        <v>32992</v>
      </c>
      <c r="C22" s="39">
        <v>27052</v>
      </c>
      <c r="D22" s="39">
        <v>0</v>
      </c>
      <c r="E22" s="39">
        <v>0</v>
      </c>
      <c r="F22" s="39">
        <v>0</v>
      </c>
      <c r="G22" s="39">
        <v>0</v>
      </c>
      <c r="H22" s="39">
        <v>0</v>
      </c>
    </row>
    <row r="23" spans="1:8" x14ac:dyDescent="0.25">
      <c r="A23" s="21">
        <v>2009</v>
      </c>
      <c r="B23" s="39">
        <v>32955</v>
      </c>
      <c r="C23" s="39">
        <v>29045</v>
      </c>
      <c r="D23" s="39">
        <v>0</v>
      </c>
      <c r="E23" s="39">
        <v>0</v>
      </c>
      <c r="F23" s="39">
        <v>0</v>
      </c>
      <c r="G23" s="39">
        <v>0</v>
      </c>
      <c r="H23" s="39">
        <v>0</v>
      </c>
    </row>
    <row r="24" spans="1:8" x14ac:dyDescent="0.25">
      <c r="A24" s="21">
        <v>2010</v>
      </c>
      <c r="B24" s="39">
        <v>32947</v>
      </c>
      <c r="C24" s="39">
        <v>31739</v>
      </c>
      <c r="D24" s="39">
        <v>0</v>
      </c>
      <c r="E24" s="39">
        <v>0</v>
      </c>
      <c r="F24" s="39">
        <v>0</v>
      </c>
      <c r="G24" s="39">
        <v>0</v>
      </c>
      <c r="H24" s="39">
        <v>0</v>
      </c>
    </row>
    <row r="25" spans="1:8" x14ac:dyDescent="0.25">
      <c r="A25" s="21">
        <v>2011</v>
      </c>
      <c r="B25" s="39">
        <v>32980</v>
      </c>
      <c r="C25" s="39">
        <v>32734</v>
      </c>
      <c r="D25" s="39">
        <v>0</v>
      </c>
      <c r="E25" s="39">
        <v>0</v>
      </c>
      <c r="F25" s="39">
        <v>0</v>
      </c>
      <c r="G25" s="39">
        <v>0</v>
      </c>
      <c r="H25" s="39">
        <v>0</v>
      </c>
    </row>
    <row r="26" spans="1:8" x14ac:dyDescent="0.25">
      <c r="A26" s="21">
        <v>2012</v>
      </c>
      <c r="B26" s="39">
        <v>34409</v>
      </c>
      <c r="C26" s="39">
        <v>31810</v>
      </c>
      <c r="D26" s="39">
        <v>0</v>
      </c>
      <c r="E26" s="39">
        <v>0</v>
      </c>
      <c r="F26" s="39">
        <v>0</v>
      </c>
      <c r="G26" s="39">
        <v>0</v>
      </c>
      <c r="H26" s="39">
        <v>0</v>
      </c>
    </row>
    <row r="27" spans="1:8" x14ac:dyDescent="0.25">
      <c r="A27" s="21">
        <v>2013</v>
      </c>
      <c r="B27" s="39">
        <v>31123</v>
      </c>
      <c r="C27" s="39">
        <v>30880</v>
      </c>
      <c r="D27" s="39">
        <v>0</v>
      </c>
      <c r="E27" s="39">
        <v>0</v>
      </c>
      <c r="F27" s="39">
        <v>0</v>
      </c>
      <c r="G27" s="39">
        <v>0</v>
      </c>
      <c r="H27" s="39">
        <v>0</v>
      </c>
    </row>
    <row r="28" spans="1:8" x14ac:dyDescent="0.25">
      <c r="A28" s="21">
        <v>2014</v>
      </c>
      <c r="B28" s="39">
        <v>30484</v>
      </c>
      <c r="C28" s="39">
        <v>31589</v>
      </c>
      <c r="D28" s="39">
        <v>0</v>
      </c>
      <c r="E28" s="39">
        <v>0</v>
      </c>
      <c r="F28" s="39">
        <v>0</v>
      </c>
      <c r="G28" s="39">
        <v>0</v>
      </c>
      <c r="H28" s="39">
        <v>0</v>
      </c>
    </row>
    <row r="29" spans="1:8" x14ac:dyDescent="0.25">
      <c r="A29" s="21">
        <v>2015</v>
      </c>
      <c r="B29" s="39">
        <v>33469</v>
      </c>
      <c r="C29" s="39">
        <v>33565</v>
      </c>
      <c r="D29" s="39">
        <v>0</v>
      </c>
      <c r="E29" s="39">
        <v>0</v>
      </c>
      <c r="F29" s="39">
        <v>0</v>
      </c>
      <c r="G29" s="39">
        <v>0</v>
      </c>
      <c r="H29" s="39">
        <v>0</v>
      </c>
    </row>
    <row r="30" spans="1:8" x14ac:dyDescent="0.25">
      <c r="A30" s="21">
        <v>2016</v>
      </c>
      <c r="B30" s="39">
        <v>34240</v>
      </c>
      <c r="C30" s="39">
        <v>35126</v>
      </c>
      <c r="D30" s="39">
        <v>0</v>
      </c>
      <c r="E30" s="39">
        <v>0</v>
      </c>
      <c r="F30" s="39">
        <v>0</v>
      </c>
      <c r="G30" s="39">
        <v>0</v>
      </c>
      <c r="H30" s="39">
        <v>0</v>
      </c>
    </row>
    <row r="31" spans="1:8" x14ac:dyDescent="0.25">
      <c r="A31" s="21">
        <v>2017</v>
      </c>
      <c r="B31" s="39">
        <v>34334</v>
      </c>
      <c r="C31" s="39">
        <v>37785</v>
      </c>
      <c r="D31" s="39">
        <v>0</v>
      </c>
      <c r="E31" s="39">
        <v>0</v>
      </c>
      <c r="F31" s="39">
        <v>0</v>
      </c>
      <c r="G31" s="39">
        <v>0</v>
      </c>
      <c r="H31" s="39">
        <v>0</v>
      </c>
    </row>
    <row r="32" spans="1:8" x14ac:dyDescent="0.25">
      <c r="A32" s="21">
        <v>2018</v>
      </c>
      <c r="B32" s="39">
        <v>34499</v>
      </c>
      <c r="C32" s="39">
        <v>39931</v>
      </c>
      <c r="D32" s="39">
        <v>0</v>
      </c>
      <c r="E32" s="39">
        <v>0</v>
      </c>
      <c r="F32" s="39">
        <v>0</v>
      </c>
      <c r="G32" s="39">
        <v>0</v>
      </c>
      <c r="H32" s="39">
        <v>0</v>
      </c>
    </row>
    <row r="33" spans="1:8" x14ac:dyDescent="0.25">
      <c r="A33" s="21">
        <v>2019</v>
      </c>
      <c r="B33" s="39">
        <v>34318</v>
      </c>
      <c r="C33" s="39">
        <v>40278</v>
      </c>
      <c r="D33" s="39">
        <v>1300</v>
      </c>
      <c r="E33" s="39">
        <v>0</v>
      </c>
      <c r="F33" s="39">
        <v>0</v>
      </c>
      <c r="G33" s="39">
        <v>0</v>
      </c>
      <c r="H33" s="39">
        <v>150</v>
      </c>
    </row>
    <row r="34" spans="1:8" x14ac:dyDescent="0.25">
      <c r="A34" s="21">
        <v>2020</v>
      </c>
      <c r="B34" s="39">
        <v>36461</v>
      </c>
      <c r="C34" s="39">
        <v>39438</v>
      </c>
      <c r="D34" s="39">
        <v>1342</v>
      </c>
      <c r="E34" s="39">
        <v>0</v>
      </c>
      <c r="F34" s="39">
        <v>0</v>
      </c>
      <c r="G34" s="39">
        <v>0</v>
      </c>
      <c r="H34" s="39">
        <v>156</v>
      </c>
    </row>
    <row r="35" spans="1:8" x14ac:dyDescent="0.25">
      <c r="A35" s="21">
        <v>2021</v>
      </c>
      <c r="B35" s="39">
        <v>35615</v>
      </c>
      <c r="C35" s="39">
        <v>39715</v>
      </c>
      <c r="D35" s="39">
        <v>1384</v>
      </c>
      <c r="E35" s="39">
        <v>0</v>
      </c>
      <c r="F35" s="39">
        <v>0</v>
      </c>
      <c r="G35" s="39">
        <v>0</v>
      </c>
      <c r="H35" s="39">
        <v>163</v>
      </c>
    </row>
    <row r="36" spans="1:8" x14ac:dyDescent="0.25">
      <c r="A36" s="21">
        <v>2022</v>
      </c>
      <c r="B36" s="39">
        <v>34737</v>
      </c>
      <c r="C36" s="39">
        <v>41504</v>
      </c>
      <c r="D36" s="39">
        <v>1426</v>
      </c>
      <c r="E36" s="39">
        <v>0</v>
      </c>
      <c r="F36" s="39">
        <v>0</v>
      </c>
      <c r="G36" s="39">
        <v>0</v>
      </c>
      <c r="H36" s="39">
        <v>169</v>
      </c>
    </row>
    <row r="37" spans="1:8" x14ac:dyDescent="0.25">
      <c r="A37" s="21">
        <v>2023</v>
      </c>
      <c r="B37" s="39">
        <v>36377</v>
      </c>
      <c r="C37" s="39">
        <v>43105</v>
      </c>
      <c r="D37" s="39">
        <v>1468</v>
      </c>
      <c r="E37" s="39">
        <v>0</v>
      </c>
      <c r="F37" s="39">
        <v>0</v>
      </c>
      <c r="G37" s="39">
        <v>0</v>
      </c>
      <c r="H37" s="39">
        <v>176</v>
      </c>
    </row>
    <row r="38" spans="1:8" x14ac:dyDescent="0.25">
      <c r="A38" s="21">
        <v>2024</v>
      </c>
      <c r="B38" s="39">
        <v>36921</v>
      </c>
      <c r="C38" s="39">
        <v>44720</v>
      </c>
      <c r="D38" s="39">
        <v>1510</v>
      </c>
      <c r="E38" s="39">
        <v>0</v>
      </c>
      <c r="F38" s="39">
        <v>0</v>
      </c>
      <c r="G38" s="39">
        <v>0</v>
      </c>
      <c r="H38" s="39">
        <v>182</v>
      </c>
    </row>
    <row r="39" spans="1:8" x14ac:dyDescent="0.25">
      <c r="A39" s="21">
        <v>2025</v>
      </c>
      <c r="B39" s="39">
        <v>37477</v>
      </c>
      <c r="C39" s="39">
        <v>46420</v>
      </c>
      <c r="D39" s="39">
        <v>1552</v>
      </c>
      <c r="E39" s="39">
        <v>0</v>
      </c>
      <c r="F39" s="39">
        <v>0</v>
      </c>
      <c r="G39" s="39">
        <v>0</v>
      </c>
      <c r="H39" s="39">
        <v>189</v>
      </c>
    </row>
    <row r="40" spans="1:8" x14ac:dyDescent="0.25">
      <c r="A40" s="21">
        <v>2026</v>
      </c>
      <c r="B40" s="39">
        <v>37514</v>
      </c>
      <c r="C40" s="39">
        <v>47173</v>
      </c>
      <c r="D40" s="39">
        <v>1594</v>
      </c>
      <c r="E40" s="39">
        <v>0</v>
      </c>
      <c r="F40" s="39">
        <v>570</v>
      </c>
      <c r="G40" s="39">
        <v>30</v>
      </c>
      <c r="H40" s="39">
        <v>195</v>
      </c>
    </row>
    <row r="41" spans="1:8" x14ac:dyDescent="0.25">
      <c r="A41" s="21">
        <v>2027</v>
      </c>
      <c r="B41" s="39">
        <v>37551</v>
      </c>
      <c r="C41" s="39">
        <v>48078</v>
      </c>
      <c r="D41" s="39">
        <v>1635</v>
      </c>
      <c r="E41" s="39">
        <v>0</v>
      </c>
      <c r="F41" s="39">
        <v>725</v>
      </c>
      <c r="G41" s="39">
        <v>38</v>
      </c>
      <c r="H41" s="39">
        <v>202</v>
      </c>
    </row>
    <row r="42" spans="1:8" x14ac:dyDescent="0.25">
      <c r="A42" s="21">
        <v>2028</v>
      </c>
      <c r="B42" s="39">
        <v>37588</v>
      </c>
      <c r="C42" s="39">
        <v>48855</v>
      </c>
      <c r="D42" s="39">
        <v>1677</v>
      </c>
      <c r="E42" s="39">
        <v>0</v>
      </c>
      <c r="F42" s="39">
        <v>879</v>
      </c>
      <c r="G42" s="39">
        <v>46</v>
      </c>
      <c r="H42" s="39">
        <v>208</v>
      </c>
    </row>
    <row r="43" spans="1:8" x14ac:dyDescent="0.25">
      <c r="A43" s="21">
        <v>2029</v>
      </c>
      <c r="B43" s="39">
        <v>37625</v>
      </c>
      <c r="C43" s="39">
        <v>48850</v>
      </c>
      <c r="D43" s="39">
        <v>1719</v>
      </c>
      <c r="E43" s="39">
        <v>650</v>
      </c>
      <c r="F43" s="39">
        <v>1034</v>
      </c>
      <c r="G43" s="39">
        <v>54</v>
      </c>
      <c r="H43" s="39">
        <v>215</v>
      </c>
    </row>
    <row r="44" spans="1:8" x14ac:dyDescent="0.25">
      <c r="A44" s="21">
        <v>2030</v>
      </c>
      <c r="B44" s="39">
        <v>37662</v>
      </c>
      <c r="C44" s="39">
        <v>49762</v>
      </c>
      <c r="D44" s="39">
        <v>1761</v>
      </c>
      <c r="E44" s="39">
        <v>762</v>
      </c>
      <c r="F44" s="39">
        <v>1187</v>
      </c>
      <c r="G44" s="39">
        <v>63</v>
      </c>
      <c r="H44" s="39">
        <v>221</v>
      </c>
    </row>
    <row r="45" spans="1:8" x14ac:dyDescent="0.25">
      <c r="A45" s="21">
        <v>2031</v>
      </c>
      <c r="B45" s="39">
        <v>37699</v>
      </c>
      <c r="C45" s="39">
        <v>50673</v>
      </c>
      <c r="D45" s="39">
        <v>1803</v>
      </c>
      <c r="E45" s="39">
        <v>874</v>
      </c>
      <c r="F45" s="39">
        <v>1342</v>
      </c>
      <c r="G45" s="39">
        <v>71</v>
      </c>
      <c r="H45" s="39">
        <v>227</v>
      </c>
    </row>
    <row r="46" spans="1:8" x14ac:dyDescent="0.25">
      <c r="A46" s="21">
        <v>2032</v>
      </c>
      <c r="B46" s="39">
        <v>37736</v>
      </c>
      <c r="C46" s="39">
        <v>51583</v>
      </c>
      <c r="D46" s="39">
        <v>1845</v>
      </c>
      <c r="E46" s="39">
        <v>986</v>
      </c>
      <c r="F46" s="39">
        <v>1496</v>
      </c>
      <c r="G46" s="39">
        <v>79</v>
      </c>
      <c r="H46" s="39">
        <v>234</v>
      </c>
    </row>
    <row r="47" spans="1:8" x14ac:dyDescent="0.25">
      <c r="A47" s="21">
        <v>2033</v>
      </c>
      <c r="B47" s="39">
        <v>37773</v>
      </c>
      <c r="C47" s="39">
        <v>52494</v>
      </c>
      <c r="D47" s="39">
        <v>1887</v>
      </c>
      <c r="E47" s="39">
        <v>1098</v>
      </c>
      <c r="F47" s="39">
        <v>1651</v>
      </c>
      <c r="G47" s="39">
        <v>87</v>
      </c>
      <c r="H47" s="39">
        <v>240</v>
      </c>
    </row>
    <row r="48" spans="1:8" x14ac:dyDescent="0.25">
      <c r="A48" s="21">
        <v>2034</v>
      </c>
      <c r="B48" s="39">
        <v>37810</v>
      </c>
      <c r="C48" s="39">
        <v>53405</v>
      </c>
      <c r="D48" s="39">
        <v>1929</v>
      </c>
      <c r="E48" s="39">
        <v>1210</v>
      </c>
      <c r="F48" s="39">
        <v>1805</v>
      </c>
      <c r="G48" s="39">
        <v>95</v>
      </c>
      <c r="H48" s="39">
        <v>247</v>
      </c>
    </row>
    <row r="49" spans="1:8" x14ac:dyDescent="0.25">
      <c r="A49" s="21">
        <v>2035</v>
      </c>
      <c r="B49" s="39">
        <v>37847</v>
      </c>
      <c r="C49" s="39">
        <v>54317</v>
      </c>
      <c r="D49" s="39">
        <v>1971</v>
      </c>
      <c r="E49" s="39">
        <v>1321</v>
      </c>
      <c r="F49" s="39">
        <v>1960</v>
      </c>
      <c r="G49" s="39">
        <v>103</v>
      </c>
      <c r="H49" s="39">
        <v>253</v>
      </c>
    </row>
    <row r="50" spans="1:8" x14ac:dyDescent="0.25">
      <c r="A50" s="21">
        <v>2036</v>
      </c>
      <c r="B50" s="39">
        <v>37884</v>
      </c>
      <c r="C50" s="39">
        <v>55227</v>
      </c>
      <c r="D50" s="39">
        <v>2013</v>
      </c>
      <c r="E50" s="39">
        <v>1433</v>
      </c>
      <c r="F50" s="39">
        <v>2114</v>
      </c>
      <c r="G50" s="39">
        <v>111</v>
      </c>
      <c r="H50" s="39">
        <v>260</v>
      </c>
    </row>
    <row r="51" spans="1:8" x14ac:dyDescent="0.25">
      <c r="A51" s="21">
        <v>2037</v>
      </c>
      <c r="B51" s="39">
        <v>37921</v>
      </c>
      <c r="C51" s="39">
        <v>56138</v>
      </c>
      <c r="D51" s="39">
        <v>2055</v>
      </c>
      <c r="E51" s="39">
        <v>1545</v>
      </c>
      <c r="F51" s="39">
        <v>2269</v>
      </c>
      <c r="G51" s="39">
        <v>119</v>
      </c>
      <c r="H51" s="39">
        <v>266</v>
      </c>
    </row>
    <row r="52" spans="1:8" x14ac:dyDescent="0.25">
      <c r="A52" s="21">
        <v>2038</v>
      </c>
      <c r="B52" s="39">
        <v>37958</v>
      </c>
      <c r="C52" s="39">
        <v>57049</v>
      </c>
      <c r="D52" s="39">
        <v>2097</v>
      </c>
      <c r="E52" s="39">
        <v>1657</v>
      </c>
      <c r="F52" s="39">
        <v>2422</v>
      </c>
      <c r="G52" s="39">
        <v>128</v>
      </c>
      <c r="H52" s="39">
        <v>273</v>
      </c>
    </row>
    <row r="53" spans="1:8" x14ac:dyDescent="0.25">
      <c r="A53" s="21">
        <v>2039</v>
      </c>
      <c r="B53" s="39">
        <v>37995</v>
      </c>
      <c r="C53" s="39">
        <v>57960</v>
      </c>
      <c r="D53" s="39">
        <v>2139</v>
      </c>
      <c r="E53" s="39">
        <v>1769</v>
      </c>
      <c r="F53" s="39">
        <v>2577</v>
      </c>
      <c r="G53" s="39">
        <v>136</v>
      </c>
      <c r="H53" s="39">
        <v>279</v>
      </c>
    </row>
    <row r="54" spans="1:8" x14ac:dyDescent="0.25">
      <c r="A54" s="21">
        <v>2040</v>
      </c>
      <c r="B54" s="39">
        <v>38032</v>
      </c>
      <c r="C54" s="39">
        <v>58871</v>
      </c>
      <c r="D54" s="39">
        <v>2181</v>
      </c>
      <c r="E54" s="39">
        <v>1881</v>
      </c>
      <c r="F54" s="39">
        <v>2731</v>
      </c>
      <c r="G54" s="39">
        <v>144</v>
      </c>
      <c r="H54" s="39">
        <v>285</v>
      </c>
    </row>
    <row r="55" spans="1:8" x14ac:dyDescent="0.25">
      <c r="A55" s="21">
        <v>2041</v>
      </c>
      <c r="B55" s="39">
        <v>38069</v>
      </c>
      <c r="C55" s="39">
        <v>59781</v>
      </c>
      <c r="D55" s="39">
        <v>2223</v>
      </c>
      <c r="E55" s="39">
        <v>1993</v>
      </c>
      <c r="F55" s="39">
        <v>2886</v>
      </c>
      <c r="G55" s="39">
        <v>152</v>
      </c>
      <c r="H55" s="39">
        <v>292</v>
      </c>
    </row>
    <row r="56" spans="1:8" x14ac:dyDescent="0.25">
      <c r="A56" s="21">
        <v>2042</v>
      </c>
      <c r="B56" s="39">
        <v>38106</v>
      </c>
      <c r="C56" s="39">
        <v>60693</v>
      </c>
      <c r="D56" s="39">
        <v>2265</v>
      </c>
      <c r="E56" s="39">
        <v>2105</v>
      </c>
      <c r="F56" s="39">
        <v>3040</v>
      </c>
      <c r="G56" s="39">
        <v>160</v>
      </c>
      <c r="H56" s="39">
        <v>298</v>
      </c>
    </row>
    <row r="57" spans="1:8" x14ac:dyDescent="0.25">
      <c r="A57" s="21">
        <v>2043</v>
      </c>
      <c r="B57" s="39">
        <v>38143</v>
      </c>
      <c r="C57" s="39">
        <v>61604</v>
      </c>
      <c r="D57" s="39">
        <v>2306</v>
      </c>
      <c r="E57" s="39">
        <v>2217</v>
      </c>
      <c r="F57" s="39">
        <v>3195</v>
      </c>
      <c r="G57" s="39">
        <v>168</v>
      </c>
      <c r="H57" s="39">
        <v>305</v>
      </c>
    </row>
    <row r="58" spans="1:8" x14ac:dyDescent="0.25">
      <c r="A58" s="21">
        <v>2044</v>
      </c>
      <c r="B58" s="39">
        <v>38524</v>
      </c>
      <c r="C58" s="39">
        <v>62515</v>
      </c>
      <c r="D58" s="39">
        <v>2348</v>
      </c>
      <c r="E58" s="39">
        <v>2329</v>
      </c>
      <c r="F58" s="39">
        <v>3349</v>
      </c>
      <c r="G58" s="39">
        <v>176</v>
      </c>
      <c r="H58" s="39">
        <v>311</v>
      </c>
    </row>
    <row r="59" spans="1:8" x14ac:dyDescent="0.25">
      <c r="A59" s="21">
        <v>2045</v>
      </c>
      <c r="B59" s="39">
        <v>38910</v>
      </c>
      <c r="C59" s="39">
        <v>63426</v>
      </c>
      <c r="D59" s="39">
        <v>2390</v>
      </c>
      <c r="E59" s="39">
        <v>2440</v>
      </c>
      <c r="F59" s="39">
        <v>3504</v>
      </c>
      <c r="G59" s="39">
        <v>184</v>
      </c>
      <c r="H59" s="39">
        <v>318</v>
      </c>
    </row>
    <row r="60" spans="1:8" x14ac:dyDescent="0.25">
      <c r="A60" s="21">
        <v>2046</v>
      </c>
      <c r="B60" s="39">
        <v>39299</v>
      </c>
      <c r="C60" s="39">
        <v>64338</v>
      </c>
      <c r="D60" s="39">
        <v>2432</v>
      </c>
      <c r="E60" s="39">
        <v>2552</v>
      </c>
      <c r="F60" s="39">
        <v>3657</v>
      </c>
      <c r="G60" s="39">
        <v>193</v>
      </c>
      <c r="H60" s="39">
        <v>324</v>
      </c>
    </row>
    <row r="61" spans="1:8" x14ac:dyDescent="0.25">
      <c r="A61" s="21">
        <v>2047</v>
      </c>
      <c r="B61" s="39">
        <v>39303</v>
      </c>
      <c r="C61" s="39">
        <v>65248</v>
      </c>
      <c r="D61" s="39">
        <v>2474</v>
      </c>
      <c r="E61" s="39">
        <v>2664</v>
      </c>
      <c r="F61" s="39">
        <v>3812</v>
      </c>
      <c r="G61" s="39">
        <v>201</v>
      </c>
      <c r="H61" s="39">
        <v>331</v>
      </c>
    </row>
    <row r="62" spans="1:8" x14ac:dyDescent="0.25">
      <c r="A62" s="21">
        <v>2048</v>
      </c>
      <c r="B62" s="39">
        <v>39307</v>
      </c>
      <c r="C62" s="39">
        <v>66159</v>
      </c>
      <c r="D62" s="39">
        <v>2516</v>
      </c>
      <c r="E62" s="39">
        <v>2776</v>
      </c>
      <c r="F62" s="39">
        <v>3966</v>
      </c>
      <c r="G62" s="39">
        <v>209</v>
      </c>
      <c r="H62" s="39">
        <v>337</v>
      </c>
    </row>
    <row r="63" spans="1:8" x14ac:dyDescent="0.25">
      <c r="A63" s="21">
        <v>2049</v>
      </c>
      <c r="B63" s="39">
        <v>39311</v>
      </c>
      <c r="C63" s="39">
        <v>67069</v>
      </c>
      <c r="D63" s="39">
        <v>2558</v>
      </c>
      <c r="E63" s="39">
        <v>2888</v>
      </c>
      <c r="F63" s="39">
        <v>4121</v>
      </c>
      <c r="G63" s="39">
        <v>217</v>
      </c>
      <c r="H63" s="39">
        <v>344</v>
      </c>
    </row>
    <row r="64" spans="1:8" x14ac:dyDescent="0.25">
      <c r="A64" s="21">
        <v>2050</v>
      </c>
      <c r="B64" s="39">
        <v>39315</v>
      </c>
      <c r="C64" s="39">
        <v>67981</v>
      </c>
      <c r="D64" s="39">
        <v>2600</v>
      </c>
      <c r="E64" s="39">
        <v>3000</v>
      </c>
      <c r="F64" s="39">
        <v>4275</v>
      </c>
      <c r="G64" s="39">
        <v>225</v>
      </c>
      <c r="H64" s="39">
        <v>350</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Export_ControlTot</vt:lpstr>
      <vt:lpstr>Export_Factors</vt:lpstr>
      <vt:lpstr>Campus Enrol Disaggregation</vt:lpstr>
      <vt:lpstr>College Enrollment Projections</vt:lpstr>
      <vt:lpstr>FTE Rate Calcs</vt:lpstr>
      <vt:lpstr>HBC Rates</vt:lpstr>
      <vt:lpstr>FTE</vt:lpstr>
      <vt:lpstr>calc%concurrent</vt:lpstr>
      <vt:lpstr>USHE Projections</vt:lpstr>
      <vt:lpstr>USHE Historic</vt:lpstr>
      <vt:lpstr>BYU - Data USA Cart</vt:lpstr>
      <vt:lpstr>Westminster</vt:lpstr>
      <vt:lpstr>Ensign</vt:lpstr>
      <vt:lpstr>Historic from 2019 RTP</vt:lpstr>
      <vt:lpstr>USHE 2020 Campus Totals</vt:lpstr>
      <vt:lpstr>MAG College Enrollment 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Hereth</dc:creator>
  <cp:lastModifiedBy>Chad Worthen</cp:lastModifiedBy>
  <dcterms:created xsi:type="dcterms:W3CDTF">2022-11-11T22:29:50Z</dcterms:created>
  <dcterms:modified xsi:type="dcterms:W3CDTF">2023-06-14T22:23:41Z</dcterms:modified>
</cp:coreProperties>
</file>