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_Coordination\1 - Models\1 - TDM\3 - Model Dev\1 - WF\2 - Sandbox\v9.0Beta\WF TDM v9.0 - 2022-11-01\1_Inputs\0_GlobalData\4_ModeChoice\"/>
    </mc:Choice>
  </mc:AlternateContent>
  <xr:revisionPtr revIDLastSave="0" documentId="13_ncr:1_{77C1B744-47F8-4F43-9259-6820F940E3FC}" xr6:coauthVersionLast="47" xr6:coauthVersionMax="47" xr10:uidLastSave="{00000000-0000-0000-0000-000000000000}"/>
  <bookViews>
    <workbookView xWindow="-120" yWindow="-120" windowWidth="29040" windowHeight="15840" xr2:uid="{1438FB2C-852F-4CD0-BF36-FF85AB7AB7C9}"/>
  </bookViews>
  <sheets>
    <sheet name="Export" sheetId="1" r:id="rId1"/>
    <sheet name="CalculateBusSpedRatios" sheetId="4" r:id="rId2"/>
    <sheet name="CalculateBusSpedRatios-try1" sheetId="3" r:id="rId3"/>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P10" i="1" l="1"/>
  <c r="O10" i="1"/>
  <c r="N10" i="1"/>
  <c r="M9" i="1"/>
  <c r="L9" i="1"/>
  <c r="P8" i="1"/>
  <c r="O7" i="1"/>
  <c r="N7" i="1"/>
  <c r="M7" i="1"/>
  <c r="G11" i="1"/>
  <c r="K10" i="1"/>
  <c r="J10" i="1"/>
  <c r="I9" i="1"/>
  <c r="H9" i="1"/>
  <c r="G9" i="1"/>
  <c r="K7" i="1"/>
  <c r="J7" i="1"/>
  <c r="I7" i="1"/>
  <c r="C11" i="1"/>
  <c r="B11" i="1"/>
  <c r="F10" i="1"/>
  <c r="E9" i="1"/>
  <c r="D9" i="1"/>
  <c r="C9" i="1"/>
  <c r="B8" i="1"/>
  <c r="F7" i="1"/>
  <c r="E7" i="1"/>
  <c r="G31" i="4"/>
  <c r="P11" i="1" s="1"/>
  <c r="F31" i="4"/>
  <c r="O11" i="1" s="1"/>
  <c r="E31" i="4"/>
  <c r="N11" i="1" s="1"/>
  <c r="D31" i="4"/>
  <c r="M11" i="1" s="1"/>
  <c r="C31" i="4"/>
  <c r="L11" i="1" s="1"/>
  <c r="G30" i="4"/>
  <c r="F30" i="4"/>
  <c r="E30" i="4"/>
  <c r="D30" i="4"/>
  <c r="M10" i="1" s="1"/>
  <c r="C30" i="4"/>
  <c r="L10" i="1" s="1"/>
  <c r="G29" i="4"/>
  <c r="P9" i="1" s="1"/>
  <c r="F29" i="4"/>
  <c r="O9" i="1" s="1"/>
  <c r="E29" i="4"/>
  <c r="N9" i="1" s="1"/>
  <c r="D29" i="4"/>
  <c r="C29" i="4"/>
  <c r="G28" i="4"/>
  <c r="F28" i="4"/>
  <c r="O8" i="1" s="1"/>
  <c r="E28" i="4"/>
  <c r="N8" i="1" s="1"/>
  <c r="D28" i="4"/>
  <c r="M8" i="1" s="1"/>
  <c r="C28" i="4"/>
  <c r="L8" i="1" s="1"/>
  <c r="G27" i="4"/>
  <c r="P7" i="1" s="1"/>
  <c r="F27" i="4"/>
  <c r="E27" i="4"/>
  <c r="D27" i="4"/>
  <c r="C27" i="4"/>
  <c r="L7" i="1" s="1"/>
  <c r="G21" i="4"/>
  <c r="K11" i="1" s="1"/>
  <c r="F21" i="4"/>
  <c r="J11" i="1" s="1"/>
  <c r="E21" i="4"/>
  <c r="I11" i="1" s="1"/>
  <c r="D21" i="4"/>
  <c r="H11" i="1" s="1"/>
  <c r="C21" i="4"/>
  <c r="G20" i="4"/>
  <c r="F20" i="4"/>
  <c r="E20" i="4"/>
  <c r="I10" i="1" s="1"/>
  <c r="D20" i="4"/>
  <c r="H10" i="1" s="1"/>
  <c r="C20" i="4"/>
  <c r="G10" i="1" s="1"/>
  <c r="G19" i="4"/>
  <c r="K9" i="1" s="1"/>
  <c r="F19" i="4"/>
  <c r="J9" i="1" s="1"/>
  <c r="E19" i="4"/>
  <c r="D19" i="4"/>
  <c r="C19" i="4"/>
  <c r="G18" i="4"/>
  <c r="K8" i="1" s="1"/>
  <c r="F18" i="4"/>
  <c r="J8" i="1" s="1"/>
  <c r="E18" i="4"/>
  <c r="I8" i="1" s="1"/>
  <c r="D18" i="4"/>
  <c r="H8" i="1" s="1"/>
  <c r="C18" i="4"/>
  <c r="G8" i="1" s="1"/>
  <c r="G17" i="4"/>
  <c r="F17" i="4"/>
  <c r="E17" i="4"/>
  <c r="D17" i="4"/>
  <c r="H7" i="1" s="1"/>
  <c r="C17" i="4"/>
  <c r="G7" i="1" s="1"/>
  <c r="G12" i="4"/>
  <c r="F11" i="1" s="1"/>
  <c r="F12" i="4"/>
  <c r="E11" i="1" s="1"/>
  <c r="E12" i="4"/>
  <c r="D11" i="1" s="1"/>
  <c r="D12" i="4"/>
  <c r="C12" i="4"/>
  <c r="G11" i="4"/>
  <c r="F11" i="4"/>
  <c r="E10" i="1" s="1"/>
  <c r="E11" i="4"/>
  <c r="D10" i="1" s="1"/>
  <c r="D11" i="4"/>
  <c r="C10" i="1" s="1"/>
  <c r="C11" i="4"/>
  <c r="B10" i="1" s="1"/>
  <c r="G10" i="4"/>
  <c r="F9" i="1" s="1"/>
  <c r="F10" i="4"/>
  <c r="E10" i="4"/>
  <c r="D10" i="4"/>
  <c r="C10" i="4"/>
  <c r="B9" i="1" s="1"/>
  <c r="G9" i="4"/>
  <c r="F8" i="1" s="1"/>
  <c r="F9" i="4"/>
  <c r="E8" i="1" s="1"/>
  <c r="E9" i="4"/>
  <c r="D8" i="1" s="1"/>
  <c r="D9" i="4"/>
  <c r="C8" i="1" s="1"/>
  <c r="C9" i="4"/>
  <c r="G8" i="4"/>
  <c r="F8" i="4"/>
  <c r="E8" i="4"/>
  <c r="D7" i="1" s="1"/>
  <c r="D8" i="4"/>
  <c r="C7" i="1" s="1"/>
  <c r="C8" i="4"/>
  <c r="B7" i="1" s="1"/>
  <c r="O34" i="4"/>
  <c r="N34" i="4"/>
  <c r="M34" i="4"/>
  <c r="L34" i="4"/>
  <c r="K34" i="4"/>
  <c r="AM21" i="4"/>
  <c r="AK21" i="4"/>
  <c r="AN34" i="4"/>
  <c r="AM34" i="4"/>
  <c r="AL34" i="4"/>
  <c r="AK34" i="4"/>
  <c r="AJ34" i="4"/>
</calcChain>
</file>

<file path=xl/sharedStrings.xml><?xml version="1.0" encoding="utf-8"?>
<sst xmlns="http://schemas.openxmlformats.org/spreadsheetml/2006/main" count="353" uniqueCount="87">
  <si>
    <t>Bus Speed Ratios (.csv)</t>
  </si>
  <si>
    <t>FTGROUP</t>
  </si>
  <si>
    <t>Collectors &amp; Locals</t>
  </si>
  <si>
    <t>Minor Arterials</t>
  </si>
  <si>
    <t>Principal Arterials</t>
  </si>
  <si>
    <t>Expressways</t>
  </si>
  <si>
    <t>Freeways &amp; Ramps</t>
  </si>
  <si>
    <t>Peak</t>
  </si>
  <si>
    <t>Off-Peak</t>
  </si>
  <si>
    <t>1 - Rural</t>
  </si>
  <si>
    <t>2 - Transition</t>
  </si>
  <si>
    <t>3 - Suburban</t>
  </si>
  <si>
    <t>4 - Urban</t>
  </si>
  <si>
    <t>5 - CBD-Like</t>
  </si>
  <si>
    <t>https://github.com/WFRCAnalytics/TDM-Bus-Speeds/blob/main/bus_speed_ratios_estimation.Rmd</t>
  </si>
  <si>
    <t>Average</t>
  </si>
  <si>
    <t>1 - Original (Source) Data</t>
  </si>
  <si>
    <t>2 - Updating Off-Peak w/ Period Ratios</t>
  </si>
  <si>
    <t>Ratio of Off-Peak and Peak Ratios by Function Group</t>
  </si>
  <si>
    <t>avePkOkRatio</t>
  </si>
  <si>
    <t>3 - Fill in Missing Values</t>
  </si>
  <si>
    <t>* using the na.approx function in R, we fill in these values programatically</t>
  </si>
  <si>
    <t>4 - Manually Smooth Lines</t>
  </si>
  <si>
    <t>* following the flow of each line, we manually smooth them to follow a logical pattern</t>
  </si>
  <si>
    <t>*using the ratio between peak and off peak, we estimate some freeway ratios for the off-peak period</t>
  </si>
  <si>
    <t>* using the stat_smooth function in R, lets improve slightly upon our manual adjustments</t>
  </si>
  <si>
    <t>5 - Mathematically Smooth Lines</t>
  </si>
  <si>
    <t>Final Ratios</t>
  </si>
  <si>
    <t/>
  </si>
  <si>
    <t>Pk_Rur</t>
  </si>
  <si>
    <t>Pk_Trn</t>
  </si>
  <si>
    <t>Pk_Sub</t>
  </si>
  <si>
    <t>Pk_Urb</t>
  </si>
  <si>
    <t>Pk_CBD</t>
  </si>
  <si>
    <t>Ok_Rur</t>
  </si>
  <si>
    <t>Ok_Trn</t>
  </si>
  <si>
    <t>Ok_Sub</t>
  </si>
  <si>
    <t>Ok_Urb</t>
  </si>
  <si>
    <t>Ok_CBD</t>
  </si>
  <si>
    <t>1, 4-10</t>
  </si>
  <si>
    <t>11-19</t>
  </si>
  <si>
    <t>20-49</t>
  </si>
  <si>
    <t>FC</t>
  </si>
  <si>
    <t>;FC</t>
  </si>
  <si>
    <t>FT</t>
  </si>
  <si>
    <t>Functional Class</t>
  </si>
  <si>
    <t xml:space="preserve">Note: The travel demand model calculates bus speeds based off of link congested auto speeds. These values provide speed ratios based on functional classification groupings of link functional types, period (peak v. off-peak), and area type. </t>
  </si>
  <si>
    <t>*we make slight adjustments to the mathematically smooth lines, and use these as final ratios</t>
  </si>
  <si>
    <t>Functional Group</t>
  </si>
  <si>
    <t>Rur</t>
  </si>
  <si>
    <t>Trn</t>
  </si>
  <si>
    <t>Sub</t>
  </si>
  <si>
    <t>Urb</t>
  </si>
  <si>
    <t>CBD</t>
  </si>
  <si>
    <t>Transition</t>
  </si>
  <si>
    <t>Rural</t>
  </si>
  <si>
    <t>Suburban</t>
  </si>
  <si>
    <t>Urban</t>
  </si>
  <si>
    <t>CBD-Like</t>
  </si>
  <si>
    <t>Daily (Average)</t>
  </si>
  <si>
    <t>Parameter Estimation Source:</t>
  </si>
  <si>
    <t>for Chart --&gt;</t>
  </si>
  <si>
    <t>Note: using the ratio between peak and off peak, estimate Trn &amp; Urb freeway ratios</t>
  </si>
  <si>
    <t>2 - Fill in Missing Values</t>
  </si>
  <si>
    <t>Note: using the 'na.approx' function in R, fill in missing values</t>
  </si>
  <si>
    <t>3 - Manually Smooth Lines</t>
  </si>
  <si>
    <t>Note: light orange=modest edit, dark orange=more significant edit</t>
  </si>
  <si>
    <t>Functional Type Lookup</t>
  </si>
  <si>
    <t>0 - Original (v8.3.2) Ratios</t>
  </si>
  <si>
    <t>ratio_fway</t>
  </si>
  <si>
    <t>ratio_ramp</t>
  </si>
  <si>
    <t>ratio_part</t>
  </si>
  <si>
    <t>ratio_mart_urbcbd</t>
  </si>
  <si>
    <t>ratio_mart_subrur</t>
  </si>
  <si>
    <t>ratio_collector</t>
  </si>
  <si>
    <t>freeways</t>
  </si>
  <si>
    <t>freeway ramps</t>
  </si>
  <si>
    <t>principal arterials &amp; expressways</t>
  </si>
  <si>
    <t>minor arterials, urban/cbd</t>
  </si>
  <si>
    <t>minor arterials, suburban/rural</t>
  </si>
  <si>
    <t>collectors</t>
  </si>
  <si>
    <t>minimum_bus_speed</t>
  </si>
  <si>
    <t>DY_Rur</t>
  </si>
  <si>
    <t>DY_Trn</t>
  </si>
  <si>
    <t>DY_Sub</t>
  </si>
  <si>
    <t>DY_Urb</t>
  </si>
  <si>
    <t>DY_CBD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</si>
</sst>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u/>
      <sz val="18"/>
      <color theme="1"/>
      <name val="Calibri"/>
      <family val="2"/>
      <scheme val="minor"/>
    </font>
    <font>
      <i/>
      <sz val="11"/>
      <color rgb="FFFF0000"/>
      <name val="Calibri"/>
      <family val="2"/>
      <scheme val="minor"/>
    </font>
    <font>
      <i/>
      <sz val="11"/>
      <color theme="1"/>
      <name val="Calibri"/>
      <family val="2"/>
      <scheme val="minor"/>
    </font>
    <font>
      <u/>
      <sz val="10"/>
      <color rgb="FF0070C0"/>
      <name val="Calibri"/>
      <family val="2"/>
      <scheme val="minor"/>
    </font>
    <font>
      <b/>
      <sz val="14"/>
      <color rgb="FF0070C0"/>
      <name val="Calibri"/>
      <family val="2"/>
      <scheme val="minor"/>
    </font>
    <font>
      <i/>
      <sz val="11"/>
      <color rgb="FF0070C0"/>
      <name val="Calibri"/>
      <family val="2"/>
      <scheme val="minor"/>
    </font>
    <font>
      <i/>
      <sz val="11"/>
      <color rgb="FF7030A0"/>
      <name val="Calibri"/>
      <family val="2"/>
      <scheme val="minor"/>
    </font>
    <font>
      <b/>
      <sz val="11"/>
      <color rgb="FF7030A0"/>
      <name val="Calibri"/>
      <family val="2"/>
      <scheme val="minor"/>
    </font>
    <font>
      <sz val="10"/>
      <color rgb="FFFF0000"/>
      <name val="Calibri"/>
      <family val="2"/>
      <scheme val="minor"/>
    </font>
    <font>
      <i/>
      <sz val="11"/>
      <name val="Calibri"/>
      <family val="2"/>
      <scheme val="minor"/>
    </font>
    <font>
      <sz val="11"/>
      <name val="Calibri"/>
      <family val="2"/>
      <scheme val="minor"/>
    </font>
    <font>
      <b/>
      <sz val="11"/>
      <name val="Calibri"/>
      <family val="2"/>
      <scheme val="minor"/>
    </font>
    <font>
      <i/>
      <sz val="11"/>
      <color rgb="FF00B050"/>
      <name val="Calibri"/>
      <family val="2"/>
      <scheme val="minor"/>
    </font>
    <font>
      <sz val="11"/>
      <color rgb="FFFF0000"/>
      <name val="Calibri"/>
      <family val="2"/>
      <scheme val="minor"/>
    </font>
    <font>
      <sz val="11"/>
      <color rgb="FF0000FF"/>
      <name val="Calibri"/>
      <family val="2"/>
      <scheme val="minor"/>
    </font>
    <font>
      <sz val="11"/>
      <color rgb="FF00B050"/>
      <name val="Calibri"/>
      <family val="2"/>
      <scheme val="minor"/>
    </font>
    <font>
      <u/>
      <sz val="11"/>
      <color theme="1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 fillId="0" borderId="0"/>
    <xf numFmtId="0" fontId="20" fillId="0" borderId="0" applyNumberFormat="0" applyFill="0" applyBorder="0" applyAlignment="0" applyProtection="0"/>
  </cellStyleXfs>
  <cellXfs count="73">
    <xf numFmtId="0" fontId="0" fillId="0" borderId="0" xfId="0"/>
    <xf numFmtId="0" fontId="0" fillId="2" borderId="0" xfId="0" applyFill="1"/>
    <xf numFmtId="0" fontId="0" fillId="2" borderId="0" xfId="0" applyFill="1" applyAlignment="1">
      <alignment horizontal="center"/>
    </xf>
    <xf numFmtId="0" fontId="4" fillId="4" borderId="0" xfId="1" applyFont="1" applyFill="1"/>
    <xf numFmtId="0" fontId="0" fillId="5" borderId="0" xfId="0" applyFill="1"/>
    <xf numFmtId="0" fontId="0" fillId="5" borderId="1" xfId="0" applyFill="1" applyBorder="1" applyAlignment="1">
      <alignment horizontal="center"/>
    </xf>
    <xf numFmtId="0" fontId="6" fillId="5" borderId="1" xfId="0" applyFont="1" applyFill="1" applyBorder="1" applyAlignment="1">
      <alignment horizontal="center"/>
    </xf>
    <xf numFmtId="0" fontId="2" fillId="6" borderId="1" xfId="0" applyFont="1" applyFill="1" applyBorder="1" applyAlignment="1">
      <alignment horizontal="center"/>
    </xf>
    <xf numFmtId="0" fontId="7" fillId="5" borderId="0" xfId="0" applyFont="1" applyFill="1"/>
    <xf numFmtId="0" fontId="6" fillId="5" borderId="0" xfId="0" applyFont="1" applyFill="1" applyAlignment="1">
      <alignment horizontal="center"/>
    </xf>
    <xf numFmtId="0" fontId="2" fillId="2" borderId="0" xfId="0" applyFont="1" applyFill="1" applyAlignment="1">
      <alignment horizontal="center"/>
    </xf>
    <xf numFmtId="0" fontId="6" fillId="2" borderId="0" xfId="0" applyFont="1" applyFill="1" applyAlignment="1">
      <alignment horizontal="center"/>
    </xf>
    <xf numFmtId="0" fontId="9" fillId="5" borderId="1" xfId="0" applyFont="1" applyFill="1" applyBorder="1" applyAlignment="1">
      <alignment horizontal="center"/>
    </xf>
    <xf numFmtId="0" fontId="2" fillId="5" borderId="0" xfId="0" applyFont="1" applyFill="1" applyAlignment="1">
      <alignment horizontal="center"/>
    </xf>
    <xf numFmtId="0" fontId="11" fillId="5" borderId="0" xfId="0" applyFont="1" applyFill="1"/>
    <xf numFmtId="0" fontId="12" fillId="5" borderId="0" xfId="0" applyFont="1" applyFill="1"/>
    <xf numFmtId="0" fontId="13" fillId="5" borderId="1" xfId="0" applyFont="1" applyFill="1" applyBorder="1" applyAlignment="1">
      <alignment horizontal="center"/>
    </xf>
    <xf numFmtId="0" fontId="14" fillId="5" borderId="0" xfId="0" applyFont="1" applyFill="1"/>
    <xf numFmtId="0" fontId="14" fillId="2" borderId="0" xfId="0" applyFont="1" applyFill="1"/>
    <xf numFmtId="0" fontId="15" fillId="6" borderId="1" xfId="0" applyFont="1" applyFill="1" applyBorder="1" applyAlignment="1">
      <alignment horizontal="center"/>
    </xf>
    <xf numFmtId="0" fontId="16" fillId="5" borderId="1" xfId="0" applyFont="1" applyFill="1" applyBorder="1" applyAlignment="1">
      <alignment horizontal="center"/>
    </xf>
    <xf numFmtId="0" fontId="5" fillId="5" borderId="1" xfId="0" applyFont="1" applyFill="1" applyBorder="1" applyAlignment="1">
      <alignment horizontal="center"/>
    </xf>
    <xf numFmtId="0" fontId="0" fillId="2" borderId="0" xfId="0" quotePrefix="1" applyFill="1"/>
    <xf numFmtId="0" fontId="0" fillId="5" borderId="0" xfId="0" applyFill="1" applyAlignment="1">
      <alignment horizontal="center"/>
    </xf>
    <xf numFmtId="0" fontId="0" fillId="5" borderId="0" xfId="0" quotePrefix="1" applyFill="1" applyAlignment="1">
      <alignment horizontal="center"/>
    </xf>
    <xf numFmtId="0" fontId="0" fillId="5" borderId="5" xfId="0" applyFill="1" applyBorder="1"/>
    <xf numFmtId="0" fontId="2" fillId="7" borderId="0" xfId="0" applyFont="1" applyFill="1" applyAlignment="1">
      <alignment horizontal="center"/>
    </xf>
    <xf numFmtId="0" fontId="2" fillId="7" borderId="0" xfId="0" applyFont="1" applyFill="1"/>
    <xf numFmtId="0" fontId="2" fillId="4" borderId="0" xfId="0" applyFont="1" applyFill="1" applyAlignment="1">
      <alignment horizontal="center"/>
    </xf>
    <xf numFmtId="0" fontId="2" fillId="4" borderId="0" xfId="0" applyFont="1" applyFill="1"/>
    <xf numFmtId="0" fontId="0" fillId="4" borderId="0" xfId="0" applyFill="1"/>
    <xf numFmtId="0" fontId="3" fillId="4" borderId="0" xfId="0" applyFont="1" applyFill="1"/>
    <xf numFmtId="0" fontId="5" fillId="4" borderId="0" xfId="0" applyFont="1" applyFill="1"/>
    <xf numFmtId="0" fontId="4" fillId="2" borderId="0" xfId="0" applyFont="1" applyFill="1"/>
    <xf numFmtId="0" fontId="0" fillId="4" borderId="0" xfId="0" applyFill="1" applyAlignment="1">
      <alignment horizontal="center"/>
    </xf>
    <xf numFmtId="0" fontId="13" fillId="4" borderId="0" xfId="0" applyFont="1" applyFill="1"/>
    <xf numFmtId="0" fontId="3" fillId="8" borderId="0" xfId="0" applyFont="1" applyFill="1"/>
    <xf numFmtId="0" fontId="0" fillId="8" borderId="0" xfId="0" applyFill="1"/>
    <xf numFmtId="0" fontId="15" fillId="4" borderId="0" xfId="0" applyFont="1" applyFill="1" applyAlignment="1">
      <alignment horizontal="center"/>
    </xf>
    <xf numFmtId="0" fontId="14" fillId="4" borderId="0" xfId="0" applyFont="1" applyFill="1"/>
    <xf numFmtId="0" fontId="14" fillId="8" borderId="0" xfId="0" applyFont="1" applyFill="1"/>
    <xf numFmtId="2" fontId="17" fillId="5" borderId="0" xfId="0" applyNumberFormat="1" applyFont="1" applyFill="1" applyAlignment="1">
      <alignment horizontal="center"/>
    </xf>
    <xf numFmtId="2" fontId="14" fillId="5" borderId="0" xfId="0" applyNumberFormat="1" applyFont="1" applyFill="1" applyAlignment="1">
      <alignment horizontal="center"/>
    </xf>
    <xf numFmtId="2" fontId="17" fillId="9" borderId="0" xfId="0" applyNumberFormat="1" applyFont="1" applyFill="1" applyAlignment="1">
      <alignment horizontal="center"/>
    </xf>
    <xf numFmtId="0" fontId="5" fillId="4" borderId="0" xfId="0" applyFont="1" applyFill="1" applyAlignment="1">
      <alignment horizontal="right"/>
    </xf>
    <xf numFmtId="0" fontId="13" fillId="10" borderId="0" xfId="0" applyFont="1" applyFill="1" applyAlignment="1">
      <alignment horizontal="right"/>
    </xf>
    <xf numFmtId="0" fontId="5" fillId="10" borderId="0" xfId="0" applyFont="1" applyFill="1" applyAlignment="1">
      <alignment horizontal="center"/>
    </xf>
    <xf numFmtId="0" fontId="16" fillId="10" borderId="0" xfId="0" applyFont="1" applyFill="1" applyAlignment="1">
      <alignment horizontal="center"/>
    </xf>
    <xf numFmtId="2" fontId="17" fillId="4" borderId="6" xfId="0" applyNumberFormat="1" applyFont="1" applyFill="1" applyBorder="1" applyAlignment="1">
      <alignment horizontal="center"/>
    </xf>
    <xf numFmtId="0" fontId="2" fillId="8" borderId="0" xfId="0" applyFont="1" applyFill="1" applyAlignment="1">
      <alignment horizontal="center"/>
    </xf>
    <xf numFmtId="2" fontId="19" fillId="3" borderId="6" xfId="0" applyNumberFormat="1" applyFont="1" applyFill="1" applyBorder="1" applyAlignment="1">
      <alignment horizontal="center"/>
    </xf>
    <xf numFmtId="2" fontId="17" fillId="3" borderId="6" xfId="0" applyNumberFormat="1" applyFont="1" applyFill="1" applyBorder="1" applyAlignment="1">
      <alignment horizontal="center"/>
    </xf>
    <xf numFmtId="2" fontId="14" fillId="5" borderId="6" xfId="0" applyNumberFormat="1" applyFont="1" applyFill="1" applyBorder="1" applyAlignment="1">
      <alignment horizontal="center"/>
    </xf>
    <xf numFmtId="2" fontId="17" fillId="3" borderId="0" xfId="0" applyNumberFormat="1" applyFont="1" applyFill="1" applyAlignment="1">
      <alignment horizontal="center"/>
    </xf>
    <xf numFmtId="2" fontId="17" fillId="9" borderId="6" xfId="0" applyNumberFormat="1" applyFont="1" applyFill="1" applyBorder="1" applyAlignment="1">
      <alignment horizontal="center"/>
    </xf>
    <xf numFmtId="0" fontId="4" fillId="7" borderId="0" xfId="1" applyFont="1" applyFill="1"/>
    <xf numFmtId="2" fontId="19" fillId="5" borderId="0" xfId="0" applyNumberFormat="1" applyFont="1" applyFill="1" applyAlignment="1">
      <alignment horizontal="center"/>
    </xf>
    <xf numFmtId="2" fontId="18" fillId="5" borderId="5" xfId="0" applyNumberFormat="1" applyFont="1" applyFill="1" applyBorder="1" applyAlignment="1">
      <alignment horizontal="center"/>
    </xf>
    <xf numFmtId="2" fontId="18" fillId="5" borderId="0" xfId="0" applyNumberFormat="1" applyFont="1" applyFill="1" applyAlignment="1">
      <alignment horizontal="center"/>
    </xf>
    <xf numFmtId="0" fontId="4" fillId="4" borderId="0" xfId="0" applyFont="1" applyFill="1"/>
    <xf numFmtId="0" fontId="4" fillId="4" borderId="0" xfId="0" applyFont="1" applyFill="1" applyAlignment="1">
      <alignment horizontal="left"/>
    </xf>
    <xf numFmtId="0" fontId="6" fillId="5" borderId="0" xfId="0" applyFont="1" applyFill="1"/>
    <xf numFmtId="0" fontId="17" fillId="4" borderId="0" xfId="0" applyFont="1" applyFill="1"/>
    <xf numFmtId="0" fontId="17" fillId="5" borderId="0" xfId="0" applyFont="1" applyFill="1" applyAlignment="1">
      <alignment horizontal="center"/>
    </xf>
    <xf numFmtId="0" fontId="20" fillId="4" borderId="0" xfId="2" applyFill="1"/>
    <xf numFmtId="0" fontId="5" fillId="4" borderId="0" xfId="0" applyFont="1" applyFill="1" applyAlignment="1">
      <alignment wrapText="1"/>
    </xf>
    <xf numFmtId="0" fontId="8" fillId="5" borderId="2" xfId="0" applyFont="1" applyFill="1" applyBorder="1" applyAlignment="1">
      <alignment horizontal="right" vertical="center" textRotation="90"/>
    </xf>
    <xf numFmtId="0" fontId="8" fillId="5" borderId="0" xfId="0" applyFont="1" applyFill="1" applyAlignment="1">
      <alignment horizontal="right" vertical="center" textRotation="90"/>
    </xf>
    <xf numFmtId="0" fontId="8" fillId="2" borderId="0" xfId="0" applyFont="1" applyFill="1" applyAlignment="1">
      <alignment horizontal="right" vertical="center" textRotation="90"/>
    </xf>
    <xf numFmtId="0" fontId="2" fillId="6" borderId="3" xfId="0" applyFont="1" applyFill="1" applyBorder="1" applyAlignment="1">
      <alignment horizontal="center"/>
    </xf>
    <xf numFmtId="0" fontId="2" fillId="6" borderId="4" xfId="0" applyFont="1" applyFill="1" applyBorder="1" applyAlignment="1">
      <alignment horizontal="center"/>
    </xf>
    <xf numFmtId="0" fontId="10" fillId="5" borderId="3" xfId="0" applyFont="1" applyFill="1" applyBorder="1" applyAlignment="1">
      <alignment horizontal="center"/>
    </xf>
    <xf numFmtId="0" fontId="10" fillId="5" borderId="4" xfId="0" applyFont="1" applyFill="1" applyBorder="1" applyAlignment="1">
      <alignment horizontal="center"/>
    </xf>
  </cellXfs>
  <cellStyles count="3">
    <cellStyle name="Hyperlink" xfId="2" builtinId="8"/>
    <cellStyle name="Normal" xfId="0" builtinId="0"/>
    <cellStyle name="Normal 2" xfId="1" xr:uid="{8D4AF9A7-2F20-4DAD-83D8-2AA615393912}"/>
  </cellStyles>
  <dxfs count="0"/>
  <tableStyles count="0" defaultTableStyle="TableStyleMedium2" defaultPivotStyle="PivotStyleLight16"/>
  <colors>
    <mruColors>
      <color rgb="FFEE0000"/>
      <color rgb="FFFFFFCC"/>
      <color rgb="FFFF7D7D"/>
      <color rgb="FFFFB3B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Daily</a:t>
            </a:r>
          </a:p>
        </c:rich>
      </c:tx>
      <c:layout>
        <c:manualLayout>
          <c:xMode val="edge"/>
          <c:yMode val="edge"/>
          <c:x val="0.60575021561722742"/>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CalculateBusSpedRatios!$BH$27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CalculateBusSpedRatios!$BI$27:$BM$27</c:f>
              <c:numCache>
                <c:formatCode>0.00</c:formatCode>
                <c:ptCount val="5"/>
                <c:pt idx="1">
                  <c:v>0.6</c:v>
                </c:pt>
                <c:pt idx="2">
                  <c:v>0.62</c:v>
                </c:pt>
                <c:pt idx="3">
                  <c:v>0.65</c:v>
                </c:pt>
                <c:pt idx="4">
                  <c:v>0.53</c:v>
                </c:pt>
              </c:numCache>
            </c:numRef>
          </c:val>
          <c:smooth val="0"/>
          <c:extLst>
            <c:ext xmlns:c16="http://schemas.microsoft.com/office/drawing/2014/chart" uri="{C3380CC4-5D6E-409C-BE32-E72D297353CC}">
              <c16:uniqueId val="{00000000-600A-4447-A4FC-E7CC65F50B98}"/>
            </c:ext>
          </c:extLst>
        </c:ser>
        <c:ser>
          <c:idx val="1"/>
          <c:order val="1"/>
          <c:tx>
            <c:strRef>
              <c:f>CalculateBusSpedRatios!$BH$28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CalculateBusSpedRatios!$BI$28:$BM$28</c:f>
              <c:numCache>
                <c:formatCode>0.00</c:formatCode>
                <c:ptCount val="5"/>
                <c:pt idx="1">
                  <c:v>0.72</c:v>
                </c:pt>
                <c:pt idx="2">
                  <c:v>0.62</c:v>
                </c:pt>
                <c:pt idx="3">
                  <c:v>0.57999999999999996</c:v>
                </c:pt>
                <c:pt idx="4">
                  <c:v>0.51</c:v>
                </c:pt>
              </c:numCache>
            </c:numRef>
          </c:val>
          <c:smooth val="0"/>
          <c:extLst>
            <c:ext xmlns:c16="http://schemas.microsoft.com/office/drawing/2014/chart" uri="{C3380CC4-5D6E-409C-BE32-E72D297353CC}">
              <c16:uniqueId val="{00000001-600A-4447-A4FC-E7CC65F50B98}"/>
            </c:ext>
          </c:extLst>
        </c:ser>
        <c:ser>
          <c:idx val="2"/>
          <c:order val="2"/>
          <c:tx>
            <c:strRef>
              <c:f>CalculateBusSpedRatios!$BH$29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CalculateBusSpedRatios!$BI$29:$BM$29</c:f>
              <c:numCache>
                <c:formatCode>0.00</c:formatCode>
                <c:ptCount val="5"/>
                <c:pt idx="0">
                  <c:v>0.84</c:v>
                </c:pt>
                <c:pt idx="1">
                  <c:v>0.76</c:v>
                </c:pt>
                <c:pt idx="2">
                  <c:v>0.55000000000000004</c:v>
                </c:pt>
                <c:pt idx="3">
                  <c:v>0.56000000000000005</c:v>
                </c:pt>
                <c:pt idx="4">
                  <c:v>0.49</c:v>
                </c:pt>
              </c:numCache>
            </c:numRef>
          </c:val>
          <c:smooth val="0"/>
          <c:extLst>
            <c:ext xmlns:c16="http://schemas.microsoft.com/office/drawing/2014/chart" uri="{C3380CC4-5D6E-409C-BE32-E72D297353CC}">
              <c16:uniqueId val="{00000002-600A-4447-A4FC-E7CC65F50B98}"/>
            </c:ext>
          </c:extLst>
        </c:ser>
        <c:ser>
          <c:idx val="3"/>
          <c:order val="3"/>
          <c:tx>
            <c:strRef>
              <c:f>CalculateBusSpedRatios!$BH$30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CalculateBusSpedRatios!$BI$30:$BM$30</c:f>
              <c:numCache>
                <c:formatCode>0.00</c:formatCode>
                <c:ptCount val="5"/>
                <c:pt idx="1">
                  <c:v>0.51</c:v>
                </c:pt>
                <c:pt idx="2">
                  <c:v>0.76</c:v>
                </c:pt>
                <c:pt idx="3">
                  <c:v>0.56999999999999995</c:v>
                </c:pt>
              </c:numCache>
            </c:numRef>
          </c:val>
          <c:smooth val="0"/>
          <c:extLst>
            <c:ext xmlns:c16="http://schemas.microsoft.com/office/drawing/2014/chart" uri="{C3380CC4-5D6E-409C-BE32-E72D297353CC}">
              <c16:uniqueId val="{00000003-600A-4447-A4FC-E7CC65F50B98}"/>
            </c:ext>
          </c:extLst>
        </c:ser>
        <c:ser>
          <c:idx val="4"/>
          <c:order val="4"/>
          <c:tx>
            <c:strRef>
              <c:f>CalculateBusSpedRatios!$BH$31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CalculateBusSpedRatios!$BI$31:$BM$31</c:f>
              <c:numCache>
                <c:formatCode>0.00</c:formatCode>
                <c:ptCount val="5"/>
                <c:pt idx="1">
                  <c:v>0.64</c:v>
                </c:pt>
                <c:pt idx="2">
                  <c:v>0.64</c:v>
                </c:pt>
                <c:pt idx="3">
                  <c:v>0.83</c:v>
                </c:pt>
              </c:numCache>
            </c:numRef>
          </c:val>
          <c:smooth val="0"/>
          <c:extLst>
            <c:ext xmlns:c16="http://schemas.microsoft.com/office/drawing/2014/chart" uri="{C3380CC4-5D6E-409C-BE32-E72D297353CC}">
              <c16:uniqueId val="{00000004-600A-4447-A4FC-E7CC65F50B98}"/>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Off-Peak</a:t>
            </a:r>
          </a:p>
        </c:rich>
      </c:tx>
      <c:layout>
        <c:manualLayout>
          <c:xMode val="edge"/>
          <c:yMode val="edge"/>
          <c:x val="0.56685927670290581"/>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CalculateBusSpedRatios!$BH$17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CalculateBusSpedRatios!$BI$17:$BM$17</c:f>
              <c:numCache>
                <c:formatCode>0.00</c:formatCode>
                <c:ptCount val="5"/>
                <c:pt idx="1">
                  <c:v>0.6</c:v>
                </c:pt>
                <c:pt idx="2">
                  <c:v>0.61</c:v>
                </c:pt>
                <c:pt idx="3">
                  <c:v>0.64</c:v>
                </c:pt>
                <c:pt idx="4">
                  <c:v>0.52</c:v>
                </c:pt>
              </c:numCache>
            </c:numRef>
          </c:val>
          <c:smooth val="0"/>
          <c:extLst>
            <c:ext xmlns:c16="http://schemas.microsoft.com/office/drawing/2014/chart" uri="{C3380CC4-5D6E-409C-BE32-E72D297353CC}">
              <c16:uniqueId val="{00000000-FA90-4870-890D-82E3D6DA3A81}"/>
            </c:ext>
          </c:extLst>
        </c:ser>
        <c:ser>
          <c:idx val="1"/>
          <c:order val="1"/>
          <c:tx>
            <c:strRef>
              <c:f>CalculateBusSpedRatios!$BH$18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CalculateBusSpedRatios!$BI$18:$BM$18</c:f>
              <c:numCache>
                <c:formatCode>0.00</c:formatCode>
                <c:ptCount val="5"/>
                <c:pt idx="1">
                  <c:v>0.68</c:v>
                </c:pt>
                <c:pt idx="2">
                  <c:v>0.61</c:v>
                </c:pt>
                <c:pt idx="3">
                  <c:v>0.56000000000000005</c:v>
                </c:pt>
                <c:pt idx="4">
                  <c:v>0.48</c:v>
                </c:pt>
              </c:numCache>
            </c:numRef>
          </c:val>
          <c:smooth val="0"/>
          <c:extLst>
            <c:ext xmlns:c16="http://schemas.microsoft.com/office/drawing/2014/chart" uri="{C3380CC4-5D6E-409C-BE32-E72D297353CC}">
              <c16:uniqueId val="{00000001-FA90-4870-890D-82E3D6DA3A81}"/>
            </c:ext>
          </c:extLst>
        </c:ser>
        <c:ser>
          <c:idx val="2"/>
          <c:order val="2"/>
          <c:tx>
            <c:strRef>
              <c:f>CalculateBusSpedRatios!$BH$19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CalculateBusSpedRatios!$BI$19:$BM$19</c:f>
              <c:numCache>
                <c:formatCode>0.00</c:formatCode>
                <c:ptCount val="5"/>
                <c:pt idx="0">
                  <c:v>0.78</c:v>
                </c:pt>
                <c:pt idx="1">
                  <c:v>0.73</c:v>
                </c:pt>
                <c:pt idx="2">
                  <c:v>0.52</c:v>
                </c:pt>
                <c:pt idx="3">
                  <c:v>0.53</c:v>
                </c:pt>
                <c:pt idx="4">
                  <c:v>0.47</c:v>
                </c:pt>
              </c:numCache>
            </c:numRef>
          </c:val>
          <c:smooth val="0"/>
          <c:extLst>
            <c:ext xmlns:c16="http://schemas.microsoft.com/office/drawing/2014/chart" uri="{C3380CC4-5D6E-409C-BE32-E72D297353CC}">
              <c16:uniqueId val="{00000002-FA90-4870-890D-82E3D6DA3A81}"/>
            </c:ext>
          </c:extLst>
        </c:ser>
        <c:ser>
          <c:idx val="3"/>
          <c:order val="3"/>
          <c:tx>
            <c:strRef>
              <c:f>CalculateBusSpedRatios!$BH$20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CalculateBusSpedRatios!$BI$20:$BM$20</c:f>
              <c:numCache>
                <c:formatCode>0.00</c:formatCode>
                <c:ptCount val="5"/>
                <c:pt idx="1">
                  <c:v>0.52</c:v>
                </c:pt>
                <c:pt idx="2">
                  <c:v>0.63</c:v>
                </c:pt>
                <c:pt idx="3">
                  <c:v>0.56000000000000005</c:v>
                </c:pt>
              </c:numCache>
            </c:numRef>
          </c:val>
          <c:smooth val="0"/>
          <c:extLst>
            <c:ext xmlns:c16="http://schemas.microsoft.com/office/drawing/2014/chart" uri="{C3380CC4-5D6E-409C-BE32-E72D297353CC}">
              <c16:uniqueId val="{00000003-FA90-4870-890D-82E3D6DA3A81}"/>
            </c:ext>
          </c:extLst>
        </c:ser>
        <c:ser>
          <c:idx val="4"/>
          <c:order val="4"/>
          <c:tx>
            <c:strRef>
              <c:f>CalculateBusSpedRatios!$BH$21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CalculateBusSpedRatios!$BI$21:$BM$21</c:f>
              <c:numCache>
                <c:formatCode>0.00</c:formatCode>
                <c:ptCount val="5"/>
                <c:pt idx="2">
                  <c:v>0.5</c:v>
                </c:pt>
              </c:numCache>
            </c:numRef>
          </c:val>
          <c:smooth val="0"/>
          <c:extLst>
            <c:ext xmlns:c16="http://schemas.microsoft.com/office/drawing/2014/chart" uri="{C3380CC4-5D6E-409C-BE32-E72D297353CC}">
              <c16:uniqueId val="{00000004-FA90-4870-890D-82E3D6DA3A81}"/>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Peak</a:t>
            </a:r>
          </a:p>
        </c:rich>
      </c:tx>
      <c:layout>
        <c:manualLayout>
          <c:xMode val="edge"/>
          <c:yMode val="edge"/>
          <c:x val="0.59741644794400695"/>
          <c:y val="1.3631264841894763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CalculateBusSpedRatios!$BH$8</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CalculateBusSpedRatios!$BI$8:$BM$8</c:f>
              <c:numCache>
                <c:formatCode>0.00</c:formatCode>
                <c:ptCount val="5"/>
                <c:pt idx="1">
                  <c:v>0.59</c:v>
                </c:pt>
                <c:pt idx="2">
                  <c:v>0.63</c:v>
                </c:pt>
                <c:pt idx="3">
                  <c:v>0.66</c:v>
                </c:pt>
                <c:pt idx="4">
                  <c:v>0.54</c:v>
                </c:pt>
              </c:numCache>
            </c:numRef>
          </c:val>
          <c:smooth val="0"/>
          <c:extLst>
            <c:ext xmlns:c16="http://schemas.microsoft.com/office/drawing/2014/chart" uri="{C3380CC4-5D6E-409C-BE32-E72D297353CC}">
              <c16:uniqueId val="{00000000-7B85-443C-A182-49E814CFB242}"/>
            </c:ext>
          </c:extLst>
        </c:ser>
        <c:ser>
          <c:idx val="1"/>
          <c:order val="1"/>
          <c:tx>
            <c:strRef>
              <c:f>CalculateBusSpedRatios!$BH$9</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CalculateBusSpedRatios!$BI$9:$BM$9</c:f>
              <c:numCache>
                <c:formatCode>0.00</c:formatCode>
                <c:ptCount val="5"/>
                <c:pt idx="1">
                  <c:v>0.74</c:v>
                </c:pt>
                <c:pt idx="2">
                  <c:v>0.63</c:v>
                </c:pt>
                <c:pt idx="3">
                  <c:v>0.6</c:v>
                </c:pt>
                <c:pt idx="4">
                  <c:v>0.53</c:v>
                </c:pt>
              </c:numCache>
            </c:numRef>
          </c:val>
          <c:smooth val="0"/>
          <c:extLst>
            <c:ext xmlns:c16="http://schemas.microsoft.com/office/drawing/2014/chart" uri="{C3380CC4-5D6E-409C-BE32-E72D297353CC}">
              <c16:uniqueId val="{00000001-7B85-443C-A182-49E814CFB242}"/>
            </c:ext>
          </c:extLst>
        </c:ser>
        <c:ser>
          <c:idx val="2"/>
          <c:order val="2"/>
          <c:tx>
            <c:strRef>
              <c:f>CalculateBusSpedRatios!$BH$10</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CalculateBusSpedRatios!$BI$10:$BM$10</c:f>
              <c:numCache>
                <c:formatCode>0.00</c:formatCode>
                <c:ptCount val="5"/>
                <c:pt idx="0">
                  <c:v>0.91</c:v>
                </c:pt>
                <c:pt idx="1">
                  <c:v>0.78</c:v>
                </c:pt>
                <c:pt idx="2">
                  <c:v>0.57999999999999996</c:v>
                </c:pt>
                <c:pt idx="3">
                  <c:v>0.57999999999999996</c:v>
                </c:pt>
                <c:pt idx="4">
                  <c:v>0.5</c:v>
                </c:pt>
              </c:numCache>
            </c:numRef>
          </c:val>
          <c:smooth val="0"/>
          <c:extLst>
            <c:ext xmlns:c16="http://schemas.microsoft.com/office/drawing/2014/chart" uri="{C3380CC4-5D6E-409C-BE32-E72D297353CC}">
              <c16:uniqueId val="{00000002-7B85-443C-A182-49E814CFB242}"/>
            </c:ext>
          </c:extLst>
        </c:ser>
        <c:ser>
          <c:idx val="3"/>
          <c:order val="3"/>
          <c:tx>
            <c:strRef>
              <c:f>CalculateBusSpedRatios!$BH$11</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CalculateBusSpedRatios!$BI$11:$BM$11</c:f>
              <c:numCache>
                <c:formatCode>0.00</c:formatCode>
                <c:ptCount val="5"/>
                <c:pt idx="1">
                  <c:v>0.51</c:v>
                </c:pt>
                <c:pt idx="2">
                  <c:v>0.85</c:v>
                </c:pt>
                <c:pt idx="3">
                  <c:v>0.57999999999999996</c:v>
                </c:pt>
              </c:numCache>
            </c:numRef>
          </c:val>
          <c:smooth val="0"/>
          <c:extLst>
            <c:ext xmlns:c16="http://schemas.microsoft.com/office/drawing/2014/chart" uri="{C3380CC4-5D6E-409C-BE32-E72D297353CC}">
              <c16:uniqueId val="{00000003-7B85-443C-A182-49E814CFB242}"/>
            </c:ext>
          </c:extLst>
        </c:ser>
        <c:ser>
          <c:idx val="4"/>
          <c:order val="4"/>
          <c:tx>
            <c:strRef>
              <c:f>CalculateBusSpedRatios!$BH$12</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CalculateBusSpedRatios!$BI$34:$BM$34</c:f>
              <c:strCache>
                <c:ptCount val="5"/>
                <c:pt idx="0">
                  <c:v>Rur</c:v>
                </c:pt>
                <c:pt idx="1">
                  <c:v>Trn</c:v>
                </c:pt>
                <c:pt idx="2">
                  <c:v>Sub</c:v>
                </c:pt>
                <c:pt idx="3">
                  <c:v>Urb</c:v>
                </c:pt>
                <c:pt idx="4">
                  <c:v>CBD</c:v>
                </c:pt>
              </c:strCache>
            </c:strRef>
          </c:cat>
          <c:val>
            <c:numRef>
              <c:f>CalculateBusSpedRatios!$BI$12:$BM$12</c:f>
              <c:numCache>
                <c:formatCode>0.00</c:formatCode>
                <c:ptCount val="5"/>
                <c:pt idx="1">
                  <c:v>0.64</c:v>
                </c:pt>
                <c:pt idx="2">
                  <c:v>0.67</c:v>
                </c:pt>
                <c:pt idx="3">
                  <c:v>0.83</c:v>
                </c:pt>
              </c:numCache>
            </c:numRef>
          </c:val>
          <c:smooth val="0"/>
          <c:extLst>
            <c:ext xmlns:c16="http://schemas.microsoft.com/office/drawing/2014/chart" uri="{C3380CC4-5D6E-409C-BE32-E72D297353CC}">
              <c16:uniqueId val="{00000004-7B85-443C-A182-49E814CFB242}"/>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Daily</a:t>
            </a:r>
          </a:p>
        </c:rich>
      </c:tx>
      <c:layout>
        <c:manualLayout>
          <c:xMode val="edge"/>
          <c:yMode val="edge"/>
          <c:x val="0.60575021561722742"/>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CalculateBusSpedRatios!$AI$27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CalculateBusSpedRatios!$AJ$27:$AN$27</c:f>
              <c:numCache>
                <c:formatCode>0.00</c:formatCode>
                <c:ptCount val="5"/>
                <c:pt idx="0">
                  <c:v>0.6</c:v>
                </c:pt>
                <c:pt idx="1">
                  <c:v>0.6</c:v>
                </c:pt>
                <c:pt idx="2">
                  <c:v>0.62</c:v>
                </c:pt>
                <c:pt idx="3">
                  <c:v>0.65</c:v>
                </c:pt>
                <c:pt idx="4">
                  <c:v>0.53</c:v>
                </c:pt>
              </c:numCache>
            </c:numRef>
          </c:val>
          <c:smooth val="0"/>
          <c:extLst>
            <c:ext xmlns:c16="http://schemas.microsoft.com/office/drawing/2014/chart" uri="{C3380CC4-5D6E-409C-BE32-E72D297353CC}">
              <c16:uniqueId val="{00000000-ADC9-4E2A-B5A8-A248383E5811}"/>
            </c:ext>
          </c:extLst>
        </c:ser>
        <c:ser>
          <c:idx val="1"/>
          <c:order val="1"/>
          <c:tx>
            <c:strRef>
              <c:f>CalculateBusSpedRatios!$AI$28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CalculateBusSpedRatios!$AJ$28:$AN$28</c:f>
              <c:numCache>
                <c:formatCode>0.00</c:formatCode>
                <c:ptCount val="5"/>
                <c:pt idx="0">
                  <c:v>0.63</c:v>
                </c:pt>
                <c:pt idx="1">
                  <c:v>0.72</c:v>
                </c:pt>
                <c:pt idx="2">
                  <c:v>0.62</c:v>
                </c:pt>
                <c:pt idx="3">
                  <c:v>0.57999999999999996</c:v>
                </c:pt>
                <c:pt idx="4">
                  <c:v>0.51</c:v>
                </c:pt>
              </c:numCache>
            </c:numRef>
          </c:val>
          <c:smooth val="0"/>
          <c:extLst>
            <c:ext xmlns:c16="http://schemas.microsoft.com/office/drawing/2014/chart" uri="{C3380CC4-5D6E-409C-BE32-E72D297353CC}">
              <c16:uniqueId val="{00000001-ADC9-4E2A-B5A8-A248383E5811}"/>
            </c:ext>
          </c:extLst>
        </c:ser>
        <c:ser>
          <c:idx val="2"/>
          <c:order val="2"/>
          <c:tx>
            <c:strRef>
              <c:f>CalculateBusSpedRatios!$AI$29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CalculateBusSpedRatios!$AJ$29:$AN$29</c:f>
              <c:numCache>
                <c:formatCode>0.00</c:formatCode>
                <c:ptCount val="5"/>
                <c:pt idx="0">
                  <c:v>0.84</c:v>
                </c:pt>
                <c:pt idx="1">
                  <c:v>0.76</c:v>
                </c:pt>
                <c:pt idx="2">
                  <c:v>0.55000000000000004</c:v>
                </c:pt>
                <c:pt idx="3">
                  <c:v>0.56000000000000005</c:v>
                </c:pt>
                <c:pt idx="4">
                  <c:v>0.49</c:v>
                </c:pt>
              </c:numCache>
            </c:numRef>
          </c:val>
          <c:smooth val="0"/>
          <c:extLst>
            <c:ext xmlns:c16="http://schemas.microsoft.com/office/drawing/2014/chart" uri="{C3380CC4-5D6E-409C-BE32-E72D297353CC}">
              <c16:uniqueId val="{00000002-ADC9-4E2A-B5A8-A248383E5811}"/>
            </c:ext>
          </c:extLst>
        </c:ser>
        <c:ser>
          <c:idx val="3"/>
          <c:order val="3"/>
          <c:tx>
            <c:strRef>
              <c:f>CalculateBusSpedRatios!$AI$30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CalculateBusSpedRatios!$AJ$30:$AN$30</c:f>
              <c:numCache>
                <c:formatCode>0.00</c:formatCode>
                <c:ptCount val="5"/>
                <c:pt idx="0">
                  <c:v>0.51</c:v>
                </c:pt>
                <c:pt idx="1">
                  <c:v>0.51</c:v>
                </c:pt>
                <c:pt idx="2">
                  <c:v>0.76</c:v>
                </c:pt>
                <c:pt idx="3">
                  <c:v>0.56999999999999995</c:v>
                </c:pt>
                <c:pt idx="4">
                  <c:v>0.53</c:v>
                </c:pt>
              </c:numCache>
            </c:numRef>
          </c:val>
          <c:smooth val="0"/>
          <c:extLst>
            <c:ext xmlns:c16="http://schemas.microsoft.com/office/drawing/2014/chart" uri="{C3380CC4-5D6E-409C-BE32-E72D297353CC}">
              <c16:uniqueId val="{00000003-ADC9-4E2A-B5A8-A248383E5811}"/>
            </c:ext>
          </c:extLst>
        </c:ser>
        <c:ser>
          <c:idx val="4"/>
          <c:order val="4"/>
          <c:tx>
            <c:strRef>
              <c:f>CalculateBusSpedRatios!$AI$31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CalculateBusSpedRatios!$AJ$31:$AN$31</c:f>
              <c:numCache>
                <c:formatCode>0.00</c:formatCode>
                <c:ptCount val="5"/>
                <c:pt idx="0">
                  <c:v>0.62</c:v>
                </c:pt>
                <c:pt idx="1">
                  <c:v>0.64</c:v>
                </c:pt>
                <c:pt idx="2">
                  <c:v>0.64</c:v>
                </c:pt>
                <c:pt idx="3">
                  <c:v>0.83</c:v>
                </c:pt>
                <c:pt idx="4">
                  <c:v>0.71</c:v>
                </c:pt>
              </c:numCache>
            </c:numRef>
          </c:val>
          <c:smooth val="0"/>
          <c:extLst>
            <c:ext xmlns:c16="http://schemas.microsoft.com/office/drawing/2014/chart" uri="{C3380CC4-5D6E-409C-BE32-E72D297353CC}">
              <c16:uniqueId val="{00000004-ADC9-4E2A-B5A8-A248383E5811}"/>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Off-Peak</a:t>
            </a:r>
          </a:p>
        </c:rich>
      </c:tx>
      <c:layout>
        <c:manualLayout>
          <c:xMode val="edge"/>
          <c:yMode val="edge"/>
          <c:x val="0.56685927670290581"/>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CalculateBusSpedRatios!$AI$17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CalculateBusSpedRatios!$AJ$17:$AN$17</c:f>
              <c:numCache>
                <c:formatCode>0.00</c:formatCode>
                <c:ptCount val="5"/>
                <c:pt idx="0">
                  <c:v>0.56999999999999995</c:v>
                </c:pt>
                <c:pt idx="1">
                  <c:v>0.6</c:v>
                </c:pt>
                <c:pt idx="2">
                  <c:v>0.61</c:v>
                </c:pt>
                <c:pt idx="3">
                  <c:v>0.64</c:v>
                </c:pt>
                <c:pt idx="4">
                  <c:v>0.52</c:v>
                </c:pt>
              </c:numCache>
            </c:numRef>
          </c:val>
          <c:smooth val="0"/>
          <c:extLst>
            <c:ext xmlns:c16="http://schemas.microsoft.com/office/drawing/2014/chart" uri="{C3380CC4-5D6E-409C-BE32-E72D297353CC}">
              <c16:uniqueId val="{00000000-02DD-43D7-AA24-A64D966B4F94}"/>
            </c:ext>
          </c:extLst>
        </c:ser>
        <c:ser>
          <c:idx val="1"/>
          <c:order val="1"/>
          <c:tx>
            <c:strRef>
              <c:f>CalculateBusSpedRatios!$AI$18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CalculateBusSpedRatios!$AJ$18:$AN$18</c:f>
              <c:numCache>
                <c:formatCode>0.00</c:formatCode>
                <c:ptCount val="5"/>
                <c:pt idx="0">
                  <c:v>0.6</c:v>
                </c:pt>
                <c:pt idx="1">
                  <c:v>0.68</c:v>
                </c:pt>
                <c:pt idx="2">
                  <c:v>0.61</c:v>
                </c:pt>
                <c:pt idx="3">
                  <c:v>0.56000000000000005</c:v>
                </c:pt>
                <c:pt idx="4">
                  <c:v>0.48</c:v>
                </c:pt>
              </c:numCache>
            </c:numRef>
          </c:val>
          <c:smooth val="0"/>
          <c:extLst>
            <c:ext xmlns:c16="http://schemas.microsoft.com/office/drawing/2014/chart" uri="{C3380CC4-5D6E-409C-BE32-E72D297353CC}">
              <c16:uniqueId val="{00000001-02DD-43D7-AA24-A64D966B4F94}"/>
            </c:ext>
          </c:extLst>
        </c:ser>
        <c:ser>
          <c:idx val="2"/>
          <c:order val="2"/>
          <c:tx>
            <c:strRef>
              <c:f>CalculateBusSpedRatios!$AI$19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CalculateBusSpedRatios!$AJ$19:$AN$19</c:f>
              <c:numCache>
                <c:formatCode>0.00</c:formatCode>
                <c:ptCount val="5"/>
                <c:pt idx="0">
                  <c:v>0.78</c:v>
                </c:pt>
                <c:pt idx="1">
                  <c:v>0.73</c:v>
                </c:pt>
                <c:pt idx="2">
                  <c:v>0.52</c:v>
                </c:pt>
                <c:pt idx="3">
                  <c:v>0.53</c:v>
                </c:pt>
                <c:pt idx="4">
                  <c:v>0.47</c:v>
                </c:pt>
              </c:numCache>
            </c:numRef>
          </c:val>
          <c:smooth val="0"/>
          <c:extLst>
            <c:ext xmlns:c16="http://schemas.microsoft.com/office/drawing/2014/chart" uri="{C3380CC4-5D6E-409C-BE32-E72D297353CC}">
              <c16:uniqueId val="{00000002-02DD-43D7-AA24-A64D966B4F94}"/>
            </c:ext>
          </c:extLst>
        </c:ser>
        <c:ser>
          <c:idx val="3"/>
          <c:order val="3"/>
          <c:tx>
            <c:strRef>
              <c:f>CalculateBusSpedRatios!$AI$20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CalculateBusSpedRatios!$AJ$20:$AN$20</c:f>
              <c:numCache>
                <c:formatCode>0.00</c:formatCode>
                <c:ptCount val="5"/>
                <c:pt idx="0">
                  <c:v>0.54</c:v>
                </c:pt>
                <c:pt idx="1">
                  <c:v>0.52</c:v>
                </c:pt>
                <c:pt idx="2">
                  <c:v>0.63</c:v>
                </c:pt>
                <c:pt idx="3">
                  <c:v>0.56000000000000005</c:v>
                </c:pt>
                <c:pt idx="4">
                  <c:v>0.54</c:v>
                </c:pt>
              </c:numCache>
            </c:numRef>
          </c:val>
          <c:smooth val="0"/>
          <c:extLst>
            <c:ext xmlns:c16="http://schemas.microsoft.com/office/drawing/2014/chart" uri="{C3380CC4-5D6E-409C-BE32-E72D297353CC}">
              <c16:uniqueId val="{00000003-02DD-43D7-AA24-A64D966B4F94}"/>
            </c:ext>
          </c:extLst>
        </c:ser>
        <c:ser>
          <c:idx val="4"/>
          <c:order val="4"/>
          <c:tx>
            <c:strRef>
              <c:f>CalculateBusSpedRatios!$AI$21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CalculateBusSpedRatios!$AJ$21:$AN$21</c:f>
              <c:numCache>
                <c:formatCode>0.00</c:formatCode>
                <c:ptCount val="5"/>
                <c:pt idx="0">
                  <c:v>0.6</c:v>
                </c:pt>
                <c:pt idx="1">
                  <c:v>0.48</c:v>
                </c:pt>
                <c:pt idx="2">
                  <c:v>0.5</c:v>
                </c:pt>
                <c:pt idx="3">
                  <c:v>0.62</c:v>
                </c:pt>
                <c:pt idx="4">
                  <c:v>0.63</c:v>
                </c:pt>
              </c:numCache>
            </c:numRef>
          </c:val>
          <c:smooth val="0"/>
          <c:extLst>
            <c:ext xmlns:c16="http://schemas.microsoft.com/office/drawing/2014/chart" uri="{C3380CC4-5D6E-409C-BE32-E72D297353CC}">
              <c16:uniqueId val="{00000004-02DD-43D7-AA24-A64D966B4F94}"/>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Peak</a:t>
            </a:r>
          </a:p>
        </c:rich>
      </c:tx>
      <c:layout>
        <c:manualLayout>
          <c:xMode val="edge"/>
          <c:yMode val="edge"/>
          <c:x val="0.59741644794400695"/>
          <c:y val="1.3631264841894763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CalculateBusSpedRatios!$AI$8</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CalculateBusSpedRatios!$AJ$8:$AN$8</c:f>
              <c:numCache>
                <c:formatCode>0.00</c:formatCode>
                <c:ptCount val="5"/>
                <c:pt idx="0">
                  <c:v>0.56000000000000005</c:v>
                </c:pt>
                <c:pt idx="1">
                  <c:v>0.59</c:v>
                </c:pt>
                <c:pt idx="2">
                  <c:v>0.63</c:v>
                </c:pt>
                <c:pt idx="3">
                  <c:v>0.66</c:v>
                </c:pt>
                <c:pt idx="4">
                  <c:v>0.54</c:v>
                </c:pt>
              </c:numCache>
            </c:numRef>
          </c:val>
          <c:smooth val="0"/>
          <c:extLst>
            <c:ext xmlns:c16="http://schemas.microsoft.com/office/drawing/2014/chart" uri="{C3380CC4-5D6E-409C-BE32-E72D297353CC}">
              <c16:uniqueId val="{00000000-A52A-4F84-9BDF-C783BE106DFD}"/>
            </c:ext>
          </c:extLst>
        </c:ser>
        <c:ser>
          <c:idx val="1"/>
          <c:order val="1"/>
          <c:tx>
            <c:strRef>
              <c:f>CalculateBusSpedRatios!$AI$9</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CalculateBusSpedRatios!$AJ$9:$AN$9</c:f>
              <c:numCache>
                <c:formatCode>0.00</c:formatCode>
                <c:ptCount val="5"/>
                <c:pt idx="0">
                  <c:v>0.61</c:v>
                </c:pt>
                <c:pt idx="1">
                  <c:v>0.74</c:v>
                </c:pt>
                <c:pt idx="2">
                  <c:v>0.63</c:v>
                </c:pt>
                <c:pt idx="3">
                  <c:v>0.6</c:v>
                </c:pt>
                <c:pt idx="4">
                  <c:v>0.53</c:v>
                </c:pt>
              </c:numCache>
            </c:numRef>
          </c:val>
          <c:smooth val="0"/>
          <c:extLst>
            <c:ext xmlns:c16="http://schemas.microsoft.com/office/drawing/2014/chart" uri="{C3380CC4-5D6E-409C-BE32-E72D297353CC}">
              <c16:uniqueId val="{00000001-A52A-4F84-9BDF-C783BE106DFD}"/>
            </c:ext>
          </c:extLst>
        </c:ser>
        <c:ser>
          <c:idx val="2"/>
          <c:order val="2"/>
          <c:tx>
            <c:strRef>
              <c:f>CalculateBusSpedRatios!$AI$10</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CalculateBusSpedRatios!$AJ$10:$AN$10</c:f>
              <c:numCache>
                <c:formatCode>0.00</c:formatCode>
                <c:ptCount val="5"/>
                <c:pt idx="0">
                  <c:v>0.91</c:v>
                </c:pt>
                <c:pt idx="1">
                  <c:v>0.78</c:v>
                </c:pt>
                <c:pt idx="2">
                  <c:v>0.57999999999999996</c:v>
                </c:pt>
                <c:pt idx="3">
                  <c:v>0.57999999999999996</c:v>
                </c:pt>
                <c:pt idx="4">
                  <c:v>0.5</c:v>
                </c:pt>
              </c:numCache>
            </c:numRef>
          </c:val>
          <c:smooth val="0"/>
          <c:extLst>
            <c:ext xmlns:c16="http://schemas.microsoft.com/office/drawing/2014/chart" uri="{C3380CC4-5D6E-409C-BE32-E72D297353CC}">
              <c16:uniqueId val="{00000002-A52A-4F84-9BDF-C783BE106DFD}"/>
            </c:ext>
          </c:extLst>
        </c:ser>
        <c:ser>
          <c:idx val="3"/>
          <c:order val="3"/>
          <c:tx>
            <c:strRef>
              <c:f>CalculateBusSpedRatios!$AI$11</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CalculateBusSpedRatios!$AJ$11:$AN$11</c:f>
              <c:numCache>
                <c:formatCode>0.00</c:formatCode>
                <c:ptCount val="5"/>
                <c:pt idx="0">
                  <c:v>0.53</c:v>
                </c:pt>
                <c:pt idx="1">
                  <c:v>0.51</c:v>
                </c:pt>
                <c:pt idx="2">
                  <c:v>0.85</c:v>
                </c:pt>
                <c:pt idx="3">
                  <c:v>0.57999999999999996</c:v>
                </c:pt>
                <c:pt idx="4">
                  <c:v>0.6</c:v>
                </c:pt>
              </c:numCache>
            </c:numRef>
          </c:val>
          <c:smooth val="0"/>
          <c:extLst>
            <c:ext xmlns:c16="http://schemas.microsoft.com/office/drawing/2014/chart" uri="{C3380CC4-5D6E-409C-BE32-E72D297353CC}">
              <c16:uniqueId val="{00000003-A52A-4F84-9BDF-C783BE106DFD}"/>
            </c:ext>
          </c:extLst>
        </c:ser>
        <c:ser>
          <c:idx val="4"/>
          <c:order val="4"/>
          <c:tx>
            <c:strRef>
              <c:f>CalculateBusSpedRatios!$AI$12</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CalculateBusSpedRatios!$AJ$34:$AN$34</c:f>
              <c:strCache>
                <c:ptCount val="5"/>
                <c:pt idx="0">
                  <c:v>Rur</c:v>
                </c:pt>
                <c:pt idx="1">
                  <c:v>Trn</c:v>
                </c:pt>
                <c:pt idx="2">
                  <c:v>Sub</c:v>
                </c:pt>
                <c:pt idx="3">
                  <c:v>Urb</c:v>
                </c:pt>
                <c:pt idx="4">
                  <c:v>CBD</c:v>
                </c:pt>
              </c:strCache>
            </c:strRef>
          </c:cat>
          <c:val>
            <c:numRef>
              <c:f>CalculateBusSpedRatios!$AJ$12:$AN$12</c:f>
              <c:numCache>
                <c:formatCode>0.00</c:formatCode>
                <c:ptCount val="5"/>
                <c:pt idx="0">
                  <c:v>0.63</c:v>
                </c:pt>
                <c:pt idx="1">
                  <c:v>0.64</c:v>
                </c:pt>
                <c:pt idx="2">
                  <c:v>0.67</c:v>
                </c:pt>
                <c:pt idx="3">
                  <c:v>0.83</c:v>
                </c:pt>
                <c:pt idx="4">
                  <c:v>0.83</c:v>
                </c:pt>
              </c:numCache>
            </c:numRef>
          </c:val>
          <c:smooth val="0"/>
          <c:extLst>
            <c:ext xmlns:c16="http://schemas.microsoft.com/office/drawing/2014/chart" uri="{C3380CC4-5D6E-409C-BE32-E72D297353CC}">
              <c16:uniqueId val="{00000004-A52A-4F84-9BDF-C783BE106DFD}"/>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Daily</a:t>
            </a:r>
          </a:p>
        </c:rich>
      </c:tx>
      <c:layout>
        <c:manualLayout>
          <c:xMode val="edge"/>
          <c:yMode val="edge"/>
          <c:x val="0.60575021561722742"/>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CalculateBusSpedRatios!$J$27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CalculateBusSpedRatios!$K$27:$O$27</c:f>
              <c:numCache>
                <c:formatCode>0.00</c:formatCode>
                <c:ptCount val="5"/>
                <c:pt idx="0">
                  <c:v>0.57999999999999996</c:v>
                </c:pt>
                <c:pt idx="1">
                  <c:v>0.6</c:v>
                </c:pt>
                <c:pt idx="2">
                  <c:v>0.62</c:v>
                </c:pt>
                <c:pt idx="3">
                  <c:v>0.64</c:v>
                </c:pt>
                <c:pt idx="4">
                  <c:v>0.53</c:v>
                </c:pt>
              </c:numCache>
            </c:numRef>
          </c:val>
          <c:smooth val="0"/>
          <c:extLst>
            <c:ext xmlns:c16="http://schemas.microsoft.com/office/drawing/2014/chart" uri="{C3380CC4-5D6E-409C-BE32-E72D297353CC}">
              <c16:uniqueId val="{00000000-AAA5-40A2-BE06-77C7BC27BC5E}"/>
            </c:ext>
          </c:extLst>
        </c:ser>
        <c:ser>
          <c:idx val="1"/>
          <c:order val="1"/>
          <c:tx>
            <c:strRef>
              <c:f>CalculateBusSpedRatios!$J$28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CalculateBusSpedRatios!$K$28:$O$28</c:f>
              <c:numCache>
                <c:formatCode>0.00</c:formatCode>
                <c:ptCount val="5"/>
                <c:pt idx="0">
                  <c:v>0.8</c:v>
                </c:pt>
                <c:pt idx="1">
                  <c:v>0.72</c:v>
                </c:pt>
                <c:pt idx="2">
                  <c:v>0.64</c:v>
                </c:pt>
                <c:pt idx="3">
                  <c:v>0.57999999999999996</c:v>
                </c:pt>
                <c:pt idx="4">
                  <c:v>0.51</c:v>
                </c:pt>
              </c:numCache>
            </c:numRef>
          </c:val>
          <c:smooth val="0"/>
          <c:extLst>
            <c:ext xmlns:c16="http://schemas.microsoft.com/office/drawing/2014/chart" uri="{C3380CC4-5D6E-409C-BE32-E72D297353CC}">
              <c16:uniqueId val="{00000001-AAA5-40A2-BE06-77C7BC27BC5E}"/>
            </c:ext>
          </c:extLst>
        </c:ser>
        <c:ser>
          <c:idx val="2"/>
          <c:order val="2"/>
          <c:tx>
            <c:strRef>
              <c:f>CalculateBusSpedRatios!$J$29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CalculateBusSpedRatios!$K$29:$O$29</c:f>
              <c:numCache>
                <c:formatCode>0.00</c:formatCode>
                <c:ptCount val="5"/>
                <c:pt idx="0">
                  <c:v>0.85</c:v>
                </c:pt>
                <c:pt idx="1">
                  <c:v>0.75</c:v>
                </c:pt>
                <c:pt idx="2">
                  <c:v>0.65</c:v>
                </c:pt>
                <c:pt idx="3">
                  <c:v>0.56000000000000005</c:v>
                </c:pt>
                <c:pt idx="4">
                  <c:v>0.49</c:v>
                </c:pt>
              </c:numCache>
            </c:numRef>
          </c:val>
          <c:smooth val="0"/>
          <c:extLst>
            <c:ext xmlns:c16="http://schemas.microsoft.com/office/drawing/2014/chart" uri="{C3380CC4-5D6E-409C-BE32-E72D297353CC}">
              <c16:uniqueId val="{00000002-AAA5-40A2-BE06-77C7BC27BC5E}"/>
            </c:ext>
          </c:extLst>
        </c:ser>
        <c:ser>
          <c:idx val="3"/>
          <c:order val="3"/>
          <c:tx>
            <c:strRef>
              <c:f>CalculateBusSpedRatios!$J$30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CalculateBusSpedRatios!$K$34:$O$34</c:f>
              <c:strCache>
                <c:ptCount val="5"/>
                <c:pt idx="0">
                  <c:v>Rur</c:v>
                </c:pt>
                <c:pt idx="1">
                  <c:v>Trn</c:v>
                </c:pt>
                <c:pt idx="2">
                  <c:v>Sub</c:v>
                </c:pt>
                <c:pt idx="3">
                  <c:v>Urb</c:v>
                </c:pt>
                <c:pt idx="4">
                  <c:v>CBD</c:v>
                </c:pt>
              </c:strCache>
            </c:strRef>
          </c:cat>
          <c:val>
            <c:numRef>
              <c:f>CalculateBusSpedRatios!$K$30:$O$30</c:f>
              <c:numCache>
                <c:formatCode>0.00</c:formatCode>
                <c:ptCount val="5"/>
                <c:pt idx="0">
                  <c:v>0.53</c:v>
                </c:pt>
                <c:pt idx="1">
                  <c:v>0.54</c:v>
                </c:pt>
                <c:pt idx="2">
                  <c:v>0.56000000000000005</c:v>
                </c:pt>
                <c:pt idx="3">
                  <c:v>0.57999999999999996</c:v>
                </c:pt>
                <c:pt idx="4">
                  <c:v>0.59</c:v>
                </c:pt>
              </c:numCache>
            </c:numRef>
          </c:val>
          <c:smooth val="0"/>
          <c:extLst>
            <c:ext xmlns:c16="http://schemas.microsoft.com/office/drawing/2014/chart" uri="{C3380CC4-5D6E-409C-BE32-E72D297353CC}">
              <c16:uniqueId val="{00000003-AAA5-40A2-BE06-77C7BC27BC5E}"/>
            </c:ext>
          </c:extLst>
        </c:ser>
        <c:ser>
          <c:idx val="4"/>
          <c:order val="4"/>
          <c:tx>
            <c:strRef>
              <c:f>CalculateBusSpedRatios!$J$31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CalculateBusSpedRatios!$K$34:$O$34</c:f>
              <c:strCache>
                <c:ptCount val="5"/>
                <c:pt idx="0">
                  <c:v>Rur</c:v>
                </c:pt>
                <c:pt idx="1">
                  <c:v>Trn</c:v>
                </c:pt>
                <c:pt idx="2">
                  <c:v>Sub</c:v>
                </c:pt>
                <c:pt idx="3">
                  <c:v>Urb</c:v>
                </c:pt>
                <c:pt idx="4">
                  <c:v>CBD</c:v>
                </c:pt>
              </c:strCache>
            </c:strRef>
          </c:cat>
          <c:val>
            <c:numRef>
              <c:f>CalculateBusSpedRatios!$K$31:$O$31</c:f>
              <c:numCache>
                <c:formatCode>0.00</c:formatCode>
                <c:ptCount val="5"/>
                <c:pt idx="0">
                  <c:v>0.62</c:v>
                </c:pt>
                <c:pt idx="1">
                  <c:v>0.64</c:v>
                </c:pt>
                <c:pt idx="2">
                  <c:v>0.69</c:v>
                </c:pt>
                <c:pt idx="3">
                  <c:v>0.76</c:v>
                </c:pt>
                <c:pt idx="4">
                  <c:v>0.84</c:v>
                </c:pt>
              </c:numCache>
            </c:numRef>
          </c:val>
          <c:smooth val="0"/>
          <c:extLst>
            <c:ext xmlns:c16="http://schemas.microsoft.com/office/drawing/2014/chart" uri="{C3380CC4-5D6E-409C-BE32-E72D297353CC}">
              <c16:uniqueId val="{00000004-AAA5-40A2-BE06-77C7BC27BC5E}"/>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Off-Peak</a:t>
            </a:r>
          </a:p>
        </c:rich>
      </c:tx>
      <c:layout>
        <c:manualLayout>
          <c:xMode val="edge"/>
          <c:yMode val="edge"/>
          <c:x val="0.56685927670290581"/>
          <c:y val="1.3631264841894766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CalculateBusSpedRatios!$J$17</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CalculateBusSpedRatios!$K$17:$O$17</c:f>
              <c:numCache>
                <c:formatCode>0.00</c:formatCode>
                <c:ptCount val="5"/>
                <c:pt idx="0">
                  <c:v>0.57999999999999996</c:v>
                </c:pt>
                <c:pt idx="1">
                  <c:v>0.6</c:v>
                </c:pt>
                <c:pt idx="2">
                  <c:v>0.62</c:v>
                </c:pt>
                <c:pt idx="3">
                  <c:v>0.64</c:v>
                </c:pt>
                <c:pt idx="4">
                  <c:v>0.52</c:v>
                </c:pt>
              </c:numCache>
            </c:numRef>
          </c:val>
          <c:smooth val="0"/>
          <c:extLst>
            <c:ext xmlns:c16="http://schemas.microsoft.com/office/drawing/2014/chart" uri="{C3380CC4-5D6E-409C-BE32-E72D297353CC}">
              <c16:uniqueId val="{00000000-0221-43E3-9F5F-48E74D434237}"/>
            </c:ext>
          </c:extLst>
        </c:ser>
        <c:ser>
          <c:idx val="1"/>
          <c:order val="1"/>
          <c:tx>
            <c:strRef>
              <c:f>CalculateBusSpedRatios!$J$18</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CalculateBusSpedRatios!$K$18:$O$18</c:f>
              <c:numCache>
                <c:formatCode>0.00</c:formatCode>
                <c:ptCount val="5"/>
                <c:pt idx="0">
                  <c:v>0.75</c:v>
                </c:pt>
                <c:pt idx="1">
                  <c:v>0.68</c:v>
                </c:pt>
                <c:pt idx="2">
                  <c:v>0.61</c:v>
                </c:pt>
                <c:pt idx="3">
                  <c:v>0.55000000000000004</c:v>
                </c:pt>
                <c:pt idx="4">
                  <c:v>0.48</c:v>
                </c:pt>
              </c:numCache>
            </c:numRef>
          </c:val>
          <c:smooth val="0"/>
          <c:extLst>
            <c:ext xmlns:c16="http://schemas.microsoft.com/office/drawing/2014/chart" uri="{C3380CC4-5D6E-409C-BE32-E72D297353CC}">
              <c16:uniqueId val="{00000001-0221-43E3-9F5F-48E74D434237}"/>
            </c:ext>
          </c:extLst>
        </c:ser>
        <c:ser>
          <c:idx val="2"/>
          <c:order val="2"/>
          <c:tx>
            <c:strRef>
              <c:f>CalculateBusSpedRatios!$J$19</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CalculateBusSpedRatios!$K$19:$O$19</c:f>
              <c:numCache>
                <c:formatCode>0.00</c:formatCode>
                <c:ptCount val="5"/>
                <c:pt idx="0">
                  <c:v>0.79</c:v>
                </c:pt>
                <c:pt idx="1">
                  <c:v>0.7</c:v>
                </c:pt>
                <c:pt idx="2">
                  <c:v>0.61</c:v>
                </c:pt>
                <c:pt idx="3">
                  <c:v>0.53</c:v>
                </c:pt>
                <c:pt idx="4">
                  <c:v>0.45</c:v>
                </c:pt>
              </c:numCache>
            </c:numRef>
          </c:val>
          <c:smooth val="0"/>
          <c:extLst>
            <c:ext xmlns:c16="http://schemas.microsoft.com/office/drawing/2014/chart" uri="{C3380CC4-5D6E-409C-BE32-E72D297353CC}">
              <c16:uniqueId val="{00000002-0221-43E3-9F5F-48E74D434237}"/>
            </c:ext>
          </c:extLst>
        </c:ser>
        <c:ser>
          <c:idx val="3"/>
          <c:order val="3"/>
          <c:tx>
            <c:strRef>
              <c:f>CalculateBusSpedRatios!$J$20</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CalculateBusSpedRatios!$K$34:$O$34</c:f>
              <c:strCache>
                <c:ptCount val="5"/>
                <c:pt idx="0">
                  <c:v>Rur</c:v>
                </c:pt>
                <c:pt idx="1">
                  <c:v>Trn</c:v>
                </c:pt>
                <c:pt idx="2">
                  <c:v>Sub</c:v>
                </c:pt>
                <c:pt idx="3">
                  <c:v>Urb</c:v>
                </c:pt>
                <c:pt idx="4">
                  <c:v>CBD</c:v>
                </c:pt>
              </c:strCache>
            </c:strRef>
          </c:cat>
          <c:val>
            <c:numRef>
              <c:f>CalculateBusSpedRatios!$K$20:$O$20</c:f>
              <c:numCache>
                <c:formatCode>0.00</c:formatCode>
                <c:ptCount val="5"/>
                <c:pt idx="0">
                  <c:v>0.54</c:v>
                </c:pt>
                <c:pt idx="1">
                  <c:v>0.55000000000000004</c:v>
                </c:pt>
                <c:pt idx="2">
                  <c:v>0.56000000000000005</c:v>
                </c:pt>
                <c:pt idx="3">
                  <c:v>0.56999999999999995</c:v>
                </c:pt>
                <c:pt idx="4">
                  <c:v>0.57999999999999996</c:v>
                </c:pt>
              </c:numCache>
            </c:numRef>
          </c:val>
          <c:smooth val="0"/>
          <c:extLst>
            <c:ext xmlns:c16="http://schemas.microsoft.com/office/drawing/2014/chart" uri="{C3380CC4-5D6E-409C-BE32-E72D297353CC}">
              <c16:uniqueId val="{00000003-0221-43E3-9F5F-48E74D434237}"/>
            </c:ext>
          </c:extLst>
        </c:ser>
        <c:ser>
          <c:idx val="4"/>
          <c:order val="4"/>
          <c:tx>
            <c:strRef>
              <c:f>CalculateBusSpedRatios!$J$21</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CalculateBusSpedRatios!$K$34:$O$34</c:f>
              <c:strCache>
                <c:ptCount val="5"/>
                <c:pt idx="0">
                  <c:v>Rur</c:v>
                </c:pt>
                <c:pt idx="1">
                  <c:v>Trn</c:v>
                </c:pt>
                <c:pt idx="2">
                  <c:v>Sub</c:v>
                </c:pt>
                <c:pt idx="3">
                  <c:v>Urb</c:v>
                </c:pt>
                <c:pt idx="4">
                  <c:v>CBD</c:v>
                </c:pt>
              </c:strCache>
            </c:strRef>
          </c:cat>
          <c:val>
            <c:numRef>
              <c:f>CalculateBusSpedRatios!$K$21:$O$21</c:f>
              <c:numCache>
                <c:formatCode>0.00</c:formatCode>
                <c:ptCount val="5"/>
                <c:pt idx="0">
                  <c:v>0.47</c:v>
                </c:pt>
                <c:pt idx="1">
                  <c:v>0.48</c:v>
                </c:pt>
                <c:pt idx="2">
                  <c:v>0.5</c:v>
                </c:pt>
                <c:pt idx="3">
                  <c:v>0.55000000000000004</c:v>
                </c:pt>
                <c:pt idx="4">
                  <c:v>0.63</c:v>
                </c:pt>
              </c:numCache>
            </c:numRef>
          </c:val>
          <c:smooth val="0"/>
          <c:extLst>
            <c:ext xmlns:c16="http://schemas.microsoft.com/office/drawing/2014/chart" uri="{C3380CC4-5D6E-409C-BE32-E72D297353CC}">
              <c16:uniqueId val="{00000004-0221-43E3-9F5F-48E74D434237}"/>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1800"/>
              <a:t>Peak</a:t>
            </a:r>
          </a:p>
        </c:rich>
      </c:tx>
      <c:layout>
        <c:manualLayout>
          <c:xMode val="edge"/>
          <c:yMode val="edge"/>
          <c:x val="0.59741644794400695"/>
          <c:y val="1.3631264841894763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4716776027996499"/>
          <c:y val="7.874015748031496E-2"/>
          <c:w val="0.63069619422572176"/>
          <c:h val="0.70108580177477819"/>
        </c:manualLayout>
      </c:layout>
      <c:lineChart>
        <c:grouping val="standard"/>
        <c:varyColors val="0"/>
        <c:ser>
          <c:idx val="0"/>
          <c:order val="0"/>
          <c:tx>
            <c:strRef>
              <c:f>CalculateBusSpedRatios!$J$8</c:f>
              <c:strCache>
                <c:ptCount val="1"/>
                <c:pt idx="0">
                  <c:v>Collectors &amp; Locals</c:v>
                </c:pt>
              </c:strCache>
            </c:strRef>
          </c:tx>
          <c:spPr>
            <a:ln w="28575" cap="rnd">
              <a:solidFill>
                <a:schemeClr val="bg1">
                  <a:lumMod val="75000"/>
                </a:schemeClr>
              </a:solidFill>
              <a:round/>
            </a:ln>
            <a:effectLst/>
          </c:spPr>
          <c:marker>
            <c:symbol val="circle"/>
            <c:size val="8"/>
            <c:spPr>
              <a:solidFill>
                <a:schemeClr val="bg1">
                  <a:lumMod val="75000"/>
                </a:schemeClr>
              </a:solidFill>
              <a:ln w="9525">
                <a:solidFill>
                  <a:schemeClr val="bg1">
                    <a:lumMod val="75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CalculateBusSpedRatios!$K$8:$O$8</c:f>
              <c:numCache>
                <c:formatCode>0.00</c:formatCode>
                <c:ptCount val="5"/>
                <c:pt idx="0">
                  <c:v>0.56000000000000005</c:v>
                </c:pt>
                <c:pt idx="1">
                  <c:v>0.59</c:v>
                </c:pt>
                <c:pt idx="2">
                  <c:v>0.63</c:v>
                </c:pt>
                <c:pt idx="3">
                  <c:v>0.66</c:v>
                </c:pt>
                <c:pt idx="4">
                  <c:v>0.56999999999999995</c:v>
                </c:pt>
              </c:numCache>
            </c:numRef>
          </c:val>
          <c:smooth val="0"/>
          <c:extLst>
            <c:ext xmlns:c16="http://schemas.microsoft.com/office/drawing/2014/chart" uri="{C3380CC4-5D6E-409C-BE32-E72D297353CC}">
              <c16:uniqueId val="{00000000-57D7-4430-BBF7-A5810E4D1E12}"/>
            </c:ext>
          </c:extLst>
        </c:ser>
        <c:ser>
          <c:idx val="1"/>
          <c:order val="1"/>
          <c:tx>
            <c:strRef>
              <c:f>CalculateBusSpedRatios!$J$9</c:f>
              <c:strCache>
                <c:ptCount val="1"/>
                <c:pt idx="0">
                  <c:v>Minor Arterials</c:v>
                </c:pt>
              </c:strCache>
            </c:strRef>
          </c:tx>
          <c:spPr>
            <a:ln w="28575" cap="rnd">
              <a:solidFill>
                <a:schemeClr val="accent5">
                  <a:lumMod val="60000"/>
                  <a:lumOff val="40000"/>
                </a:schemeClr>
              </a:solidFill>
              <a:round/>
            </a:ln>
            <a:effectLst/>
          </c:spPr>
          <c:marker>
            <c:symbol val="circle"/>
            <c:size val="8"/>
            <c:spPr>
              <a:solidFill>
                <a:schemeClr val="accent5">
                  <a:lumMod val="60000"/>
                  <a:lumOff val="40000"/>
                </a:schemeClr>
              </a:solidFill>
              <a:ln w="9525">
                <a:solidFill>
                  <a:schemeClr val="accent5">
                    <a:lumMod val="60000"/>
                    <a:lumOff val="4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CalculateBusSpedRatios!$K$9:$O$9</c:f>
              <c:numCache>
                <c:formatCode>0.00</c:formatCode>
                <c:ptCount val="5"/>
                <c:pt idx="0">
                  <c:v>0.82</c:v>
                </c:pt>
                <c:pt idx="1">
                  <c:v>0.74</c:v>
                </c:pt>
                <c:pt idx="2">
                  <c:v>0.66</c:v>
                </c:pt>
                <c:pt idx="3">
                  <c:v>0.6</c:v>
                </c:pt>
                <c:pt idx="4">
                  <c:v>0.53</c:v>
                </c:pt>
              </c:numCache>
            </c:numRef>
          </c:val>
          <c:smooth val="0"/>
          <c:extLst>
            <c:ext xmlns:c16="http://schemas.microsoft.com/office/drawing/2014/chart" uri="{C3380CC4-5D6E-409C-BE32-E72D297353CC}">
              <c16:uniqueId val="{00000001-57D7-4430-BBF7-A5810E4D1E12}"/>
            </c:ext>
          </c:extLst>
        </c:ser>
        <c:ser>
          <c:idx val="2"/>
          <c:order val="2"/>
          <c:tx>
            <c:strRef>
              <c:f>CalculateBusSpedRatios!$J$10</c:f>
              <c:strCache>
                <c:ptCount val="1"/>
                <c:pt idx="0">
                  <c:v>Principal Arterials</c:v>
                </c:pt>
              </c:strCache>
            </c:strRef>
          </c:tx>
          <c:spPr>
            <a:ln w="28575" cap="rnd">
              <a:solidFill>
                <a:schemeClr val="accent5">
                  <a:lumMod val="50000"/>
                </a:schemeClr>
              </a:solidFill>
              <a:round/>
            </a:ln>
            <a:effectLst/>
          </c:spPr>
          <c:marker>
            <c:symbol val="circle"/>
            <c:size val="8"/>
            <c:spPr>
              <a:solidFill>
                <a:schemeClr val="accent5">
                  <a:lumMod val="50000"/>
                </a:schemeClr>
              </a:solidFill>
              <a:ln w="9525">
                <a:solidFill>
                  <a:schemeClr val="accent5">
                    <a:lumMod val="50000"/>
                  </a:schemeClr>
                </a:solidFill>
              </a:ln>
              <a:effectLst/>
            </c:spPr>
          </c:marker>
          <c:cat>
            <c:strRef>
              <c:f>CalculateBusSpedRatios!$K$34:$O$34</c:f>
              <c:strCache>
                <c:ptCount val="5"/>
                <c:pt idx="0">
                  <c:v>Rur</c:v>
                </c:pt>
                <c:pt idx="1">
                  <c:v>Trn</c:v>
                </c:pt>
                <c:pt idx="2">
                  <c:v>Sub</c:v>
                </c:pt>
                <c:pt idx="3">
                  <c:v>Urb</c:v>
                </c:pt>
                <c:pt idx="4">
                  <c:v>CBD</c:v>
                </c:pt>
              </c:strCache>
            </c:strRef>
          </c:cat>
          <c:val>
            <c:numRef>
              <c:f>CalculateBusSpedRatios!$K$10:$O$10</c:f>
              <c:numCache>
                <c:formatCode>0.00</c:formatCode>
                <c:ptCount val="5"/>
                <c:pt idx="0">
                  <c:v>0.91</c:v>
                </c:pt>
                <c:pt idx="1">
                  <c:v>0.78</c:v>
                </c:pt>
                <c:pt idx="2">
                  <c:v>0.67</c:v>
                </c:pt>
                <c:pt idx="3">
                  <c:v>0.57999999999999996</c:v>
                </c:pt>
                <c:pt idx="4">
                  <c:v>0.5</c:v>
                </c:pt>
              </c:numCache>
            </c:numRef>
          </c:val>
          <c:smooth val="0"/>
          <c:extLst>
            <c:ext xmlns:c16="http://schemas.microsoft.com/office/drawing/2014/chart" uri="{C3380CC4-5D6E-409C-BE32-E72D297353CC}">
              <c16:uniqueId val="{00000002-57D7-4430-BBF7-A5810E4D1E12}"/>
            </c:ext>
          </c:extLst>
        </c:ser>
        <c:ser>
          <c:idx val="3"/>
          <c:order val="3"/>
          <c:tx>
            <c:strRef>
              <c:f>CalculateBusSpedRatios!$J$11</c:f>
              <c:strCache>
                <c:ptCount val="1"/>
                <c:pt idx="0">
                  <c:v>Expressways</c:v>
                </c:pt>
              </c:strCache>
            </c:strRef>
          </c:tx>
          <c:spPr>
            <a:ln w="28575" cap="rnd">
              <a:solidFill>
                <a:srgbClr val="FF7D7D"/>
              </a:solidFill>
              <a:round/>
            </a:ln>
            <a:effectLst/>
          </c:spPr>
          <c:marker>
            <c:symbol val="circle"/>
            <c:size val="8"/>
            <c:spPr>
              <a:solidFill>
                <a:srgbClr val="FF7D7D"/>
              </a:solidFill>
              <a:ln w="9525">
                <a:solidFill>
                  <a:srgbClr val="FF7D7D"/>
                </a:solidFill>
              </a:ln>
              <a:effectLst/>
            </c:spPr>
          </c:marker>
          <c:cat>
            <c:strRef>
              <c:f>CalculateBusSpedRatios!$K$34:$O$34</c:f>
              <c:strCache>
                <c:ptCount val="5"/>
                <c:pt idx="0">
                  <c:v>Rur</c:v>
                </c:pt>
                <c:pt idx="1">
                  <c:v>Trn</c:v>
                </c:pt>
                <c:pt idx="2">
                  <c:v>Sub</c:v>
                </c:pt>
                <c:pt idx="3">
                  <c:v>Urb</c:v>
                </c:pt>
                <c:pt idx="4">
                  <c:v>CBD</c:v>
                </c:pt>
              </c:strCache>
            </c:strRef>
          </c:cat>
          <c:val>
            <c:numRef>
              <c:f>CalculateBusSpedRatios!$K$11:$O$11</c:f>
              <c:numCache>
                <c:formatCode>0.00</c:formatCode>
                <c:ptCount val="5"/>
                <c:pt idx="0">
                  <c:v>0.52</c:v>
                </c:pt>
                <c:pt idx="1">
                  <c:v>0.54</c:v>
                </c:pt>
                <c:pt idx="2">
                  <c:v>0.56000000000000005</c:v>
                </c:pt>
                <c:pt idx="3">
                  <c:v>0.57999999999999996</c:v>
                </c:pt>
                <c:pt idx="4">
                  <c:v>0.6</c:v>
                </c:pt>
              </c:numCache>
            </c:numRef>
          </c:val>
          <c:smooth val="0"/>
          <c:extLst>
            <c:ext xmlns:c16="http://schemas.microsoft.com/office/drawing/2014/chart" uri="{C3380CC4-5D6E-409C-BE32-E72D297353CC}">
              <c16:uniqueId val="{00000003-57D7-4430-BBF7-A5810E4D1E12}"/>
            </c:ext>
          </c:extLst>
        </c:ser>
        <c:ser>
          <c:idx val="4"/>
          <c:order val="4"/>
          <c:tx>
            <c:strRef>
              <c:f>CalculateBusSpedRatios!$J$12</c:f>
              <c:strCache>
                <c:ptCount val="1"/>
                <c:pt idx="0">
                  <c:v>Freeways &amp; Ramps</c:v>
                </c:pt>
              </c:strCache>
            </c:strRef>
          </c:tx>
          <c:spPr>
            <a:ln w="28575" cap="rnd">
              <a:solidFill>
                <a:srgbClr val="C00000"/>
              </a:solidFill>
              <a:round/>
            </a:ln>
            <a:effectLst/>
          </c:spPr>
          <c:marker>
            <c:symbol val="circle"/>
            <c:size val="8"/>
            <c:spPr>
              <a:solidFill>
                <a:srgbClr val="C00000"/>
              </a:solidFill>
              <a:ln w="9525">
                <a:solidFill>
                  <a:srgbClr val="C00000"/>
                </a:solidFill>
              </a:ln>
              <a:effectLst/>
            </c:spPr>
          </c:marker>
          <c:cat>
            <c:strRef>
              <c:f>CalculateBusSpedRatios!$K$34:$O$34</c:f>
              <c:strCache>
                <c:ptCount val="5"/>
                <c:pt idx="0">
                  <c:v>Rur</c:v>
                </c:pt>
                <c:pt idx="1">
                  <c:v>Trn</c:v>
                </c:pt>
                <c:pt idx="2">
                  <c:v>Sub</c:v>
                </c:pt>
                <c:pt idx="3">
                  <c:v>Urb</c:v>
                </c:pt>
                <c:pt idx="4">
                  <c:v>CBD</c:v>
                </c:pt>
              </c:strCache>
            </c:strRef>
          </c:cat>
          <c:val>
            <c:numRef>
              <c:f>CalculateBusSpedRatios!$K$12:$O$12</c:f>
              <c:numCache>
                <c:formatCode>0.00</c:formatCode>
                <c:ptCount val="5"/>
                <c:pt idx="0">
                  <c:v>0.61</c:v>
                </c:pt>
                <c:pt idx="1">
                  <c:v>0.64</c:v>
                </c:pt>
                <c:pt idx="2">
                  <c:v>0.71</c:v>
                </c:pt>
                <c:pt idx="3">
                  <c:v>0.79</c:v>
                </c:pt>
                <c:pt idx="4">
                  <c:v>0.87</c:v>
                </c:pt>
              </c:numCache>
            </c:numRef>
          </c:val>
          <c:smooth val="0"/>
          <c:extLst>
            <c:ext xmlns:c16="http://schemas.microsoft.com/office/drawing/2014/chart" uri="{C3380CC4-5D6E-409C-BE32-E72D297353CC}">
              <c16:uniqueId val="{00000004-57D7-4430-BBF7-A5810E4D1E12}"/>
            </c:ext>
          </c:extLst>
        </c:ser>
        <c:dLbls>
          <c:showLegendKey val="0"/>
          <c:showVal val="0"/>
          <c:showCatName val="0"/>
          <c:showSerName val="0"/>
          <c:showPercent val="0"/>
          <c:showBubbleSize val="0"/>
        </c:dLbls>
        <c:marker val="1"/>
        <c:smooth val="0"/>
        <c:axId val="180751072"/>
        <c:axId val="180751400"/>
      </c:line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18243197725284341"/>
              <c:y val="0.2531697600299962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midCat"/>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907245969253843"/>
          <c:y val="4.5086395450568681E-2"/>
          <c:w val="0.62077552805899272"/>
          <c:h val="0.65835083114610671"/>
        </c:manualLayout>
      </c:layout>
      <c:barChart>
        <c:barDir val="col"/>
        <c:grouping val="clustered"/>
        <c:varyColors val="0"/>
        <c:ser>
          <c:idx val="0"/>
          <c:order val="0"/>
          <c:tx>
            <c:strRef>
              <c:f>CalculateBusSpedRatios!$CF$5</c:f>
              <c:strCache>
                <c:ptCount val="1"/>
                <c:pt idx="0">
                  <c:v>freeways</c:v>
                </c:pt>
              </c:strCache>
            </c:strRef>
          </c:tx>
          <c:spPr>
            <a:solidFill>
              <a:schemeClr val="accent1"/>
            </a:solidFill>
            <a:ln w="25400">
              <a:solidFill>
                <a:schemeClr val="bg1">
                  <a:lumMod val="95000"/>
                </a:schemeClr>
              </a:solidFill>
            </a:ln>
            <a:effectLst/>
          </c:spPr>
          <c:invertIfNegative val="0"/>
          <c:dPt>
            <c:idx val="0"/>
            <c:invertIfNegative val="0"/>
            <c:bubble3D val="0"/>
            <c:spPr>
              <a:solidFill>
                <a:srgbClr val="C00000"/>
              </a:solidFill>
              <a:ln w="25400">
                <a:solidFill>
                  <a:schemeClr val="bg1">
                    <a:lumMod val="95000"/>
                  </a:schemeClr>
                </a:solidFill>
              </a:ln>
              <a:effectLst/>
            </c:spPr>
            <c:extLst>
              <c:ext xmlns:c16="http://schemas.microsoft.com/office/drawing/2014/chart" uri="{C3380CC4-5D6E-409C-BE32-E72D297353CC}">
                <c16:uniqueId val="{00000001-9BAB-45DA-96F3-F23AA55CA1CF}"/>
              </c:ext>
            </c:extLst>
          </c:dPt>
          <c:cat>
            <c:strLit>
              <c:ptCount val="1"/>
              <c:pt idx="0">
                <c:v>Original Bus Speed Factors</c:v>
              </c:pt>
            </c:strLit>
          </c:cat>
          <c:val>
            <c:numRef>
              <c:f>CalculateBusSpedRatios!$CG$5</c:f>
              <c:numCache>
                <c:formatCode>0.00</c:formatCode>
                <c:ptCount val="1"/>
                <c:pt idx="0">
                  <c:v>0.95</c:v>
                </c:pt>
              </c:numCache>
            </c:numRef>
          </c:val>
          <c:extLst>
            <c:ext xmlns:c16="http://schemas.microsoft.com/office/drawing/2014/chart" uri="{C3380CC4-5D6E-409C-BE32-E72D297353CC}">
              <c16:uniqueId val="{00000002-9BAB-45DA-96F3-F23AA55CA1CF}"/>
            </c:ext>
          </c:extLst>
        </c:ser>
        <c:ser>
          <c:idx val="1"/>
          <c:order val="1"/>
          <c:tx>
            <c:strRef>
              <c:f>CalculateBusSpedRatios!$CF$6</c:f>
              <c:strCache>
                <c:ptCount val="1"/>
                <c:pt idx="0">
                  <c:v>freeway ramps</c:v>
                </c:pt>
              </c:strCache>
            </c:strRef>
          </c:tx>
          <c:spPr>
            <a:pattFill prst="dkUpDiag">
              <a:fgClr>
                <a:srgbClr val="EE0000"/>
              </a:fgClr>
              <a:bgClr>
                <a:schemeClr val="bg1"/>
              </a:bgClr>
            </a:pattFill>
            <a:ln w="25400">
              <a:solidFill>
                <a:schemeClr val="bg1">
                  <a:lumMod val="95000"/>
                </a:schemeClr>
              </a:solidFill>
            </a:ln>
            <a:effectLst/>
          </c:spPr>
          <c:invertIfNegative val="0"/>
          <c:cat>
            <c:strLit>
              <c:ptCount val="1"/>
              <c:pt idx="0">
                <c:v>Original Bus Speed Factors</c:v>
              </c:pt>
            </c:strLit>
          </c:cat>
          <c:val>
            <c:numRef>
              <c:f>CalculateBusSpedRatios!$CG$6</c:f>
              <c:numCache>
                <c:formatCode>0.00</c:formatCode>
                <c:ptCount val="1"/>
                <c:pt idx="0">
                  <c:v>0.75</c:v>
                </c:pt>
              </c:numCache>
            </c:numRef>
          </c:val>
          <c:extLst>
            <c:ext xmlns:c16="http://schemas.microsoft.com/office/drawing/2014/chart" uri="{C3380CC4-5D6E-409C-BE32-E72D297353CC}">
              <c16:uniqueId val="{00000003-9BAB-45DA-96F3-F23AA55CA1CF}"/>
            </c:ext>
          </c:extLst>
        </c:ser>
        <c:ser>
          <c:idx val="2"/>
          <c:order val="2"/>
          <c:tx>
            <c:strRef>
              <c:f>CalculateBusSpedRatios!$CF$7</c:f>
              <c:strCache>
                <c:ptCount val="1"/>
                <c:pt idx="0">
                  <c:v>principal arterials &amp; expressways</c:v>
                </c:pt>
              </c:strCache>
            </c:strRef>
          </c:tx>
          <c:spPr>
            <a:solidFill>
              <a:schemeClr val="accent5">
                <a:lumMod val="50000"/>
              </a:schemeClr>
            </a:solidFill>
            <a:ln w="25400">
              <a:solidFill>
                <a:schemeClr val="bg1">
                  <a:lumMod val="95000"/>
                </a:schemeClr>
              </a:solidFill>
            </a:ln>
            <a:effectLst/>
          </c:spPr>
          <c:invertIfNegative val="0"/>
          <c:cat>
            <c:strLit>
              <c:ptCount val="1"/>
              <c:pt idx="0">
                <c:v>Original Bus Speed Factors</c:v>
              </c:pt>
            </c:strLit>
          </c:cat>
          <c:val>
            <c:numRef>
              <c:f>CalculateBusSpedRatios!$CG$7</c:f>
              <c:numCache>
                <c:formatCode>0.00</c:formatCode>
                <c:ptCount val="1"/>
                <c:pt idx="0">
                  <c:v>0.6</c:v>
                </c:pt>
              </c:numCache>
            </c:numRef>
          </c:val>
          <c:extLst>
            <c:ext xmlns:c16="http://schemas.microsoft.com/office/drawing/2014/chart" uri="{C3380CC4-5D6E-409C-BE32-E72D297353CC}">
              <c16:uniqueId val="{00000004-9BAB-45DA-96F3-F23AA55CA1CF}"/>
            </c:ext>
          </c:extLst>
        </c:ser>
        <c:ser>
          <c:idx val="3"/>
          <c:order val="3"/>
          <c:tx>
            <c:strRef>
              <c:f>CalculateBusSpedRatios!$CF$8</c:f>
              <c:strCache>
                <c:ptCount val="1"/>
                <c:pt idx="0">
                  <c:v>minor arterials, urban/cbd</c:v>
                </c:pt>
              </c:strCache>
            </c:strRef>
          </c:tx>
          <c:spPr>
            <a:solidFill>
              <a:schemeClr val="accent5">
                <a:lumMod val="60000"/>
                <a:lumOff val="40000"/>
              </a:schemeClr>
            </a:solidFill>
            <a:ln w="25400">
              <a:solidFill>
                <a:schemeClr val="bg1">
                  <a:lumMod val="95000"/>
                </a:schemeClr>
              </a:solidFill>
            </a:ln>
            <a:effectLst/>
          </c:spPr>
          <c:invertIfNegative val="0"/>
          <c:cat>
            <c:strLit>
              <c:ptCount val="1"/>
              <c:pt idx="0">
                <c:v>Original Bus Speed Factors</c:v>
              </c:pt>
            </c:strLit>
          </c:cat>
          <c:val>
            <c:numRef>
              <c:f>CalculateBusSpedRatios!$CG$8</c:f>
              <c:numCache>
                <c:formatCode>0.00</c:formatCode>
                <c:ptCount val="1"/>
                <c:pt idx="0">
                  <c:v>0.55000000000000004</c:v>
                </c:pt>
              </c:numCache>
            </c:numRef>
          </c:val>
          <c:extLst>
            <c:ext xmlns:c16="http://schemas.microsoft.com/office/drawing/2014/chart" uri="{C3380CC4-5D6E-409C-BE32-E72D297353CC}">
              <c16:uniqueId val="{00000005-9BAB-45DA-96F3-F23AA55CA1CF}"/>
            </c:ext>
          </c:extLst>
        </c:ser>
        <c:ser>
          <c:idx val="4"/>
          <c:order val="4"/>
          <c:tx>
            <c:strRef>
              <c:f>CalculateBusSpedRatios!$CF$9</c:f>
              <c:strCache>
                <c:ptCount val="1"/>
                <c:pt idx="0">
                  <c:v>minor arterials, suburban/rural</c:v>
                </c:pt>
              </c:strCache>
            </c:strRef>
          </c:tx>
          <c:spPr>
            <a:pattFill prst="dkUpDiag">
              <a:fgClr>
                <a:schemeClr val="accent5">
                  <a:lumMod val="60000"/>
                  <a:lumOff val="40000"/>
                </a:schemeClr>
              </a:fgClr>
              <a:bgClr>
                <a:schemeClr val="bg1"/>
              </a:bgClr>
            </a:pattFill>
            <a:ln w="25400">
              <a:solidFill>
                <a:schemeClr val="bg1">
                  <a:lumMod val="95000"/>
                </a:schemeClr>
              </a:solidFill>
            </a:ln>
            <a:effectLst/>
          </c:spPr>
          <c:invertIfNegative val="0"/>
          <c:cat>
            <c:strLit>
              <c:ptCount val="1"/>
              <c:pt idx="0">
                <c:v>Original Bus Speed Factors</c:v>
              </c:pt>
            </c:strLit>
          </c:cat>
          <c:val>
            <c:numRef>
              <c:f>CalculateBusSpedRatios!$CG$9</c:f>
              <c:numCache>
                <c:formatCode>0.00</c:formatCode>
                <c:ptCount val="1"/>
                <c:pt idx="0">
                  <c:v>0.65</c:v>
                </c:pt>
              </c:numCache>
            </c:numRef>
          </c:val>
          <c:extLst>
            <c:ext xmlns:c16="http://schemas.microsoft.com/office/drawing/2014/chart" uri="{C3380CC4-5D6E-409C-BE32-E72D297353CC}">
              <c16:uniqueId val="{00000006-9BAB-45DA-96F3-F23AA55CA1CF}"/>
            </c:ext>
          </c:extLst>
        </c:ser>
        <c:ser>
          <c:idx val="5"/>
          <c:order val="5"/>
          <c:tx>
            <c:strRef>
              <c:f>CalculateBusSpedRatios!$CF$10</c:f>
              <c:strCache>
                <c:ptCount val="1"/>
                <c:pt idx="0">
                  <c:v>collectors</c:v>
                </c:pt>
              </c:strCache>
            </c:strRef>
          </c:tx>
          <c:spPr>
            <a:solidFill>
              <a:schemeClr val="bg1">
                <a:lumMod val="75000"/>
              </a:schemeClr>
            </a:solidFill>
            <a:ln w="25400">
              <a:solidFill>
                <a:schemeClr val="bg1">
                  <a:lumMod val="95000"/>
                </a:schemeClr>
              </a:solidFill>
            </a:ln>
            <a:effectLst/>
          </c:spPr>
          <c:invertIfNegative val="0"/>
          <c:cat>
            <c:strLit>
              <c:ptCount val="1"/>
              <c:pt idx="0">
                <c:v>Original Bus Speed Factors</c:v>
              </c:pt>
            </c:strLit>
          </c:cat>
          <c:val>
            <c:numRef>
              <c:f>CalculateBusSpedRatios!$CG$10</c:f>
              <c:numCache>
                <c:formatCode>0.00</c:formatCode>
                <c:ptCount val="1"/>
                <c:pt idx="0">
                  <c:v>0.6</c:v>
                </c:pt>
              </c:numCache>
            </c:numRef>
          </c:val>
          <c:extLst>
            <c:ext xmlns:c16="http://schemas.microsoft.com/office/drawing/2014/chart" uri="{C3380CC4-5D6E-409C-BE32-E72D297353CC}">
              <c16:uniqueId val="{00000007-9BAB-45DA-96F3-F23AA55CA1CF}"/>
            </c:ext>
          </c:extLst>
        </c:ser>
        <c:dLbls>
          <c:showLegendKey val="0"/>
          <c:showVal val="0"/>
          <c:showCatName val="0"/>
          <c:showSerName val="0"/>
          <c:showPercent val="0"/>
          <c:showBubbleSize val="0"/>
        </c:dLbls>
        <c:gapWidth val="50"/>
        <c:axId val="180751072"/>
        <c:axId val="180751400"/>
      </c:barChart>
      <c:catAx>
        <c:axId val="180751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0751400"/>
        <c:crosses val="autoZero"/>
        <c:auto val="1"/>
        <c:lblAlgn val="ctr"/>
        <c:lblOffset val="100"/>
        <c:noMultiLvlLbl val="0"/>
      </c:catAx>
      <c:valAx>
        <c:axId val="180751400"/>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Transit Speed / Auto Speed</a:t>
                </a:r>
              </a:p>
            </c:rich>
          </c:tx>
          <c:layout>
            <c:manualLayout>
              <c:xMode val="edge"/>
              <c:yMode val="edge"/>
              <c:x val="0.22211457942757154"/>
              <c:y val="0.2339390268524126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751072"/>
        <c:crosses val="autoZero"/>
        <c:crossBetween val="between"/>
        <c:majorUnit val="0.2"/>
        <c:minorUnit val="5.000000000000001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66</xdr:col>
      <xdr:colOff>0</xdr:colOff>
      <xdr:row>4</xdr:row>
      <xdr:rowOff>0</xdr:rowOff>
    </xdr:from>
    <xdr:to>
      <xdr:col>81</xdr:col>
      <xdr:colOff>537324</xdr:colOff>
      <xdr:row>37</xdr:row>
      <xdr:rowOff>114300</xdr:rowOff>
    </xdr:to>
    <xdr:grpSp>
      <xdr:nvGrpSpPr>
        <xdr:cNvPr id="13" name="Group 12">
          <a:extLst>
            <a:ext uri="{FF2B5EF4-FFF2-40B4-BE49-F238E27FC236}">
              <a16:creationId xmlns:a16="http://schemas.microsoft.com/office/drawing/2014/main" id="{7A2FBD51-B428-4E6D-9BC4-148E1EC28D0D}"/>
            </a:ext>
          </a:extLst>
        </xdr:cNvPr>
        <xdr:cNvGrpSpPr/>
      </xdr:nvGrpSpPr>
      <xdr:grpSpPr>
        <a:xfrm>
          <a:off x="42767250" y="869156"/>
          <a:ext cx="9645605" cy="6400800"/>
          <a:chOff x="81781087" y="1053353"/>
          <a:chExt cx="10501011" cy="6400800"/>
        </a:xfrm>
      </xdr:grpSpPr>
      <xdr:graphicFrame macro="">
        <xdr:nvGraphicFramePr>
          <xdr:cNvPr id="14" name="Chart 13">
            <a:extLst>
              <a:ext uri="{FF2B5EF4-FFF2-40B4-BE49-F238E27FC236}">
                <a16:creationId xmlns:a16="http://schemas.microsoft.com/office/drawing/2014/main" id="{4A06E70F-56C4-04DF-6DB5-1CA94A0E75AB}"/>
              </a:ext>
            </a:extLst>
          </xdr:cNvPr>
          <xdr:cNvGraphicFramePr>
            <a:graphicFrameLocks/>
          </xdr:cNvGraphicFramePr>
        </xdr:nvGraphicFramePr>
        <xdr:xfrm>
          <a:off x="87710337" y="1053353"/>
          <a:ext cx="4571761" cy="64008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C5D2224E-794A-5B9E-B188-FE7005AD5AA5}"/>
              </a:ext>
            </a:extLst>
          </xdr:cNvPr>
          <xdr:cNvGraphicFramePr>
            <a:graphicFrameLocks/>
          </xdr:cNvGraphicFramePr>
        </xdr:nvGraphicFramePr>
        <xdr:xfrm>
          <a:off x="84745949" y="1053353"/>
          <a:ext cx="4571760" cy="6400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BD6641A6-3057-B25D-D387-07B50A1F11E8}"/>
              </a:ext>
            </a:extLst>
          </xdr:cNvPr>
          <xdr:cNvGraphicFramePr>
            <a:graphicFrameLocks/>
          </xdr:cNvGraphicFramePr>
        </xdr:nvGraphicFramePr>
        <xdr:xfrm>
          <a:off x="81781087" y="1053353"/>
          <a:ext cx="4571759" cy="64008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41</xdr:col>
      <xdr:colOff>0</xdr:colOff>
      <xdr:row>4</xdr:row>
      <xdr:rowOff>0</xdr:rowOff>
    </xdr:from>
    <xdr:to>
      <xdr:col>56</xdr:col>
      <xdr:colOff>537324</xdr:colOff>
      <xdr:row>37</xdr:row>
      <xdr:rowOff>114300</xdr:rowOff>
    </xdr:to>
    <xdr:grpSp>
      <xdr:nvGrpSpPr>
        <xdr:cNvPr id="17" name="Group 16">
          <a:extLst>
            <a:ext uri="{FF2B5EF4-FFF2-40B4-BE49-F238E27FC236}">
              <a16:creationId xmlns:a16="http://schemas.microsoft.com/office/drawing/2014/main" id="{2FCC7A51-D8FF-4431-B469-A81C6B8F895F}"/>
            </a:ext>
          </a:extLst>
        </xdr:cNvPr>
        <xdr:cNvGrpSpPr/>
      </xdr:nvGrpSpPr>
      <xdr:grpSpPr>
        <a:xfrm>
          <a:off x="26955750" y="869156"/>
          <a:ext cx="9645605" cy="6400800"/>
          <a:chOff x="81781087" y="1053353"/>
          <a:chExt cx="10501011" cy="6400800"/>
        </a:xfrm>
      </xdr:grpSpPr>
      <xdr:graphicFrame macro="">
        <xdr:nvGraphicFramePr>
          <xdr:cNvPr id="18" name="Chart 17">
            <a:extLst>
              <a:ext uri="{FF2B5EF4-FFF2-40B4-BE49-F238E27FC236}">
                <a16:creationId xmlns:a16="http://schemas.microsoft.com/office/drawing/2014/main" id="{2468A85A-CF62-12CF-6928-763BD2B5B23C}"/>
              </a:ext>
            </a:extLst>
          </xdr:cNvPr>
          <xdr:cNvGraphicFramePr>
            <a:graphicFrameLocks/>
          </xdr:cNvGraphicFramePr>
        </xdr:nvGraphicFramePr>
        <xdr:xfrm>
          <a:off x="87710337" y="1053353"/>
          <a:ext cx="4571761" cy="64008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35075DE4-3165-4DF6-7AE5-6F3BC4740E9A}"/>
              </a:ext>
            </a:extLst>
          </xdr:cNvPr>
          <xdr:cNvGraphicFramePr>
            <a:graphicFrameLocks/>
          </xdr:cNvGraphicFramePr>
        </xdr:nvGraphicFramePr>
        <xdr:xfrm>
          <a:off x="84745949" y="1053353"/>
          <a:ext cx="4571760" cy="64008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 name="Chart 19">
            <a:extLst>
              <a:ext uri="{FF2B5EF4-FFF2-40B4-BE49-F238E27FC236}">
                <a16:creationId xmlns:a16="http://schemas.microsoft.com/office/drawing/2014/main" id="{E855D883-1D32-4396-0030-7C8EF7DA79EE}"/>
              </a:ext>
            </a:extLst>
          </xdr:cNvPr>
          <xdr:cNvGraphicFramePr>
            <a:graphicFrameLocks/>
          </xdr:cNvGraphicFramePr>
        </xdr:nvGraphicFramePr>
        <xdr:xfrm>
          <a:off x="81781087" y="1053353"/>
          <a:ext cx="4571759" cy="64008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16</xdr:col>
      <xdr:colOff>0</xdr:colOff>
      <xdr:row>4</xdr:row>
      <xdr:rowOff>0</xdr:rowOff>
    </xdr:from>
    <xdr:to>
      <xdr:col>31</xdr:col>
      <xdr:colOff>537324</xdr:colOff>
      <xdr:row>37</xdr:row>
      <xdr:rowOff>114300</xdr:rowOff>
    </xdr:to>
    <xdr:grpSp>
      <xdr:nvGrpSpPr>
        <xdr:cNvPr id="2" name="Group 1">
          <a:extLst>
            <a:ext uri="{FF2B5EF4-FFF2-40B4-BE49-F238E27FC236}">
              <a16:creationId xmlns:a16="http://schemas.microsoft.com/office/drawing/2014/main" id="{88894092-C993-463E-94E5-600A122CE30E}"/>
            </a:ext>
          </a:extLst>
        </xdr:cNvPr>
        <xdr:cNvGrpSpPr/>
      </xdr:nvGrpSpPr>
      <xdr:grpSpPr>
        <a:xfrm>
          <a:off x="11144250" y="869156"/>
          <a:ext cx="9645605" cy="6400800"/>
          <a:chOff x="81781087" y="1053353"/>
          <a:chExt cx="10501011" cy="6400800"/>
        </a:xfrm>
      </xdr:grpSpPr>
      <xdr:graphicFrame macro="">
        <xdr:nvGraphicFramePr>
          <xdr:cNvPr id="3" name="Chart 2">
            <a:extLst>
              <a:ext uri="{FF2B5EF4-FFF2-40B4-BE49-F238E27FC236}">
                <a16:creationId xmlns:a16="http://schemas.microsoft.com/office/drawing/2014/main" id="{C1091049-8326-5626-352D-B45C517D0E43}"/>
              </a:ext>
            </a:extLst>
          </xdr:cNvPr>
          <xdr:cNvGraphicFramePr>
            <a:graphicFrameLocks/>
          </xdr:cNvGraphicFramePr>
        </xdr:nvGraphicFramePr>
        <xdr:xfrm>
          <a:off x="87710337" y="1053353"/>
          <a:ext cx="4571761" cy="64008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 name="Chart 3">
            <a:extLst>
              <a:ext uri="{FF2B5EF4-FFF2-40B4-BE49-F238E27FC236}">
                <a16:creationId xmlns:a16="http://schemas.microsoft.com/office/drawing/2014/main" id="{20888DA0-39D7-90E6-C62D-D3DA2ED097AB}"/>
              </a:ext>
            </a:extLst>
          </xdr:cNvPr>
          <xdr:cNvGraphicFramePr>
            <a:graphicFrameLocks/>
          </xdr:cNvGraphicFramePr>
        </xdr:nvGraphicFramePr>
        <xdr:xfrm>
          <a:off x="84745949" y="1053353"/>
          <a:ext cx="4571760" cy="64008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 name="Chart 4">
            <a:extLst>
              <a:ext uri="{FF2B5EF4-FFF2-40B4-BE49-F238E27FC236}">
                <a16:creationId xmlns:a16="http://schemas.microsoft.com/office/drawing/2014/main" id="{6DC00E0B-8527-EFA5-8CAA-B2696B7355D9}"/>
              </a:ext>
            </a:extLst>
          </xdr:cNvPr>
          <xdr:cNvGraphicFramePr>
            <a:graphicFrameLocks/>
          </xdr:cNvGraphicFramePr>
        </xdr:nvGraphicFramePr>
        <xdr:xfrm>
          <a:off x="81781087" y="1053353"/>
          <a:ext cx="4571759" cy="64008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87</xdr:col>
      <xdr:colOff>0</xdr:colOff>
      <xdr:row>4</xdr:row>
      <xdr:rowOff>0</xdr:rowOff>
    </xdr:from>
    <xdr:to>
      <xdr:col>97</xdr:col>
      <xdr:colOff>328613</xdr:colOff>
      <xdr:row>32</xdr:row>
      <xdr:rowOff>152400</xdr:rowOff>
    </xdr:to>
    <xdr:graphicFrame macro="">
      <xdr:nvGraphicFramePr>
        <xdr:cNvPr id="7" name="Chart 6">
          <a:extLst>
            <a:ext uri="{FF2B5EF4-FFF2-40B4-BE49-F238E27FC236}">
              <a16:creationId xmlns:a16="http://schemas.microsoft.com/office/drawing/2014/main" id="{5510C78B-20FE-4ED5-B729-B6501F228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107</xdr:col>
      <xdr:colOff>112058</xdr:colOff>
      <xdr:row>4</xdr:row>
      <xdr:rowOff>22412</xdr:rowOff>
    </xdr:from>
    <xdr:to>
      <xdr:col>118</xdr:col>
      <xdr:colOff>535609</xdr:colOff>
      <xdr:row>31</xdr:row>
      <xdr:rowOff>0</xdr:rowOff>
    </xdr:to>
    <xdr:pic>
      <xdr:nvPicPr>
        <xdr:cNvPr id="5" name="Picture 4">
          <a:extLst>
            <a:ext uri="{FF2B5EF4-FFF2-40B4-BE49-F238E27FC236}">
              <a16:creationId xmlns:a16="http://schemas.microsoft.com/office/drawing/2014/main" id="{0BF1A997-0A71-6D10-3696-F3372B7F58CB}"/>
            </a:ext>
          </a:extLst>
        </xdr:cNvPr>
        <xdr:cNvPicPr>
          <a:picLocks noChangeAspect="1"/>
        </xdr:cNvPicPr>
      </xdr:nvPicPr>
      <xdr:blipFill>
        <a:blip xmlns:r="http://schemas.openxmlformats.org/officeDocument/2006/relationships" r:embed="rId1"/>
        <a:stretch>
          <a:fillRect/>
        </a:stretch>
      </xdr:blipFill>
      <xdr:spPr>
        <a:xfrm>
          <a:off x="13402234" y="694765"/>
          <a:ext cx="7079845" cy="5121088"/>
        </a:xfrm>
        <a:prstGeom prst="rect">
          <a:avLst/>
        </a:prstGeom>
      </xdr:spPr>
    </xdr:pic>
    <xdr:clientData/>
  </xdr:twoCellAnchor>
  <xdr:twoCellAnchor>
    <xdr:from>
      <xdr:col>92</xdr:col>
      <xdr:colOff>134470</xdr:colOff>
      <xdr:row>4</xdr:row>
      <xdr:rowOff>11205</xdr:rowOff>
    </xdr:from>
    <xdr:to>
      <xdr:col>97</xdr:col>
      <xdr:colOff>524405</xdr:colOff>
      <xdr:row>30</xdr:row>
      <xdr:rowOff>179294</xdr:rowOff>
    </xdr:to>
    <xdr:grpSp>
      <xdr:nvGrpSpPr>
        <xdr:cNvPr id="14" name="Group 13">
          <a:extLst>
            <a:ext uri="{FF2B5EF4-FFF2-40B4-BE49-F238E27FC236}">
              <a16:creationId xmlns:a16="http://schemas.microsoft.com/office/drawing/2014/main" id="{7F87B239-DB96-1B27-DDBC-9566149CA921}"/>
            </a:ext>
          </a:extLst>
        </xdr:cNvPr>
        <xdr:cNvGrpSpPr/>
      </xdr:nvGrpSpPr>
      <xdr:grpSpPr>
        <a:xfrm>
          <a:off x="58920529" y="874058"/>
          <a:ext cx="3415523" cy="5121089"/>
          <a:chOff x="19094823" y="694764"/>
          <a:chExt cx="3415522" cy="5121089"/>
        </a:xfrm>
      </xdr:grpSpPr>
      <xdr:grpSp>
        <xdr:nvGrpSpPr>
          <xdr:cNvPr id="11" name="Group 10">
            <a:extLst>
              <a:ext uri="{FF2B5EF4-FFF2-40B4-BE49-F238E27FC236}">
                <a16:creationId xmlns:a16="http://schemas.microsoft.com/office/drawing/2014/main" id="{A5797ED8-A477-4AC3-5B15-FC498DC21C3B}"/>
              </a:ext>
            </a:extLst>
          </xdr:cNvPr>
          <xdr:cNvGrpSpPr/>
        </xdr:nvGrpSpPr>
        <xdr:grpSpPr>
          <a:xfrm>
            <a:off x="19094823" y="694765"/>
            <a:ext cx="2386853" cy="5121088"/>
            <a:chOff x="19094823" y="694765"/>
            <a:chExt cx="2386853" cy="5121088"/>
          </a:xfrm>
        </xdr:grpSpPr>
        <xdr:pic>
          <xdr:nvPicPr>
            <xdr:cNvPr id="6" name="Picture 5">
              <a:extLst>
                <a:ext uri="{FF2B5EF4-FFF2-40B4-BE49-F238E27FC236}">
                  <a16:creationId xmlns:a16="http://schemas.microsoft.com/office/drawing/2014/main" id="{31E468CC-8424-4E74-9F85-E1A66224CB51}"/>
                </a:ext>
              </a:extLst>
            </xdr:cNvPr>
            <xdr:cNvPicPr>
              <a:picLocks noChangeAspect="1"/>
            </xdr:cNvPicPr>
          </xdr:nvPicPr>
          <xdr:blipFill rotWithShape="1">
            <a:blip xmlns:r="http://schemas.openxmlformats.org/officeDocument/2006/relationships" r:embed="rId1"/>
            <a:srcRect r="66287"/>
            <a:stretch/>
          </xdr:blipFill>
          <xdr:spPr>
            <a:xfrm>
              <a:off x="19094823" y="694765"/>
              <a:ext cx="2386853" cy="5121088"/>
            </a:xfrm>
            <a:prstGeom prst="rect">
              <a:avLst/>
            </a:prstGeom>
          </xdr:spPr>
        </xdr:pic>
        <xdr:pic>
          <xdr:nvPicPr>
            <xdr:cNvPr id="10" name="Picture 9">
              <a:extLst>
                <a:ext uri="{FF2B5EF4-FFF2-40B4-BE49-F238E27FC236}">
                  <a16:creationId xmlns:a16="http://schemas.microsoft.com/office/drawing/2014/main" id="{C3AEB86E-152B-C967-990E-6E82AE8A9648}"/>
                </a:ext>
              </a:extLst>
            </xdr:cNvPr>
            <xdr:cNvPicPr>
              <a:picLocks noChangeAspect="1"/>
            </xdr:cNvPicPr>
          </xdr:nvPicPr>
          <xdr:blipFill>
            <a:blip xmlns:r="http://schemas.openxmlformats.org/officeDocument/2006/relationships" r:embed="rId2"/>
            <a:stretch>
              <a:fillRect/>
            </a:stretch>
          </xdr:blipFill>
          <xdr:spPr>
            <a:xfrm>
              <a:off x="19655117" y="739588"/>
              <a:ext cx="1815354" cy="5045270"/>
            </a:xfrm>
            <a:prstGeom prst="rect">
              <a:avLst/>
            </a:prstGeom>
          </xdr:spPr>
        </xdr:pic>
      </xdr:grpSp>
      <xdr:pic>
        <xdr:nvPicPr>
          <xdr:cNvPr id="13" name="Picture 12">
            <a:extLst>
              <a:ext uri="{FF2B5EF4-FFF2-40B4-BE49-F238E27FC236}">
                <a16:creationId xmlns:a16="http://schemas.microsoft.com/office/drawing/2014/main" id="{42AC83C7-AC98-4291-9ABA-F89BCAA47E0A}"/>
              </a:ext>
            </a:extLst>
          </xdr:cNvPr>
          <xdr:cNvPicPr>
            <a:picLocks noChangeAspect="1"/>
          </xdr:cNvPicPr>
        </xdr:nvPicPr>
        <xdr:blipFill rotWithShape="1">
          <a:blip xmlns:r="http://schemas.openxmlformats.org/officeDocument/2006/relationships" r:embed="rId1"/>
          <a:srcRect l="85471"/>
          <a:stretch/>
        </xdr:blipFill>
        <xdr:spPr>
          <a:xfrm>
            <a:off x="21481676" y="694764"/>
            <a:ext cx="1028669" cy="5121088"/>
          </a:xfrm>
          <a:prstGeom prst="rect">
            <a:avLst/>
          </a:prstGeom>
        </xdr:spPr>
      </xdr:pic>
    </xdr:grpSp>
    <xdr:clientData/>
  </xdr:twoCellAnchor>
  <xdr:twoCellAnchor editAs="oneCell">
    <xdr:from>
      <xdr:col>71</xdr:col>
      <xdr:colOff>134470</xdr:colOff>
      <xdr:row>4</xdr:row>
      <xdr:rowOff>11206</xdr:rowOff>
    </xdr:from>
    <xdr:to>
      <xdr:col>82</xdr:col>
      <xdr:colOff>552423</xdr:colOff>
      <xdr:row>30</xdr:row>
      <xdr:rowOff>179294</xdr:rowOff>
    </xdr:to>
    <xdr:pic>
      <xdr:nvPicPr>
        <xdr:cNvPr id="16" name="Picture 15">
          <a:extLst>
            <a:ext uri="{FF2B5EF4-FFF2-40B4-BE49-F238E27FC236}">
              <a16:creationId xmlns:a16="http://schemas.microsoft.com/office/drawing/2014/main" id="{14F37D57-4041-4568-91B2-C85EFDA4E5C9}"/>
            </a:ext>
          </a:extLst>
        </xdr:cNvPr>
        <xdr:cNvPicPr>
          <a:picLocks noChangeAspect="1"/>
        </xdr:cNvPicPr>
      </xdr:nvPicPr>
      <xdr:blipFill>
        <a:blip xmlns:r="http://schemas.openxmlformats.org/officeDocument/2006/relationships" r:embed="rId3"/>
        <a:stretch>
          <a:fillRect/>
        </a:stretch>
      </xdr:blipFill>
      <xdr:spPr>
        <a:xfrm>
          <a:off x="6152029" y="683559"/>
          <a:ext cx="7074247" cy="5121088"/>
        </a:xfrm>
        <a:prstGeom prst="rect">
          <a:avLst/>
        </a:prstGeom>
      </xdr:spPr>
    </xdr:pic>
    <xdr:clientData/>
  </xdr:twoCellAnchor>
  <xdr:twoCellAnchor editAs="oneCell">
    <xdr:from>
      <xdr:col>50</xdr:col>
      <xdr:colOff>123264</xdr:colOff>
      <xdr:row>3</xdr:row>
      <xdr:rowOff>179294</xdr:rowOff>
    </xdr:from>
    <xdr:to>
      <xdr:col>61</xdr:col>
      <xdr:colOff>415617</xdr:colOff>
      <xdr:row>31</xdr:row>
      <xdr:rowOff>0</xdr:rowOff>
    </xdr:to>
    <xdr:pic>
      <xdr:nvPicPr>
        <xdr:cNvPr id="18" name="Picture 17">
          <a:extLst>
            <a:ext uri="{FF2B5EF4-FFF2-40B4-BE49-F238E27FC236}">
              <a16:creationId xmlns:a16="http://schemas.microsoft.com/office/drawing/2014/main" id="{6F888929-E909-02FB-97CA-F3695B39EE79}"/>
            </a:ext>
          </a:extLst>
        </xdr:cNvPr>
        <xdr:cNvPicPr>
          <a:picLocks noChangeAspect="1"/>
        </xdr:cNvPicPr>
      </xdr:nvPicPr>
      <xdr:blipFill>
        <a:blip xmlns:r="http://schemas.openxmlformats.org/officeDocument/2006/relationships" r:embed="rId4"/>
        <a:stretch>
          <a:fillRect/>
        </a:stretch>
      </xdr:blipFill>
      <xdr:spPr>
        <a:xfrm>
          <a:off x="5692588" y="661147"/>
          <a:ext cx="7139147" cy="5154706"/>
        </a:xfrm>
        <a:prstGeom prst="rect">
          <a:avLst/>
        </a:prstGeom>
      </xdr:spPr>
    </xdr:pic>
    <xdr:clientData/>
  </xdr:twoCellAnchor>
  <xdr:twoCellAnchor editAs="oneCell">
    <xdr:from>
      <xdr:col>29</xdr:col>
      <xdr:colOff>134469</xdr:colOff>
      <xdr:row>4</xdr:row>
      <xdr:rowOff>11207</xdr:rowOff>
    </xdr:from>
    <xdr:to>
      <xdr:col>40</xdr:col>
      <xdr:colOff>437027</xdr:colOff>
      <xdr:row>31</xdr:row>
      <xdr:rowOff>23804</xdr:rowOff>
    </xdr:to>
    <xdr:pic>
      <xdr:nvPicPr>
        <xdr:cNvPr id="20" name="Picture 19">
          <a:extLst>
            <a:ext uri="{FF2B5EF4-FFF2-40B4-BE49-F238E27FC236}">
              <a16:creationId xmlns:a16="http://schemas.microsoft.com/office/drawing/2014/main" id="{DFDEE91A-7B48-A0F1-CD2B-F16FA2DAD029}"/>
            </a:ext>
          </a:extLst>
        </xdr:cNvPr>
        <xdr:cNvPicPr>
          <a:picLocks noChangeAspect="1"/>
        </xdr:cNvPicPr>
      </xdr:nvPicPr>
      <xdr:blipFill>
        <a:blip xmlns:r="http://schemas.openxmlformats.org/officeDocument/2006/relationships" r:embed="rId5"/>
        <a:stretch>
          <a:fillRect/>
        </a:stretch>
      </xdr:blipFill>
      <xdr:spPr>
        <a:xfrm>
          <a:off x="5703793" y="683560"/>
          <a:ext cx="7115735" cy="5156097"/>
        </a:xfrm>
        <a:prstGeom prst="rect">
          <a:avLst/>
        </a:prstGeom>
      </xdr:spPr>
    </xdr:pic>
    <xdr:clientData/>
  </xdr:twoCellAnchor>
  <xdr:twoCellAnchor editAs="oneCell">
    <xdr:from>
      <xdr:col>29</xdr:col>
      <xdr:colOff>100853</xdr:colOff>
      <xdr:row>31</xdr:row>
      <xdr:rowOff>123265</xdr:rowOff>
    </xdr:from>
    <xdr:to>
      <xdr:col>40</xdr:col>
      <xdr:colOff>459440</xdr:colOff>
      <xdr:row>58</xdr:row>
      <xdr:rowOff>109290</xdr:rowOff>
    </xdr:to>
    <xdr:pic>
      <xdr:nvPicPr>
        <xdr:cNvPr id="22" name="Picture 21">
          <a:extLst>
            <a:ext uri="{FF2B5EF4-FFF2-40B4-BE49-F238E27FC236}">
              <a16:creationId xmlns:a16="http://schemas.microsoft.com/office/drawing/2014/main" id="{35C843B5-67C6-660A-5C34-B4B831C2BC7B}"/>
            </a:ext>
          </a:extLst>
        </xdr:cNvPr>
        <xdr:cNvPicPr>
          <a:picLocks noChangeAspect="1"/>
        </xdr:cNvPicPr>
      </xdr:nvPicPr>
      <xdr:blipFill>
        <a:blip xmlns:r="http://schemas.openxmlformats.org/officeDocument/2006/relationships" r:embed="rId6"/>
        <a:stretch>
          <a:fillRect/>
        </a:stretch>
      </xdr:blipFill>
      <xdr:spPr>
        <a:xfrm>
          <a:off x="19688735" y="5939118"/>
          <a:ext cx="7171764" cy="5129525"/>
        </a:xfrm>
        <a:prstGeom prst="rect">
          <a:avLst/>
        </a:prstGeom>
      </xdr:spPr>
    </xdr:pic>
    <xdr:clientData/>
  </xdr:twoCellAnchor>
  <xdr:twoCellAnchor editAs="oneCell">
    <xdr:from>
      <xdr:col>8</xdr:col>
      <xdr:colOff>112058</xdr:colOff>
      <xdr:row>4</xdr:row>
      <xdr:rowOff>22412</xdr:rowOff>
    </xdr:from>
    <xdr:to>
      <xdr:col>19</xdr:col>
      <xdr:colOff>501975</xdr:colOff>
      <xdr:row>31</xdr:row>
      <xdr:rowOff>11206</xdr:rowOff>
    </xdr:to>
    <xdr:pic>
      <xdr:nvPicPr>
        <xdr:cNvPr id="2" name="Picture 1">
          <a:extLst>
            <a:ext uri="{FF2B5EF4-FFF2-40B4-BE49-F238E27FC236}">
              <a16:creationId xmlns:a16="http://schemas.microsoft.com/office/drawing/2014/main" id="{7650D632-7D31-4715-A9DE-55584E82E48A}"/>
            </a:ext>
          </a:extLst>
        </xdr:cNvPr>
        <xdr:cNvPicPr>
          <a:picLocks noChangeAspect="1"/>
        </xdr:cNvPicPr>
      </xdr:nvPicPr>
      <xdr:blipFill>
        <a:blip xmlns:r="http://schemas.openxmlformats.org/officeDocument/2006/relationships" r:embed="rId7"/>
        <a:stretch>
          <a:fillRect/>
        </a:stretch>
      </xdr:blipFill>
      <xdr:spPr>
        <a:xfrm>
          <a:off x="5905499" y="694765"/>
          <a:ext cx="7046211" cy="51322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github.com/WFRCAnalytics/TDM-Bus-Speeds/blob/main/bus_speed_ratios_estimation.Rmd"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6E34-313A-424C-AB53-0D4A55CCD42A}">
  <sheetPr>
    <tabColor rgb="FFFF0000"/>
  </sheetPr>
  <dimension ref="A1:U11"/>
  <sheetViews>
    <sheetView tabSelected="1" zoomScale="80" zoomScaleNormal="80" workbookViewId="0">
      <selection activeCell="A2" sqref="A2"/>
    </sheetView>
  </sheetViews>
  <sheetFormatPr defaultRowHeight="15" x14ac:dyDescent="0.25"/>
  <cols>
    <col min="1" max="1" width="12.28515625" style="2" customWidth="1"/>
    <col min="2" max="16" width="9.140625" style="2"/>
    <col min="17" max="17" width="24.140625" style="1" customWidth="1"/>
    <col min="18" max="18" width="9.140625" style="1"/>
    <col min="19" max="19" width="11" style="1" customWidth="1"/>
    <col min="20" max="20" width="22.5703125" style="1" customWidth="1"/>
    <col min="21" max="21" width="11.42578125" style="1" customWidth="1"/>
    <col min="22" max="16384" width="9.140625" style="1"/>
  </cols>
  <sheetData>
    <row r="1" spans="1:21" s="33" customFormat="1" ht="23.25" x14ac:dyDescent="0.35">
      <c r="A1" s="59" t="s">
        <v>0</v>
      </c>
      <c r="B1" s="59"/>
      <c r="C1" s="59"/>
      <c r="D1" s="59"/>
      <c r="E1" s="59"/>
      <c r="F1" s="59"/>
      <c r="G1" s="59"/>
      <c r="H1" s="59"/>
      <c r="I1" s="59"/>
      <c r="J1" s="59"/>
      <c r="K1" s="59"/>
      <c r="L1" s="60"/>
      <c r="M1" s="60"/>
      <c r="N1" s="60"/>
      <c r="O1" s="60"/>
      <c r="P1" s="60"/>
      <c r="Q1" s="59"/>
      <c r="S1" s="59" t="s">
        <v>67</v>
      </c>
      <c r="T1" s="59"/>
      <c r="U1" s="59"/>
    </row>
    <row r="3" spans="1:21" ht="15" customHeight="1" x14ac:dyDescent="0.25">
      <c r="A3" s="65" t="s">
        <v>46</v>
      </c>
      <c r="B3" s="65"/>
      <c r="C3" s="65"/>
      <c r="D3" s="65"/>
      <c r="E3" s="65"/>
      <c r="F3" s="65"/>
      <c r="G3" s="65"/>
      <c r="H3" s="65"/>
      <c r="I3" s="65"/>
      <c r="J3" s="65"/>
      <c r="K3" s="65"/>
      <c r="L3" s="65"/>
      <c r="M3" s="65"/>
      <c r="N3" s="65"/>
      <c r="O3" s="65"/>
      <c r="P3" s="65"/>
      <c r="Q3" s="65"/>
    </row>
    <row r="4" spans="1:21" x14ac:dyDescent="0.25">
      <c r="A4" s="65"/>
      <c r="B4" s="65"/>
      <c r="C4" s="65"/>
      <c r="D4" s="65"/>
      <c r="E4" s="65"/>
      <c r="F4" s="65"/>
      <c r="G4" s="65"/>
      <c r="H4" s="65"/>
      <c r="I4" s="65"/>
      <c r="J4" s="65"/>
      <c r="K4" s="65"/>
      <c r="L4" s="65"/>
      <c r="M4" s="65"/>
      <c r="N4" s="65"/>
      <c r="O4" s="65"/>
      <c r="P4" s="65"/>
      <c r="Q4" s="65"/>
    </row>
    <row r="6" spans="1:21" x14ac:dyDescent="0.25">
      <c r="A6" s="26" t="s">
        <v>43</v>
      </c>
      <c r="B6" s="26" t="s">
        <v>29</v>
      </c>
      <c r="C6" s="26" t="s">
        <v>30</v>
      </c>
      <c r="D6" s="26" t="s">
        <v>31</v>
      </c>
      <c r="E6" s="26" t="s">
        <v>32</v>
      </c>
      <c r="F6" s="26" t="s">
        <v>33</v>
      </c>
      <c r="G6" s="26" t="s">
        <v>34</v>
      </c>
      <c r="H6" s="26" t="s">
        <v>35</v>
      </c>
      <c r="I6" s="26" t="s">
        <v>36</v>
      </c>
      <c r="J6" s="26" t="s">
        <v>37</v>
      </c>
      <c r="K6" s="26" t="s">
        <v>38</v>
      </c>
      <c r="L6" s="26" t="s">
        <v>82</v>
      </c>
      <c r="M6" s="26" t="s">
        <v>83</v>
      </c>
      <c r="N6" s="26" t="s">
        <v>84</v>
      </c>
      <c r="O6" s="26" t="s">
        <v>85</v>
      </c>
      <c r="P6" s="26" t="s">
        <v>86</v>
      </c>
      <c r="Q6" s="27" t="s">
        <v>45</v>
      </c>
      <c r="S6" s="28" t="s">
        <v>42</v>
      </c>
      <c r="T6" s="29" t="s">
        <v>45</v>
      </c>
      <c r="U6" s="28" t="s">
        <v>44</v>
      </c>
    </row>
    <row r="7" spans="1:21" x14ac:dyDescent="0.25">
      <c r="A7" s="23">
        <v>1</v>
      </c>
      <c r="B7" s="57">
        <f>CalculateBusSpedRatios!C8</f>
        <v>0.56000000000000005</v>
      </c>
      <c r="C7" s="58">
        <f>CalculateBusSpedRatios!D8</f>
        <v>0.59</v>
      </c>
      <c r="D7" s="58">
        <f>CalculateBusSpedRatios!E8</f>
        <v>0.63</v>
      </c>
      <c r="E7" s="58">
        <f>CalculateBusSpedRatios!F8</f>
        <v>0.66</v>
      </c>
      <c r="F7" s="58">
        <f>CalculateBusSpedRatios!G8</f>
        <v>0.56999999999999995</v>
      </c>
      <c r="G7" s="57">
        <f>CalculateBusSpedRatios!C17</f>
        <v>0.57999999999999996</v>
      </c>
      <c r="H7" s="58">
        <f>CalculateBusSpedRatios!D17</f>
        <v>0.6</v>
      </c>
      <c r="I7" s="58">
        <f>CalculateBusSpedRatios!E17</f>
        <v>0.62</v>
      </c>
      <c r="J7" s="58">
        <f>CalculateBusSpedRatios!F17</f>
        <v>0.64</v>
      </c>
      <c r="K7" s="58">
        <f>CalculateBusSpedRatios!G17</f>
        <v>0.52</v>
      </c>
      <c r="L7" s="57">
        <f>CalculateBusSpedRatios!C27</f>
        <v>0.57999999999999996</v>
      </c>
      <c r="M7" s="58">
        <f>CalculateBusSpedRatios!D27</f>
        <v>0.6</v>
      </c>
      <c r="N7" s="58">
        <f>CalculateBusSpedRatios!E27</f>
        <v>0.62</v>
      </c>
      <c r="O7" s="58">
        <f>CalculateBusSpedRatios!F27</f>
        <v>0.64</v>
      </c>
      <c r="P7" s="58">
        <f>CalculateBusSpedRatios!G27</f>
        <v>0.53</v>
      </c>
      <c r="Q7" s="25" t="s">
        <v>2</v>
      </c>
      <c r="S7" s="23">
        <v>1</v>
      </c>
      <c r="T7" s="4" t="s">
        <v>2</v>
      </c>
      <c r="U7" s="23" t="s">
        <v>39</v>
      </c>
    </row>
    <row r="8" spans="1:21" x14ac:dyDescent="0.25">
      <c r="A8" s="23">
        <v>2</v>
      </c>
      <c r="B8" s="57">
        <f>CalculateBusSpedRatios!C9</f>
        <v>0.82</v>
      </c>
      <c r="C8" s="58">
        <f>CalculateBusSpedRatios!D9</f>
        <v>0.74</v>
      </c>
      <c r="D8" s="58">
        <f>CalculateBusSpedRatios!E9</f>
        <v>0.66</v>
      </c>
      <c r="E8" s="58">
        <f>CalculateBusSpedRatios!F9</f>
        <v>0.6</v>
      </c>
      <c r="F8" s="58">
        <f>CalculateBusSpedRatios!G9</f>
        <v>0.53</v>
      </c>
      <c r="G8" s="57">
        <f>CalculateBusSpedRatios!C18</f>
        <v>0.75</v>
      </c>
      <c r="H8" s="58">
        <f>CalculateBusSpedRatios!D18</f>
        <v>0.68</v>
      </c>
      <c r="I8" s="58">
        <f>CalculateBusSpedRatios!E18</f>
        <v>0.61</v>
      </c>
      <c r="J8" s="58">
        <f>CalculateBusSpedRatios!F18</f>
        <v>0.55000000000000004</v>
      </c>
      <c r="K8" s="58">
        <f>CalculateBusSpedRatios!G18</f>
        <v>0.48</v>
      </c>
      <c r="L8" s="57">
        <f>CalculateBusSpedRatios!C28</f>
        <v>0.8</v>
      </c>
      <c r="M8" s="58">
        <f>CalculateBusSpedRatios!D28</f>
        <v>0.72</v>
      </c>
      <c r="N8" s="58">
        <f>CalculateBusSpedRatios!E28</f>
        <v>0.64</v>
      </c>
      <c r="O8" s="58">
        <f>CalculateBusSpedRatios!F28</f>
        <v>0.57999999999999996</v>
      </c>
      <c r="P8" s="58">
        <f>CalculateBusSpedRatios!G28</f>
        <v>0.51</v>
      </c>
      <c r="Q8" s="25" t="s">
        <v>3</v>
      </c>
      <c r="S8" s="23">
        <v>2</v>
      </c>
      <c r="T8" s="4" t="s">
        <v>3</v>
      </c>
      <c r="U8" s="23">
        <v>3</v>
      </c>
    </row>
    <row r="9" spans="1:21" x14ac:dyDescent="0.25">
      <c r="A9" s="23">
        <v>3</v>
      </c>
      <c r="B9" s="57">
        <f>CalculateBusSpedRatios!C10</f>
        <v>0.91</v>
      </c>
      <c r="C9" s="58">
        <f>CalculateBusSpedRatios!D10</f>
        <v>0.78</v>
      </c>
      <c r="D9" s="58">
        <f>CalculateBusSpedRatios!E10</f>
        <v>0.67</v>
      </c>
      <c r="E9" s="58">
        <f>CalculateBusSpedRatios!F10</f>
        <v>0.57999999999999996</v>
      </c>
      <c r="F9" s="58">
        <f>CalculateBusSpedRatios!G10</f>
        <v>0.5</v>
      </c>
      <c r="G9" s="57">
        <f>CalculateBusSpedRatios!C19</f>
        <v>0.79</v>
      </c>
      <c r="H9" s="58">
        <f>CalculateBusSpedRatios!D19</f>
        <v>0.7</v>
      </c>
      <c r="I9" s="58">
        <f>CalculateBusSpedRatios!E19</f>
        <v>0.61</v>
      </c>
      <c r="J9" s="58">
        <f>CalculateBusSpedRatios!F19</f>
        <v>0.53</v>
      </c>
      <c r="K9" s="58">
        <f>CalculateBusSpedRatios!G19</f>
        <v>0.45</v>
      </c>
      <c r="L9" s="57">
        <f>CalculateBusSpedRatios!C29</f>
        <v>0.85</v>
      </c>
      <c r="M9" s="58">
        <f>CalculateBusSpedRatios!D29</f>
        <v>0.75</v>
      </c>
      <c r="N9" s="58">
        <f>CalculateBusSpedRatios!E29</f>
        <v>0.65</v>
      </c>
      <c r="O9" s="58">
        <f>CalculateBusSpedRatios!F29</f>
        <v>0.56000000000000005</v>
      </c>
      <c r="P9" s="58">
        <f>CalculateBusSpedRatios!G29</f>
        <v>0.49</v>
      </c>
      <c r="Q9" s="25" t="s">
        <v>4</v>
      </c>
      <c r="S9" s="23">
        <v>3</v>
      </c>
      <c r="T9" s="4" t="s">
        <v>4</v>
      </c>
      <c r="U9" s="23">
        <v>2</v>
      </c>
    </row>
    <row r="10" spans="1:21" x14ac:dyDescent="0.25">
      <c r="A10" s="23">
        <v>4</v>
      </c>
      <c r="B10" s="57">
        <f>CalculateBusSpedRatios!C11</f>
        <v>0.52</v>
      </c>
      <c r="C10" s="58">
        <f>CalculateBusSpedRatios!D11</f>
        <v>0.54</v>
      </c>
      <c r="D10" s="58">
        <f>CalculateBusSpedRatios!E11</f>
        <v>0.56000000000000005</v>
      </c>
      <c r="E10" s="58">
        <f>CalculateBusSpedRatios!F11</f>
        <v>0.57999999999999996</v>
      </c>
      <c r="F10" s="58">
        <f>CalculateBusSpedRatios!G11</f>
        <v>0.6</v>
      </c>
      <c r="G10" s="57">
        <f>CalculateBusSpedRatios!C20</f>
        <v>0.54</v>
      </c>
      <c r="H10" s="58">
        <f>CalculateBusSpedRatios!D20</f>
        <v>0.55000000000000004</v>
      </c>
      <c r="I10" s="58">
        <f>CalculateBusSpedRatios!E20</f>
        <v>0.56000000000000005</v>
      </c>
      <c r="J10" s="58">
        <f>CalculateBusSpedRatios!F20</f>
        <v>0.56999999999999995</v>
      </c>
      <c r="K10" s="58">
        <f>CalculateBusSpedRatios!G20</f>
        <v>0.57999999999999996</v>
      </c>
      <c r="L10" s="57">
        <f>CalculateBusSpedRatios!C30</f>
        <v>0.53</v>
      </c>
      <c r="M10" s="58">
        <f>CalculateBusSpedRatios!D30</f>
        <v>0.54</v>
      </c>
      <c r="N10" s="58">
        <f>CalculateBusSpedRatios!E30</f>
        <v>0.56000000000000005</v>
      </c>
      <c r="O10" s="58">
        <f>CalculateBusSpedRatios!F30</f>
        <v>0.57999999999999996</v>
      </c>
      <c r="P10" s="58">
        <f>CalculateBusSpedRatios!G30</f>
        <v>0.59</v>
      </c>
      <c r="Q10" s="25" t="s">
        <v>5</v>
      </c>
      <c r="S10" s="23">
        <v>4</v>
      </c>
      <c r="T10" s="4" t="s">
        <v>5</v>
      </c>
      <c r="U10" s="24" t="s">
        <v>40</v>
      </c>
    </row>
    <row r="11" spans="1:21" x14ac:dyDescent="0.25">
      <c r="A11" s="23">
        <v>5</v>
      </c>
      <c r="B11" s="57">
        <f>CalculateBusSpedRatios!C12</f>
        <v>0.61</v>
      </c>
      <c r="C11" s="58">
        <f>CalculateBusSpedRatios!D12</f>
        <v>0.64</v>
      </c>
      <c r="D11" s="58">
        <f>CalculateBusSpedRatios!E12</f>
        <v>0.71</v>
      </c>
      <c r="E11" s="58">
        <f>CalculateBusSpedRatios!F12</f>
        <v>0.79</v>
      </c>
      <c r="F11" s="58">
        <f>CalculateBusSpedRatios!G12</f>
        <v>0.87</v>
      </c>
      <c r="G11" s="57">
        <f>CalculateBusSpedRatios!C21</f>
        <v>0.47</v>
      </c>
      <c r="H11" s="58">
        <f>CalculateBusSpedRatios!D21</f>
        <v>0.48</v>
      </c>
      <c r="I11" s="58">
        <f>CalculateBusSpedRatios!E21</f>
        <v>0.5</v>
      </c>
      <c r="J11" s="58">
        <f>CalculateBusSpedRatios!F21</f>
        <v>0.55000000000000004</v>
      </c>
      <c r="K11" s="58">
        <f>CalculateBusSpedRatios!G21</f>
        <v>0.63</v>
      </c>
      <c r="L11" s="57">
        <f>CalculateBusSpedRatios!C31</f>
        <v>0.62</v>
      </c>
      <c r="M11" s="58">
        <f>CalculateBusSpedRatios!D31</f>
        <v>0.64</v>
      </c>
      <c r="N11" s="58">
        <f>CalculateBusSpedRatios!E31</f>
        <v>0.69</v>
      </c>
      <c r="O11" s="58">
        <f>CalculateBusSpedRatios!F31</f>
        <v>0.76</v>
      </c>
      <c r="P11" s="58">
        <f>CalculateBusSpedRatios!G31</f>
        <v>0.84</v>
      </c>
      <c r="Q11" s="25" t="s">
        <v>6</v>
      </c>
      <c r="S11" s="23">
        <v>5</v>
      </c>
      <c r="T11" s="4" t="s">
        <v>6</v>
      </c>
      <c r="U11" s="24" t="s">
        <v>41</v>
      </c>
    </row>
  </sheetData>
  <mergeCells count="1">
    <mergeCell ref="A3:Q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BEE79-960F-4FD8-9D02-4549D4C05C94}">
  <sheetPr>
    <tabColor theme="7" tint="0.79998168889431442"/>
  </sheetPr>
  <dimension ref="A1:CT34"/>
  <sheetViews>
    <sheetView zoomScale="80" zoomScaleNormal="80" workbookViewId="0">
      <selection activeCell="A2" sqref="A2"/>
    </sheetView>
  </sheetViews>
  <sheetFormatPr defaultRowHeight="15" x14ac:dyDescent="0.25"/>
  <cols>
    <col min="1" max="3" width="9.140625" style="1"/>
    <col min="4" max="5" width="12.42578125" style="1" bestFit="1" customWidth="1"/>
    <col min="6" max="6" width="12" style="1" bestFit="1" customWidth="1"/>
    <col min="7" max="7" width="11.42578125" style="1" bestFit="1" customWidth="1"/>
    <col min="8" max="8" width="9.140625" style="1"/>
    <col min="9" max="9" width="11.140625" style="1" customWidth="1"/>
    <col min="10" max="10" width="22" style="1" customWidth="1"/>
    <col min="11" max="15" width="9.140625" style="1"/>
    <col min="16" max="16" width="3.7109375" style="1" customWidth="1"/>
    <col min="17" max="33" width="9.140625" style="1"/>
    <col min="34" max="34" width="11.140625" style="1" customWidth="1"/>
    <col min="35" max="35" width="22" style="1" customWidth="1"/>
    <col min="36" max="40" width="9.140625" style="1"/>
    <col min="41" max="41" width="3.7109375" style="1" customWidth="1"/>
    <col min="42" max="58" width="9.140625" style="1"/>
    <col min="59" max="59" width="11.140625" style="1" customWidth="1"/>
    <col min="60" max="60" width="22" style="1" customWidth="1"/>
    <col min="61" max="65" width="9.140625" style="1"/>
    <col min="66" max="66" width="3.7109375" style="1" customWidth="1"/>
    <col min="67" max="83" width="9.140625" style="1"/>
    <col min="84" max="84" width="32.5703125" style="1" customWidth="1"/>
    <col min="85" max="85" width="9.140625" style="1"/>
    <col min="86" max="86" width="32.5703125" style="1" bestFit="1" customWidth="1"/>
    <col min="87" max="87" width="3.7109375" style="1" customWidth="1"/>
    <col min="88" max="16384" width="9.140625" style="1"/>
  </cols>
  <sheetData>
    <row r="1" spans="1:98" s="33" customFormat="1" ht="23.25" x14ac:dyDescent="0.35">
      <c r="A1" s="55" t="s">
        <v>27</v>
      </c>
      <c r="B1" s="55"/>
      <c r="C1" s="55"/>
      <c r="D1" s="55"/>
      <c r="E1" s="55"/>
      <c r="F1" s="55"/>
      <c r="G1" s="55"/>
      <c r="I1" s="3" t="s">
        <v>65</v>
      </c>
      <c r="J1" s="3"/>
      <c r="K1" s="3"/>
      <c r="L1" s="3"/>
      <c r="M1" s="3"/>
      <c r="N1" s="3"/>
      <c r="O1" s="3"/>
      <c r="P1" s="3"/>
      <c r="Q1" s="3"/>
      <c r="R1" s="3"/>
      <c r="S1" s="3"/>
      <c r="T1" s="3"/>
      <c r="U1" s="3"/>
      <c r="V1" s="3"/>
      <c r="W1" s="3"/>
      <c r="X1" s="3"/>
      <c r="Y1" s="3"/>
      <c r="Z1" s="3"/>
      <c r="AA1" s="3"/>
      <c r="AB1" s="3"/>
      <c r="AC1" s="3"/>
      <c r="AD1" s="3"/>
      <c r="AE1" s="3"/>
      <c r="AF1" s="3"/>
      <c r="AH1" s="3" t="s">
        <v>63</v>
      </c>
      <c r="AI1" s="3"/>
      <c r="AJ1" s="3"/>
      <c r="AK1" s="3"/>
      <c r="AL1" s="3"/>
      <c r="AM1" s="3"/>
      <c r="AN1" s="3"/>
      <c r="AO1" s="3"/>
      <c r="AP1" s="3"/>
      <c r="AQ1" s="3"/>
      <c r="AR1" s="3"/>
      <c r="AS1" s="3"/>
      <c r="AT1" s="3"/>
      <c r="AU1" s="3"/>
      <c r="AV1" s="3"/>
      <c r="AW1" s="3"/>
      <c r="AX1" s="3"/>
      <c r="AY1" s="3"/>
      <c r="AZ1" s="3"/>
      <c r="BA1" s="3"/>
      <c r="BB1" s="3"/>
      <c r="BC1" s="3"/>
      <c r="BD1" s="3"/>
      <c r="BE1" s="3"/>
      <c r="BG1" s="3" t="s">
        <v>16</v>
      </c>
      <c r="BH1" s="3"/>
      <c r="BI1" s="3"/>
      <c r="BJ1" s="3"/>
      <c r="BK1" s="3"/>
      <c r="BL1" s="3"/>
      <c r="BM1" s="3"/>
      <c r="BN1" s="3"/>
      <c r="BO1" s="3"/>
      <c r="BP1" s="3"/>
      <c r="BQ1" s="3"/>
      <c r="BR1" s="3"/>
      <c r="BS1" s="3"/>
      <c r="BT1" s="3"/>
      <c r="BU1" s="3"/>
      <c r="BV1" s="3"/>
      <c r="BW1" s="3"/>
      <c r="BX1" s="3"/>
      <c r="BY1" s="3"/>
      <c r="BZ1" s="3"/>
      <c r="CA1" s="3"/>
      <c r="CB1" s="3"/>
      <c r="CC1" s="3"/>
      <c r="CD1" s="3"/>
      <c r="CF1" s="59" t="s">
        <v>68</v>
      </c>
      <c r="CG1" s="59"/>
      <c r="CH1" s="59"/>
      <c r="CI1" s="59"/>
      <c r="CJ1" s="59"/>
      <c r="CK1" s="59"/>
      <c r="CL1" s="59"/>
      <c r="CM1" s="59"/>
      <c r="CN1" s="59"/>
      <c r="CO1" s="59"/>
      <c r="CP1" s="59"/>
      <c r="CQ1" s="59"/>
      <c r="CR1" s="59"/>
      <c r="CS1" s="59"/>
      <c r="CT1" s="59"/>
    </row>
    <row r="3" spans="1:98" x14ac:dyDescent="0.25">
      <c r="I3" s="32" t="s">
        <v>66</v>
      </c>
      <c r="J3" s="35"/>
      <c r="K3" s="35"/>
      <c r="L3" s="35"/>
      <c r="M3" s="35"/>
      <c r="AH3" s="32" t="s">
        <v>64</v>
      </c>
      <c r="AI3" s="35"/>
      <c r="AJ3" s="35"/>
      <c r="AK3" s="35"/>
      <c r="AL3" s="35"/>
      <c r="BG3" s="35"/>
      <c r="BH3" s="44" t="s">
        <v>60</v>
      </c>
      <c r="BI3" s="64" t="s">
        <v>14</v>
      </c>
      <c r="BJ3" s="30"/>
      <c r="BK3" s="30"/>
      <c r="BL3" s="30"/>
      <c r="BM3" s="30"/>
      <c r="BN3" s="30"/>
      <c r="BO3" s="30"/>
      <c r="BP3" s="30"/>
      <c r="BQ3" s="30"/>
      <c r="BR3" s="30"/>
      <c r="BS3" s="30"/>
      <c r="BT3" s="30"/>
    </row>
    <row r="5" spans="1:98" x14ac:dyDescent="0.25">
      <c r="A5" s="31" t="s">
        <v>7</v>
      </c>
      <c r="B5" s="30"/>
      <c r="C5" s="30"/>
      <c r="D5" s="30"/>
      <c r="E5" s="30"/>
      <c r="F5" s="30"/>
      <c r="G5" s="30"/>
      <c r="I5" s="31" t="s">
        <v>7</v>
      </c>
      <c r="J5" s="30"/>
      <c r="K5" s="30"/>
      <c r="L5" s="30"/>
      <c r="M5" s="30"/>
      <c r="N5" s="30"/>
      <c r="O5" s="30"/>
      <c r="AH5" s="31" t="s">
        <v>7</v>
      </c>
      <c r="AI5" s="30"/>
      <c r="AJ5" s="30"/>
      <c r="AK5" s="30"/>
      <c r="AL5" s="30"/>
      <c r="AM5" s="30"/>
      <c r="AN5" s="30"/>
      <c r="BG5" s="31" t="s">
        <v>7</v>
      </c>
      <c r="BH5" s="30"/>
      <c r="BI5" s="30"/>
      <c r="BJ5" s="30"/>
      <c r="BK5" s="30"/>
      <c r="BL5" s="30"/>
      <c r="BM5" s="30"/>
      <c r="CF5" s="4" t="s">
        <v>75</v>
      </c>
      <c r="CG5" s="41">
        <v>0.95</v>
      </c>
      <c r="CH5" s="61" t="s">
        <v>69</v>
      </c>
    </row>
    <row r="6" spans="1:98" x14ac:dyDescent="0.25">
      <c r="A6" s="29"/>
      <c r="B6" s="29"/>
      <c r="C6" s="28">
        <v>1</v>
      </c>
      <c r="D6" s="28">
        <v>2</v>
      </c>
      <c r="E6" s="28">
        <v>3</v>
      </c>
      <c r="F6" s="28">
        <v>4</v>
      </c>
      <c r="G6" s="28">
        <v>5</v>
      </c>
      <c r="I6" s="29"/>
      <c r="J6" s="29"/>
      <c r="K6" s="28">
        <v>1</v>
      </c>
      <c r="L6" s="28">
        <v>2</v>
      </c>
      <c r="M6" s="28">
        <v>3</v>
      </c>
      <c r="N6" s="28">
        <v>4</v>
      </c>
      <c r="O6" s="28">
        <v>5</v>
      </c>
      <c r="AH6" s="29"/>
      <c r="AI6" s="29"/>
      <c r="AJ6" s="28">
        <v>1</v>
      </c>
      <c r="AK6" s="28">
        <v>2</v>
      </c>
      <c r="AL6" s="28">
        <v>3</v>
      </c>
      <c r="AM6" s="28">
        <v>4</v>
      </c>
      <c r="AN6" s="28">
        <v>5</v>
      </c>
      <c r="BG6" s="29"/>
      <c r="BH6" s="29"/>
      <c r="BI6" s="28">
        <v>1</v>
      </c>
      <c r="BJ6" s="28">
        <v>2</v>
      </c>
      <c r="BK6" s="28">
        <v>3</v>
      </c>
      <c r="BL6" s="28">
        <v>4</v>
      </c>
      <c r="BM6" s="28">
        <v>5</v>
      </c>
      <c r="CF6" s="4" t="s">
        <v>76</v>
      </c>
      <c r="CG6" s="41">
        <v>0.75</v>
      </c>
      <c r="CH6" s="61" t="s">
        <v>70</v>
      </c>
    </row>
    <row r="7" spans="1:98" ht="15" customHeight="1" x14ac:dyDescent="0.25">
      <c r="A7" s="28" t="s">
        <v>42</v>
      </c>
      <c r="B7" s="29" t="s">
        <v>48</v>
      </c>
      <c r="C7" s="28" t="s">
        <v>55</v>
      </c>
      <c r="D7" s="28" t="s">
        <v>54</v>
      </c>
      <c r="E7" s="28" t="s">
        <v>56</v>
      </c>
      <c r="F7" s="28" t="s">
        <v>57</v>
      </c>
      <c r="G7" s="28" t="s">
        <v>58</v>
      </c>
      <c r="I7" s="28" t="s">
        <v>42</v>
      </c>
      <c r="J7" s="29" t="s">
        <v>48</v>
      </c>
      <c r="K7" s="28" t="s">
        <v>55</v>
      </c>
      <c r="L7" s="28" t="s">
        <v>54</v>
      </c>
      <c r="M7" s="28" t="s">
        <v>56</v>
      </c>
      <c r="N7" s="28" t="s">
        <v>57</v>
      </c>
      <c r="O7" s="28" t="s">
        <v>58</v>
      </c>
      <c r="AH7" s="28" t="s">
        <v>42</v>
      </c>
      <c r="AI7" s="29" t="s">
        <v>48</v>
      </c>
      <c r="AJ7" s="28" t="s">
        <v>55</v>
      </c>
      <c r="AK7" s="28" t="s">
        <v>54</v>
      </c>
      <c r="AL7" s="28" t="s">
        <v>56</v>
      </c>
      <c r="AM7" s="28" t="s">
        <v>57</v>
      </c>
      <c r="AN7" s="28" t="s">
        <v>58</v>
      </c>
      <c r="BG7" s="28" t="s">
        <v>42</v>
      </c>
      <c r="BH7" s="29" t="s">
        <v>48</v>
      </c>
      <c r="BI7" s="28" t="s">
        <v>55</v>
      </c>
      <c r="BJ7" s="28" t="s">
        <v>54</v>
      </c>
      <c r="BK7" s="28" t="s">
        <v>56</v>
      </c>
      <c r="BL7" s="28" t="s">
        <v>57</v>
      </c>
      <c r="BM7" s="28" t="s">
        <v>58</v>
      </c>
      <c r="CF7" s="4" t="s">
        <v>77</v>
      </c>
      <c r="CG7" s="41">
        <v>0.6</v>
      </c>
      <c r="CH7" s="61" t="s">
        <v>71</v>
      </c>
    </row>
    <row r="8" spans="1:98" x14ac:dyDescent="0.25">
      <c r="A8" s="34">
        <v>1</v>
      </c>
      <c r="B8" s="30" t="s">
        <v>2</v>
      </c>
      <c r="C8" s="56">
        <f>K8</f>
        <v>0.56000000000000005</v>
      </c>
      <c r="D8" s="56">
        <f t="shared" ref="D8:D12" si="0">L8</f>
        <v>0.59</v>
      </c>
      <c r="E8" s="56">
        <f t="shared" ref="E8:E12" si="1">M8</f>
        <v>0.63</v>
      </c>
      <c r="F8" s="56">
        <f t="shared" ref="F8:F12" si="2">N8</f>
        <v>0.66</v>
      </c>
      <c r="G8" s="56">
        <f t="shared" ref="G8:G12" si="3">O8</f>
        <v>0.56999999999999995</v>
      </c>
      <c r="I8" s="34">
        <v>1</v>
      </c>
      <c r="J8" s="30" t="s">
        <v>2</v>
      </c>
      <c r="K8" s="52">
        <v>0.56000000000000005</v>
      </c>
      <c r="L8" s="42">
        <v>0.59</v>
      </c>
      <c r="M8" s="42">
        <v>0.63</v>
      </c>
      <c r="N8" s="42">
        <v>0.66</v>
      </c>
      <c r="O8" s="53">
        <v>0.56999999999999995</v>
      </c>
      <c r="AH8" s="34">
        <v>1</v>
      </c>
      <c r="AI8" s="30" t="s">
        <v>2</v>
      </c>
      <c r="AJ8" s="51">
        <v>0.56000000000000005</v>
      </c>
      <c r="AK8" s="42">
        <v>0.59</v>
      </c>
      <c r="AL8" s="42">
        <v>0.63</v>
      </c>
      <c r="AM8" s="42">
        <v>0.66</v>
      </c>
      <c r="AN8" s="42">
        <v>0.54</v>
      </c>
      <c r="BG8" s="34">
        <v>1</v>
      </c>
      <c r="BH8" s="30" t="s">
        <v>2</v>
      </c>
      <c r="BI8" s="48"/>
      <c r="BJ8" s="41">
        <v>0.59</v>
      </c>
      <c r="BK8" s="41">
        <v>0.63</v>
      </c>
      <c r="BL8" s="41">
        <v>0.66</v>
      </c>
      <c r="BM8" s="41">
        <v>0.54</v>
      </c>
      <c r="CF8" s="4" t="s">
        <v>78</v>
      </c>
      <c r="CG8" s="41">
        <v>0.55000000000000004</v>
      </c>
      <c r="CH8" s="61" t="s">
        <v>72</v>
      </c>
    </row>
    <row r="9" spans="1:98" x14ac:dyDescent="0.25">
      <c r="A9" s="34">
        <v>2</v>
      </c>
      <c r="B9" s="30" t="s">
        <v>3</v>
      </c>
      <c r="C9" s="56">
        <f t="shared" ref="C9:C12" si="4">K9</f>
        <v>0.82</v>
      </c>
      <c r="D9" s="56">
        <f t="shared" si="0"/>
        <v>0.74</v>
      </c>
      <c r="E9" s="56">
        <f t="shared" si="1"/>
        <v>0.66</v>
      </c>
      <c r="F9" s="56">
        <f t="shared" si="2"/>
        <v>0.6</v>
      </c>
      <c r="G9" s="56">
        <f t="shared" si="3"/>
        <v>0.53</v>
      </c>
      <c r="I9" s="34">
        <v>2</v>
      </c>
      <c r="J9" s="30" t="s">
        <v>3</v>
      </c>
      <c r="K9" s="54">
        <v>0.82</v>
      </c>
      <c r="L9" s="42">
        <v>0.74</v>
      </c>
      <c r="M9" s="53">
        <v>0.66</v>
      </c>
      <c r="N9" s="42">
        <v>0.6</v>
      </c>
      <c r="O9" s="42">
        <v>0.53</v>
      </c>
      <c r="AH9" s="34">
        <v>2</v>
      </c>
      <c r="AI9" s="30" t="s">
        <v>3</v>
      </c>
      <c r="AJ9" s="51">
        <v>0.61</v>
      </c>
      <c r="AK9" s="42">
        <v>0.74</v>
      </c>
      <c r="AL9" s="42">
        <v>0.63</v>
      </c>
      <c r="AM9" s="42">
        <v>0.6</v>
      </c>
      <c r="AN9" s="42">
        <v>0.53</v>
      </c>
      <c r="BG9" s="34">
        <v>2</v>
      </c>
      <c r="BH9" s="30" t="s">
        <v>3</v>
      </c>
      <c r="BI9" s="48"/>
      <c r="BJ9" s="41">
        <v>0.74</v>
      </c>
      <c r="BK9" s="41">
        <v>0.63</v>
      </c>
      <c r="BL9" s="41">
        <v>0.6</v>
      </c>
      <c r="BM9" s="41">
        <v>0.53</v>
      </c>
      <c r="CF9" s="4" t="s">
        <v>79</v>
      </c>
      <c r="CG9" s="41">
        <v>0.65</v>
      </c>
      <c r="CH9" s="61" t="s">
        <v>73</v>
      </c>
    </row>
    <row r="10" spans="1:98" x14ac:dyDescent="0.25">
      <c r="A10" s="34">
        <v>3</v>
      </c>
      <c r="B10" s="30" t="s">
        <v>4</v>
      </c>
      <c r="C10" s="56">
        <f t="shared" si="4"/>
        <v>0.91</v>
      </c>
      <c r="D10" s="56">
        <f t="shared" si="0"/>
        <v>0.78</v>
      </c>
      <c r="E10" s="56">
        <f t="shared" si="1"/>
        <v>0.67</v>
      </c>
      <c r="F10" s="56">
        <f t="shared" si="2"/>
        <v>0.57999999999999996</v>
      </c>
      <c r="G10" s="56">
        <f t="shared" si="3"/>
        <v>0.5</v>
      </c>
      <c r="I10" s="34">
        <v>3</v>
      </c>
      <c r="J10" s="30" t="s">
        <v>4</v>
      </c>
      <c r="K10" s="42">
        <v>0.91</v>
      </c>
      <c r="L10" s="42">
        <v>0.78</v>
      </c>
      <c r="M10" s="43">
        <v>0.67</v>
      </c>
      <c r="N10" s="42">
        <v>0.57999999999999996</v>
      </c>
      <c r="O10" s="42">
        <v>0.5</v>
      </c>
      <c r="AH10" s="34">
        <v>3</v>
      </c>
      <c r="AI10" s="30" t="s">
        <v>4</v>
      </c>
      <c r="AJ10" s="42">
        <v>0.91</v>
      </c>
      <c r="AK10" s="42">
        <v>0.78</v>
      </c>
      <c r="AL10" s="42">
        <v>0.57999999999999996</v>
      </c>
      <c r="AM10" s="42">
        <v>0.57999999999999996</v>
      </c>
      <c r="AN10" s="42">
        <v>0.5</v>
      </c>
      <c r="BG10" s="34">
        <v>3</v>
      </c>
      <c r="BH10" s="30" t="s">
        <v>4</v>
      </c>
      <c r="BI10" s="41">
        <v>0.91</v>
      </c>
      <c r="BJ10" s="41">
        <v>0.78</v>
      </c>
      <c r="BK10" s="41">
        <v>0.57999999999999996</v>
      </c>
      <c r="BL10" s="41">
        <v>0.57999999999999996</v>
      </c>
      <c r="BM10" s="41">
        <v>0.5</v>
      </c>
      <c r="CF10" s="4" t="s">
        <v>80</v>
      </c>
      <c r="CG10" s="41">
        <v>0.6</v>
      </c>
      <c r="CH10" s="61" t="s">
        <v>74</v>
      </c>
    </row>
    <row r="11" spans="1:98" x14ac:dyDescent="0.25">
      <c r="A11" s="34">
        <v>4</v>
      </c>
      <c r="B11" s="30" t="s">
        <v>5</v>
      </c>
      <c r="C11" s="56">
        <f t="shared" si="4"/>
        <v>0.52</v>
      </c>
      <c r="D11" s="56">
        <f t="shared" si="0"/>
        <v>0.54</v>
      </c>
      <c r="E11" s="56">
        <f t="shared" si="1"/>
        <v>0.56000000000000005</v>
      </c>
      <c r="F11" s="56">
        <f t="shared" si="2"/>
        <v>0.57999999999999996</v>
      </c>
      <c r="G11" s="56">
        <f t="shared" si="3"/>
        <v>0.6</v>
      </c>
      <c r="I11" s="34">
        <v>4</v>
      </c>
      <c r="J11" s="30" t="s">
        <v>5</v>
      </c>
      <c r="K11" s="51">
        <v>0.52</v>
      </c>
      <c r="L11" s="53">
        <v>0.54</v>
      </c>
      <c r="M11" s="43">
        <v>0.56000000000000005</v>
      </c>
      <c r="N11" s="42">
        <v>0.57999999999999996</v>
      </c>
      <c r="O11" s="52">
        <v>0.6</v>
      </c>
      <c r="AH11" s="34">
        <v>4</v>
      </c>
      <c r="AI11" s="30" t="s">
        <v>5</v>
      </c>
      <c r="AJ11" s="51">
        <v>0.53</v>
      </c>
      <c r="AK11" s="42">
        <v>0.51</v>
      </c>
      <c r="AL11" s="42">
        <v>0.85</v>
      </c>
      <c r="AM11" s="42">
        <v>0.57999999999999996</v>
      </c>
      <c r="AN11" s="51">
        <v>0.6</v>
      </c>
      <c r="BG11" s="34">
        <v>4</v>
      </c>
      <c r="BH11" s="30" t="s">
        <v>5</v>
      </c>
      <c r="BI11" s="48"/>
      <c r="BJ11" s="41">
        <v>0.51</v>
      </c>
      <c r="BK11" s="41">
        <v>0.85</v>
      </c>
      <c r="BL11" s="41">
        <v>0.57999999999999996</v>
      </c>
      <c r="BM11" s="48"/>
      <c r="CF11" s="30"/>
      <c r="CG11" s="62"/>
      <c r="CH11" s="30"/>
    </row>
    <row r="12" spans="1:98" x14ac:dyDescent="0.25">
      <c r="A12" s="34">
        <v>5</v>
      </c>
      <c r="B12" s="30" t="s">
        <v>6</v>
      </c>
      <c r="C12" s="56">
        <f t="shared" si="4"/>
        <v>0.61</v>
      </c>
      <c r="D12" s="56">
        <f t="shared" si="0"/>
        <v>0.64</v>
      </c>
      <c r="E12" s="56">
        <f t="shared" si="1"/>
        <v>0.71</v>
      </c>
      <c r="F12" s="56">
        <f t="shared" si="2"/>
        <v>0.79</v>
      </c>
      <c r="G12" s="56">
        <f t="shared" si="3"/>
        <v>0.87</v>
      </c>
      <c r="I12" s="34">
        <v>5</v>
      </c>
      <c r="J12" s="30" t="s">
        <v>6</v>
      </c>
      <c r="K12" s="51">
        <v>0.61</v>
      </c>
      <c r="L12" s="42">
        <v>0.64</v>
      </c>
      <c r="M12" s="53">
        <v>0.71</v>
      </c>
      <c r="N12" s="53">
        <v>0.79</v>
      </c>
      <c r="O12" s="51">
        <v>0.87</v>
      </c>
      <c r="AH12" s="34">
        <v>5</v>
      </c>
      <c r="AI12" s="30" t="s">
        <v>6</v>
      </c>
      <c r="AJ12" s="51">
        <v>0.63</v>
      </c>
      <c r="AK12" s="42">
        <v>0.64</v>
      </c>
      <c r="AL12" s="42">
        <v>0.67</v>
      </c>
      <c r="AM12" s="42">
        <v>0.83</v>
      </c>
      <c r="AN12" s="51">
        <v>0.83</v>
      </c>
      <c r="BG12" s="34">
        <v>5</v>
      </c>
      <c r="BH12" s="30" t="s">
        <v>6</v>
      </c>
      <c r="BI12" s="48"/>
      <c r="BJ12" s="41">
        <v>0.64</v>
      </c>
      <c r="BK12" s="41">
        <v>0.67</v>
      </c>
      <c r="BL12" s="41">
        <v>0.83</v>
      </c>
      <c r="BM12" s="48"/>
      <c r="CF12" s="4" t="s">
        <v>81</v>
      </c>
      <c r="CG12" s="63">
        <v>10</v>
      </c>
      <c r="CH12" s="30"/>
    </row>
    <row r="13" spans="1:98" x14ac:dyDescent="0.25">
      <c r="C13" s="18"/>
      <c r="D13" s="18"/>
      <c r="E13" s="18"/>
      <c r="F13" s="18"/>
      <c r="G13" s="18"/>
      <c r="K13" s="18"/>
      <c r="L13" s="18"/>
      <c r="M13" s="18"/>
      <c r="N13" s="18"/>
      <c r="O13" s="18"/>
      <c r="AJ13" s="18"/>
      <c r="AK13" s="18"/>
      <c r="AL13" s="18"/>
      <c r="AM13" s="18"/>
      <c r="AN13" s="18"/>
    </row>
    <row r="14" spans="1:98" x14ac:dyDescent="0.25">
      <c r="A14" s="31" t="s">
        <v>8</v>
      </c>
      <c r="B14" s="30"/>
      <c r="C14" s="39"/>
      <c r="D14" s="39"/>
      <c r="E14" s="39"/>
      <c r="F14" s="39"/>
      <c r="G14" s="39"/>
      <c r="I14" s="31" t="s">
        <v>8</v>
      </c>
      <c r="J14" s="30"/>
      <c r="K14" s="39"/>
      <c r="L14" s="39"/>
      <c r="M14" s="39"/>
      <c r="N14" s="39"/>
      <c r="O14" s="39"/>
      <c r="AH14" s="31" t="s">
        <v>8</v>
      </c>
      <c r="AI14" s="30"/>
      <c r="AJ14" s="39"/>
      <c r="AK14" s="39"/>
      <c r="AL14" s="39"/>
      <c r="AM14" s="39"/>
      <c r="AN14" s="39"/>
      <c r="BG14" s="31" t="s">
        <v>8</v>
      </c>
      <c r="BH14" s="30"/>
      <c r="BI14" s="30"/>
      <c r="BJ14" s="30"/>
      <c r="BK14" s="30"/>
      <c r="BL14" s="30"/>
      <c r="BM14" s="30"/>
    </row>
    <row r="15" spans="1:98" x14ac:dyDescent="0.25">
      <c r="A15" s="29"/>
      <c r="B15" s="29"/>
      <c r="C15" s="38">
        <v>1</v>
      </c>
      <c r="D15" s="38">
        <v>2</v>
      </c>
      <c r="E15" s="38">
        <v>3</v>
      </c>
      <c r="F15" s="38">
        <v>4</v>
      </c>
      <c r="G15" s="38">
        <v>5</v>
      </c>
      <c r="I15" s="29"/>
      <c r="J15" s="29"/>
      <c r="K15" s="38">
        <v>1</v>
      </c>
      <c r="L15" s="38">
        <v>2</v>
      </c>
      <c r="M15" s="38">
        <v>3</v>
      </c>
      <c r="N15" s="38">
        <v>4</v>
      </c>
      <c r="O15" s="38">
        <v>5</v>
      </c>
      <c r="AH15" s="29"/>
      <c r="AI15" s="29"/>
      <c r="AJ15" s="38">
        <v>1</v>
      </c>
      <c r="AK15" s="38">
        <v>2</v>
      </c>
      <c r="AL15" s="38">
        <v>3</v>
      </c>
      <c r="AM15" s="38">
        <v>4</v>
      </c>
      <c r="AN15" s="38">
        <v>5</v>
      </c>
      <c r="BG15" s="29"/>
      <c r="BH15" s="29"/>
      <c r="BI15" s="28">
        <v>1</v>
      </c>
      <c r="BJ15" s="28">
        <v>2</v>
      </c>
      <c r="BK15" s="28">
        <v>3</v>
      </c>
      <c r="BL15" s="28">
        <v>4</v>
      </c>
      <c r="BM15" s="28">
        <v>5</v>
      </c>
    </row>
    <row r="16" spans="1:98" ht="15" customHeight="1" x14ac:dyDescent="0.25">
      <c r="A16" s="28" t="s">
        <v>42</v>
      </c>
      <c r="B16" s="29" t="s">
        <v>48</v>
      </c>
      <c r="C16" s="38" t="s">
        <v>55</v>
      </c>
      <c r="D16" s="38" t="s">
        <v>54</v>
      </c>
      <c r="E16" s="38" t="s">
        <v>56</v>
      </c>
      <c r="F16" s="38" t="s">
        <v>57</v>
      </c>
      <c r="G16" s="38" t="s">
        <v>58</v>
      </c>
      <c r="I16" s="28" t="s">
        <v>42</v>
      </c>
      <c r="J16" s="29" t="s">
        <v>48</v>
      </c>
      <c r="K16" s="38" t="s">
        <v>55</v>
      </c>
      <c r="L16" s="38" t="s">
        <v>54</v>
      </c>
      <c r="M16" s="38" t="s">
        <v>56</v>
      </c>
      <c r="N16" s="38" t="s">
        <v>57</v>
      </c>
      <c r="O16" s="38" t="s">
        <v>58</v>
      </c>
      <c r="AH16" s="28" t="s">
        <v>42</v>
      </c>
      <c r="AI16" s="29" t="s">
        <v>48</v>
      </c>
      <c r="AJ16" s="38" t="s">
        <v>55</v>
      </c>
      <c r="AK16" s="38" t="s">
        <v>54</v>
      </c>
      <c r="AL16" s="38" t="s">
        <v>56</v>
      </c>
      <c r="AM16" s="38" t="s">
        <v>57</v>
      </c>
      <c r="AN16" s="38" t="s">
        <v>58</v>
      </c>
      <c r="BG16" s="28" t="s">
        <v>42</v>
      </c>
      <c r="BH16" s="29" t="s">
        <v>48</v>
      </c>
      <c r="BI16" s="28" t="s">
        <v>55</v>
      </c>
      <c r="BJ16" s="28" t="s">
        <v>54</v>
      </c>
      <c r="BK16" s="28" t="s">
        <v>56</v>
      </c>
      <c r="BL16" s="28" t="s">
        <v>57</v>
      </c>
      <c r="BM16" s="28" t="s">
        <v>58</v>
      </c>
    </row>
    <row r="17" spans="1:65" ht="15" customHeight="1" x14ac:dyDescent="0.25">
      <c r="A17" s="34">
        <v>1</v>
      </c>
      <c r="B17" s="30" t="s">
        <v>2</v>
      </c>
      <c r="C17" s="56">
        <f>K17</f>
        <v>0.57999999999999996</v>
      </c>
      <c r="D17" s="56">
        <f t="shared" ref="D17:D21" si="5">L17</f>
        <v>0.6</v>
      </c>
      <c r="E17" s="56">
        <f t="shared" ref="E17:E21" si="6">M17</f>
        <v>0.62</v>
      </c>
      <c r="F17" s="56">
        <f t="shared" ref="F17:F21" si="7">N17</f>
        <v>0.64</v>
      </c>
      <c r="G17" s="56">
        <f t="shared" ref="G17:G21" si="8">O17</f>
        <v>0.52</v>
      </c>
      <c r="I17" s="34">
        <v>1</v>
      </c>
      <c r="J17" s="30" t="s">
        <v>2</v>
      </c>
      <c r="K17" s="51">
        <v>0.57999999999999996</v>
      </c>
      <c r="L17" s="42">
        <v>0.6</v>
      </c>
      <c r="M17" s="53">
        <v>0.62</v>
      </c>
      <c r="N17" s="42">
        <v>0.64</v>
      </c>
      <c r="O17" s="42">
        <v>0.52</v>
      </c>
      <c r="AH17" s="34">
        <v>1</v>
      </c>
      <c r="AI17" s="30" t="s">
        <v>2</v>
      </c>
      <c r="AJ17" s="51">
        <v>0.56999999999999995</v>
      </c>
      <c r="AK17" s="42">
        <v>0.6</v>
      </c>
      <c r="AL17" s="42">
        <v>0.61</v>
      </c>
      <c r="AM17" s="42">
        <v>0.64</v>
      </c>
      <c r="AN17" s="42">
        <v>0.52</v>
      </c>
      <c r="BG17" s="34">
        <v>1</v>
      </c>
      <c r="BH17" s="30" t="s">
        <v>2</v>
      </c>
      <c r="BI17" s="48"/>
      <c r="BJ17" s="41">
        <v>0.6</v>
      </c>
      <c r="BK17" s="41">
        <v>0.61</v>
      </c>
      <c r="BL17" s="41">
        <v>0.64</v>
      </c>
      <c r="BM17" s="41">
        <v>0.52</v>
      </c>
    </row>
    <row r="18" spans="1:65" x14ac:dyDescent="0.25">
      <c r="A18" s="34">
        <v>2</v>
      </c>
      <c r="B18" s="30" t="s">
        <v>3</v>
      </c>
      <c r="C18" s="56">
        <f t="shared" ref="C18:C21" si="9">K18</f>
        <v>0.75</v>
      </c>
      <c r="D18" s="56">
        <f t="shared" si="5"/>
        <v>0.68</v>
      </c>
      <c r="E18" s="56">
        <f t="shared" si="6"/>
        <v>0.61</v>
      </c>
      <c r="F18" s="56">
        <f t="shared" si="7"/>
        <v>0.55000000000000004</v>
      </c>
      <c r="G18" s="56">
        <f t="shared" si="8"/>
        <v>0.48</v>
      </c>
      <c r="I18" s="34">
        <v>2</v>
      </c>
      <c r="J18" s="30" t="s">
        <v>3</v>
      </c>
      <c r="K18" s="54">
        <v>0.75</v>
      </c>
      <c r="L18" s="42">
        <v>0.68</v>
      </c>
      <c r="M18" s="42">
        <v>0.61</v>
      </c>
      <c r="N18" s="53">
        <v>0.55000000000000004</v>
      </c>
      <c r="O18" s="42">
        <v>0.48</v>
      </c>
      <c r="AH18" s="34">
        <v>2</v>
      </c>
      <c r="AI18" s="30" t="s">
        <v>3</v>
      </c>
      <c r="AJ18" s="51">
        <v>0.6</v>
      </c>
      <c r="AK18" s="42">
        <v>0.68</v>
      </c>
      <c r="AL18" s="42">
        <v>0.61</v>
      </c>
      <c r="AM18" s="42">
        <v>0.56000000000000005</v>
      </c>
      <c r="AN18" s="42">
        <v>0.48</v>
      </c>
      <c r="BG18" s="34">
        <v>2</v>
      </c>
      <c r="BH18" s="30" t="s">
        <v>3</v>
      </c>
      <c r="BI18" s="48"/>
      <c r="BJ18" s="41">
        <v>0.68</v>
      </c>
      <c r="BK18" s="41">
        <v>0.61</v>
      </c>
      <c r="BL18" s="41">
        <v>0.56000000000000005</v>
      </c>
      <c r="BM18" s="41">
        <v>0.48</v>
      </c>
    </row>
    <row r="19" spans="1:65" x14ac:dyDescent="0.25">
      <c r="A19" s="34">
        <v>3</v>
      </c>
      <c r="B19" s="30" t="s">
        <v>4</v>
      </c>
      <c r="C19" s="56">
        <f t="shared" si="9"/>
        <v>0.79</v>
      </c>
      <c r="D19" s="56">
        <f t="shared" si="5"/>
        <v>0.7</v>
      </c>
      <c r="E19" s="56">
        <f t="shared" si="6"/>
        <v>0.61</v>
      </c>
      <c r="F19" s="56">
        <f t="shared" si="7"/>
        <v>0.53</v>
      </c>
      <c r="G19" s="56">
        <f t="shared" si="8"/>
        <v>0.45</v>
      </c>
      <c r="I19" s="34">
        <v>3</v>
      </c>
      <c r="J19" s="30" t="s">
        <v>4</v>
      </c>
      <c r="K19" s="53">
        <v>0.79</v>
      </c>
      <c r="L19" s="53">
        <v>0.7</v>
      </c>
      <c r="M19" s="43">
        <v>0.61</v>
      </c>
      <c r="N19" s="42">
        <v>0.53</v>
      </c>
      <c r="O19" s="53">
        <v>0.45</v>
      </c>
      <c r="AH19" s="34">
        <v>3</v>
      </c>
      <c r="AI19" s="30" t="s">
        <v>4</v>
      </c>
      <c r="AJ19" s="42">
        <v>0.78</v>
      </c>
      <c r="AK19" s="42">
        <v>0.73</v>
      </c>
      <c r="AL19" s="42">
        <v>0.52</v>
      </c>
      <c r="AM19" s="42">
        <v>0.53</v>
      </c>
      <c r="AN19" s="42">
        <v>0.47</v>
      </c>
      <c r="BG19" s="34">
        <v>3</v>
      </c>
      <c r="BH19" s="30" t="s">
        <v>4</v>
      </c>
      <c r="BI19" s="41">
        <v>0.78</v>
      </c>
      <c r="BJ19" s="41">
        <v>0.73</v>
      </c>
      <c r="BK19" s="41">
        <v>0.52</v>
      </c>
      <c r="BL19" s="41">
        <v>0.53</v>
      </c>
      <c r="BM19" s="41">
        <v>0.47</v>
      </c>
    </row>
    <row r="20" spans="1:65" x14ac:dyDescent="0.25">
      <c r="A20" s="34">
        <v>4</v>
      </c>
      <c r="B20" s="30" t="s">
        <v>5</v>
      </c>
      <c r="C20" s="56">
        <f t="shared" si="9"/>
        <v>0.54</v>
      </c>
      <c r="D20" s="56">
        <f t="shared" si="5"/>
        <v>0.55000000000000004</v>
      </c>
      <c r="E20" s="56">
        <f t="shared" si="6"/>
        <v>0.56000000000000005</v>
      </c>
      <c r="F20" s="56">
        <f t="shared" si="7"/>
        <v>0.56999999999999995</v>
      </c>
      <c r="G20" s="56">
        <f t="shared" si="8"/>
        <v>0.57999999999999996</v>
      </c>
      <c r="I20" s="34">
        <v>4</v>
      </c>
      <c r="J20" s="30" t="s">
        <v>5</v>
      </c>
      <c r="K20" s="52">
        <v>0.54</v>
      </c>
      <c r="L20" s="53">
        <v>0.55000000000000004</v>
      </c>
      <c r="M20" s="53">
        <v>0.56000000000000005</v>
      </c>
      <c r="N20" s="53">
        <v>0.56999999999999995</v>
      </c>
      <c r="O20" s="51">
        <v>0.57999999999999996</v>
      </c>
      <c r="AH20" s="34">
        <v>4</v>
      </c>
      <c r="AI20" s="30" t="s">
        <v>5</v>
      </c>
      <c r="AJ20" s="51">
        <v>0.54</v>
      </c>
      <c r="AK20" s="42">
        <v>0.52</v>
      </c>
      <c r="AL20" s="42">
        <v>0.63</v>
      </c>
      <c r="AM20" s="42">
        <v>0.56000000000000005</v>
      </c>
      <c r="AN20" s="51">
        <v>0.54</v>
      </c>
      <c r="BG20" s="34">
        <v>4</v>
      </c>
      <c r="BH20" s="30" t="s">
        <v>5</v>
      </c>
      <c r="BI20" s="48"/>
      <c r="BJ20" s="41">
        <v>0.52</v>
      </c>
      <c r="BK20" s="41">
        <v>0.63</v>
      </c>
      <c r="BL20" s="41">
        <v>0.56000000000000005</v>
      </c>
      <c r="BM20" s="48"/>
    </row>
    <row r="21" spans="1:65" x14ac:dyDescent="0.25">
      <c r="A21" s="34">
        <v>5</v>
      </c>
      <c r="B21" s="30" t="s">
        <v>6</v>
      </c>
      <c r="C21" s="56">
        <f t="shared" si="9"/>
        <v>0.47</v>
      </c>
      <c r="D21" s="56">
        <f t="shared" si="5"/>
        <v>0.48</v>
      </c>
      <c r="E21" s="56">
        <f t="shared" si="6"/>
        <v>0.5</v>
      </c>
      <c r="F21" s="56">
        <f t="shared" si="7"/>
        <v>0.55000000000000004</v>
      </c>
      <c r="G21" s="56">
        <f t="shared" si="8"/>
        <v>0.63</v>
      </c>
      <c r="I21" s="34">
        <v>5</v>
      </c>
      <c r="J21" s="30" t="s">
        <v>6</v>
      </c>
      <c r="K21" s="54">
        <v>0.47</v>
      </c>
      <c r="L21" s="52">
        <v>0.48</v>
      </c>
      <c r="M21" s="42">
        <v>0.5</v>
      </c>
      <c r="N21" s="54">
        <v>0.55000000000000004</v>
      </c>
      <c r="O21" s="52">
        <v>0.63</v>
      </c>
      <c r="AH21" s="34">
        <v>5</v>
      </c>
      <c r="AI21" s="30" t="s">
        <v>6</v>
      </c>
      <c r="AJ21" s="51">
        <v>0.6</v>
      </c>
      <c r="AK21" s="50">
        <f>ROUND( AL21/AL12 * AK12,  2)</f>
        <v>0.48</v>
      </c>
      <c r="AL21" s="42">
        <v>0.5</v>
      </c>
      <c r="AM21" s="50">
        <f>ROUND( AL21/AL12 * AM12,  2)</f>
        <v>0.62</v>
      </c>
      <c r="AN21" s="51">
        <v>0.63</v>
      </c>
      <c r="BG21" s="34">
        <v>5</v>
      </c>
      <c r="BH21" s="30" t="s">
        <v>6</v>
      </c>
      <c r="BI21" s="48"/>
      <c r="BJ21" s="48"/>
      <c r="BK21" s="41">
        <v>0.5</v>
      </c>
      <c r="BL21" s="48"/>
      <c r="BM21" s="48"/>
    </row>
    <row r="22" spans="1:65" x14ac:dyDescent="0.25">
      <c r="C22" s="18"/>
      <c r="D22" s="18"/>
      <c r="E22" s="18"/>
      <c r="F22" s="18"/>
      <c r="G22" s="18"/>
      <c r="K22" s="18"/>
      <c r="L22" s="18"/>
      <c r="M22" s="18"/>
      <c r="N22" s="18"/>
      <c r="O22" s="18"/>
      <c r="AH22" s="32" t="s">
        <v>62</v>
      </c>
      <c r="AI22" s="32"/>
      <c r="AJ22" s="32"/>
      <c r="AK22" s="32"/>
      <c r="AL22" s="32"/>
      <c r="AM22" s="32"/>
      <c r="AN22" s="32"/>
    </row>
    <row r="23" spans="1:65" x14ac:dyDescent="0.25">
      <c r="C23" s="18"/>
      <c r="D23" s="18"/>
      <c r="E23" s="18"/>
      <c r="F23" s="18"/>
      <c r="G23" s="18"/>
      <c r="K23" s="18"/>
      <c r="L23" s="18"/>
      <c r="M23" s="18"/>
      <c r="N23" s="18"/>
      <c r="O23" s="18"/>
      <c r="AJ23" s="18"/>
      <c r="AK23" s="18"/>
      <c r="AL23" s="18"/>
      <c r="AM23" s="18"/>
      <c r="AN23" s="18"/>
    </row>
    <row r="24" spans="1:65" x14ac:dyDescent="0.25">
      <c r="A24" s="36" t="s">
        <v>59</v>
      </c>
      <c r="B24" s="37"/>
      <c r="C24" s="40"/>
      <c r="D24" s="40"/>
      <c r="E24" s="40"/>
      <c r="F24" s="40"/>
      <c r="G24" s="40"/>
      <c r="I24" s="36" t="s">
        <v>59</v>
      </c>
      <c r="J24" s="37"/>
      <c r="K24" s="40"/>
      <c r="L24" s="40"/>
      <c r="M24" s="40"/>
      <c r="N24" s="40"/>
      <c r="O24" s="40"/>
      <c r="AH24" s="36" t="s">
        <v>59</v>
      </c>
      <c r="AI24" s="37"/>
      <c r="AJ24" s="40"/>
      <c r="AK24" s="40"/>
      <c r="AL24" s="40"/>
      <c r="AM24" s="40"/>
      <c r="AN24" s="40"/>
      <c r="BG24" s="36" t="s">
        <v>59</v>
      </c>
      <c r="BH24" s="37"/>
      <c r="BI24" s="37"/>
      <c r="BJ24" s="37"/>
      <c r="BK24" s="37"/>
      <c r="BL24" s="37"/>
      <c r="BM24" s="37"/>
    </row>
    <row r="25" spans="1:65" ht="15" customHeight="1" x14ac:dyDescent="0.25">
      <c r="A25" s="29"/>
      <c r="B25" s="29"/>
      <c r="C25" s="38">
        <v>1</v>
      </c>
      <c r="D25" s="38">
        <v>2</v>
      </c>
      <c r="E25" s="38">
        <v>3</v>
      </c>
      <c r="F25" s="38">
        <v>4</v>
      </c>
      <c r="G25" s="38">
        <v>5</v>
      </c>
      <c r="I25" s="29"/>
      <c r="J25" s="29"/>
      <c r="K25" s="38">
        <v>1</v>
      </c>
      <c r="L25" s="38">
        <v>2</v>
      </c>
      <c r="M25" s="38">
        <v>3</v>
      </c>
      <c r="N25" s="38">
        <v>4</v>
      </c>
      <c r="O25" s="38">
        <v>5</v>
      </c>
      <c r="AH25" s="29"/>
      <c r="AI25" s="29"/>
      <c r="AJ25" s="38">
        <v>1</v>
      </c>
      <c r="AK25" s="38">
        <v>2</v>
      </c>
      <c r="AL25" s="38">
        <v>3</v>
      </c>
      <c r="AM25" s="38">
        <v>4</v>
      </c>
      <c r="AN25" s="38">
        <v>5</v>
      </c>
      <c r="BG25" s="29"/>
      <c r="BH25" s="29"/>
      <c r="BI25" s="28">
        <v>1</v>
      </c>
      <c r="BJ25" s="28">
        <v>2</v>
      </c>
      <c r="BK25" s="28">
        <v>3</v>
      </c>
      <c r="BL25" s="28">
        <v>4</v>
      </c>
      <c r="BM25" s="28">
        <v>5</v>
      </c>
    </row>
    <row r="26" spans="1:65" ht="15" customHeight="1" x14ac:dyDescent="0.25">
      <c r="A26" s="28" t="s">
        <v>42</v>
      </c>
      <c r="B26" s="29" t="s">
        <v>48</v>
      </c>
      <c r="C26" s="38" t="s">
        <v>55</v>
      </c>
      <c r="D26" s="38" t="s">
        <v>54</v>
      </c>
      <c r="E26" s="38" t="s">
        <v>56</v>
      </c>
      <c r="F26" s="38" t="s">
        <v>57</v>
      </c>
      <c r="G26" s="38" t="s">
        <v>58</v>
      </c>
      <c r="I26" s="28" t="s">
        <v>42</v>
      </c>
      <c r="J26" s="29" t="s">
        <v>48</v>
      </c>
      <c r="K26" s="38" t="s">
        <v>55</v>
      </c>
      <c r="L26" s="38" t="s">
        <v>54</v>
      </c>
      <c r="M26" s="38" t="s">
        <v>56</v>
      </c>
      <c r="N26" s="38" t="s">
        <v>57</v>
      </c>
      <c r="O26" s="38" t="s">
        <v>58</v>
      </c>
      <c r="AH26" s="28" t="s">
        <v>42</v>
      </c>
      <c r="AI26" s="29" t="s">
        <v>48</v>
      </c>
      <c r="AJ26" s="38" t="s">
        <v>55</v>
      </c>
      <c r="AK26" s="38" t="s">
        <v>54</v>
      </c>
      <c r="AL26" s="38" t="s">
        <v>56</v>
      </c>
      <c r="AM26" s="38" t="s">
        <v>57</v>
      </c>
      <c r="AN26" s="38" t="s">
        <v>58</v>
      </c>
      <c r="BG26" s="28" t="s">
        <v>42</v>
      </c>
      <c r="BH26" s="29" t="s">
        <v>48</v>
      </c>
      <c r="BI26" s="49" t="s">
        <v>55</v>
      </c>
      <c r="BJ26" s="49" t="s">
        <v>54</v>
      </c>
      <c r="BK26" s="49" t="s">
        <v>56</v>
      </c>
      <c r="BL26" s="49" t="s">
        <v>57</v>
      </c>
      <c r="BM26" s="49" t="s">
        <v>58</v>
      </c>
    </row>
    <row r="27" spans="1:65" x14ac:dyDescent="0.25">
      <c r="A27" s="34">
        <v>1</v>
      </c>
      <c r="B27" s="30" t="s">
        <v>2</v>
      </c>
      <c r="C27" s="56">
        <f>K27</f>
        <v>0.57999999999999996</v>
      </c>
      <c r="D27" s="56">
        <f t="shared" ref="D27:D31" si="10">L27</f>
        <v>0.6</v>
      </c>
      <c r="E27" s="56">
        <f t="shared" ref="E27:E31" si="11">M27</f>
        <v>0.62</v>
      </c>
      <c r="F27" s="56">
        <f t="shared" ref="F27:F31" si="12">N27</f>
        <v>0.64</v>
      </c>
      <c r="G27" s="56">
        <f t="shared" ref="G27:G31" si="13">O27</f>
        <v>0.53</v>
      </c>
      <c r="I27" s="34">
        <v>1</v>
      </c>
      <c r="J27" s="30" t="s">
        <v>2</v>
      </c>
      <c r="K27" s="51">
        <v>0.57999999999999996</v>
      </c>
      <c r="L27" s="42">
        <v>0.6</v>
      </c>
      <c r="M27" s="42">
        <v>0.62</v>
      </c>
      <c r="N27" s="53">
        <v>0.64</v>
      </c>
      <c r="O27" s="42">
        <v>0.53</v>
      </c>
      <c r="AH27" s="34">
        <v>1</v>
      </c>
      <c r="AI27" s="30" t="s">
        <v>2</v>
      </c>
      <c r="AJ27" s="51">
        <v>0.6</v>
      </c>
      <c r="AK27" s="42">
        <v>0.6</v>
      </c>
      <c r="AL27" s="42">
        <v>0.62</v>
      </c>
      <c r="AM27" s="42">
        <v>0.65</v>
      </c>
      <c r="AN27" s="42">
        <v>0.53</v>
      </c>
      <c r="BG27" s="34">
        <v>1</v>
      </c>
      <c r="BH27" s="30" t="s">
        <v>2</v>
      </c>
      <c r="BI27" s="48"/>
      <c r="BJ27" s="41">
        <v>0.6</v>
      </c>
      <c r="BK27" s="41">
        <v>0.62</v>
      </c>
      <c r="BL27" s="41">
        <v>0.65</v>
      </c>
      <c r="BM27" s="41">
        <v>0.53</v>
      </c>
    </row>
    <row r="28" spans="1:65" x14ac:dyDescent="0.25">
      <c r="A28" s="34">
        <v>2</v>
      </c>
      <c r="B28" s="30" t="s">
        <v>3</v>
      </c>
      <c r="C28" s="56">
        <f t="shared" ref="C28:C31" si="14">K28</f>
        <v>0.8</v>
      </c>
      <c r="D28" s="56">
        <f t="shared" si="10"/>
        <v>0.72</v>
      </c>
      <c r="E28" s="56">
        <f t="shared" si="11"/>
        <v>0.64</v>
      </c>
      <c r="F28" s="56">
        <f t="shared" si="12"/>
        <v>0.57999999999999996</v>
      </c>
      <c r="G28" s="56">
        <f t="shared" si="13"/>
        <v>0.51</v>
      </c>
      <c r="I28" s="34">
        <v>2</v>
      </c>
      <c r="J28" s="30" t="s">
        <v>3</v>
      </c>
      <c r="K28" s="54">
        <v>0.8</v>
      </c>
      <c r="L28" s="42">
        <v>0.72</v>
      </c>
      <c r="M28" s="53">
        <v>0.64</v>
      </c>
      <c r="N28" s="42">
        <v>0.57999999999999996</v>
      </c>
      <c r="O28" s="42">
        <v>0.51</v>
      </c>
      <c r="AH28" s="34">
        <v>2</v>
      </c>
      <c r="AI28" s="30" t="s">
        <v>3</v>
      </c>
      <c r="AJ28" s="51">
        <v>0.63</v>
      </c>
      <c r="AK28" s="42">
        <v>0.72</v>
      </c>
      <c r="AL28" s="42">
        <v>0.62</v>
      </c>
      <c r="AM28" s="42">
        <v>0.57999999999999996</v>
      </c>
      <c r="AN28" s="42">
        <v>0.51</v>
      </c>
      <c r="BG28" s="34">
        <v>2</v>
      </c>
      <c r="BH28" s="30" t="s">
        <v>3</v>
      </c>
      <c r="BI28" s="48"/>
      <c r="BJ28" s="41">
        <v>0.72</v>
      </c>
      <c r="BK28" s="41">
        <v>0.62</v>
      </c>
      <c r="BL28" s="41">
        <v>0.57999999999999996</v>
      </c>
      <c r="BM28" s="41">
        <v>0.51</v>
      </c>
    </row>
    <row r="29" spans="1:65" x14ac:dyDescent="0.25">
      <c r="A29" s="34">
        <v>3</v>
      </c>
      <c r="B29" s="30" t="s">
        <v>4</v>
      </c>
      <c r="C29" s="56">
        <f t="shared" si="14"/>
        <v>0.85</v>
      </c>
      <c r="D29" s="56">
        <f t="shared" si="10"/>
        <v>0.75</v>
      </c>
      <c r="E29" s="56">
        <f t="shared" si="11"/>
        <v>0.65</v>
      </c>
      <c r="F29" s="56">
        <f t="shared" si="12"/>
        <v>0.56000000000000005</v>
      </c>
      <c r="G29" s="56">
        <f t="shared" si="13"/>
        <v>0.49</v>
      </c>
      <c r="I29" s="34">
        <v>3</v>
      </c>
      <c r="J29" s="30" t="s">
        <v>4</v>
      </c>
      <c r="K29" s="53">
        <v>0.85</v>
      </c>
      <c r="L29" s="53">
        <v>0.75</v>
      </c>
      <c r="M29" s="43">
        <v>0.65</v>
      </c>
      <c r="N29" s="42">
        <v>0.56000000000000005</v>
      </c>
      <c r="O29" s="42">
        <v>0.49</v>
      </c>
      <c r="AH29" s="34">
        <v>3</v>
      </c>
      <c r="AI29" s="30" t="s">
        <v>4</v>
      </c>
      <c r="AJ29" s="42">
        <v>0.84</v>
      </c>
      <c r="AK29" s="42">
        <v>0.76</v>
      </c>
      <c r="AL29" s="42">
        <v>0.55000000000000004</v>
      </c>
      <c r="AM29" s="42">
        <v>0.56000000000000005</v>
      </c>
      <c r="AN29" s="42">
        <v>0.49</v>
      </c>
      <c r="BG29" s="34">
        <v>3</v>
      </c>
      <c r="BH29" s="30" t="s">
        <v>4</v>
      </c>
      <c r="BI29" s="41">
        <v>0.84</v>
      </c>
      <c r="BJ29" s="41">
        <v>0.76</v>
      </c>
      <c r="BK29" s="41">
        <v>0.55000000000000004</v>
      </c>
      <c r="BL29" s="41">
        <v>0.56000000000000005</v>
      </c>
      <c r="BM29" s="41">
        <v>0.49</v>
      </c>
    </row>
    <row r="30" spans="1:65" x14ac:dyDescent="0.25">
      <c r="A30" s="34">
        <v>4</v>
      </c>
      <c r="B30" s="30" t="s">
        <v>5</v>
      </c>
      <c r="C30" s="56">
        <f t="shared" si="14"/>
        <v>0.53</v>
      </c>
      <c r="D30" s="56">
        <f t="shared" si="10"/>
        <v>0.54</v>
      </c>
      <c r="E30" s="56">
        <f t="shared" si="11"/>
        <v>0.56000000000000005</v>
      </c>
      <c r="F30" s="56">
        <f t="shared" si="12"/>
        <v>0.57999999999999996</v>
      </c>
      <c r="G30" s="56">
        <f t="shared" si="13"/>
        <v>0.59</v>
      </c>
      <c r="I30" s="34">
        <v>4</v>
      </c>
      <c r="J30" s="30" t="s">
        <v>5</v>
      </c>
      <c r="K30" s="51">
        <v>0.53</v>
      </c>
      <c r="L30" s="53">
        <v>0.54</v>
      </c>
      <c r="M30" s="43">
        <v>0.56000000000000005</v>
      </c>
      <c r="N30" s="53">
        <v>0.57999999999999996</v>
      </c>
      <c r="O30" s="51">
        <v>0.59</v>
      </c>
      <c r="AH30" s="34">
        <v>4</v>
      </c>
      <c r="AI30" s="30" t="s">
        <v>5</v>
      </c>
      <c r="AJ30" s="51">
        <v>0.51</v>
      </c>
      <c r="AK30" s="42">
        <v>0.51</v>
      </c>
      <c r="AL30" s="42">
        <v>0.76</v>
      </c>
      <c r="AM30" s="42">
        <v>0.56999999999999995</v>
      </c>
      <c r="AN30" s="51">
        <v>0.53</v>
      </c>
      <c r="BG30" s="34">
        <v>4</v>
      </c>
      <c r="BH30" s="30" t="s">
        <v>5</v>
      </c>
      <c r="BI30" s="48"/>
      <c r="BJ30" s="41">
        <v>0.51</v>
      </c>
      <c r="BK30" s="41">
        <v>0.76</v>
      </c>
      <c r="BL30" s="41">
        <v>0.56999999999999995</v>
      </c>
      <c r="BM30" s="48"/>
    </row>
    <row r="31" spans="1:65" x14ac:dyDescent="0.25">
      <c r="A31" s="34">
        <v>5</v>
      </c>
      <c r="B31" s="30" t="s">
        <v>6</v>
      </c>
      <c r="C31" s="56">
        <f t="shared" si="14"/>
        <v>0.62</v>
      </c>
      <c r="D31" s="56">
        <f t="shared" si="10"/>
        <v>0.64</v>
      </c>
      <c r="E31" s="56">
        <f t="shared" si="11"/>
        <v>0.69</v>
      </c>
      <c r="F31" s="56">
        <f t="shared" si="12"/>
        <v>0.76</v>
      </c>
      <c r="G31" s="56">
        <f t="shared" si="13"/>
        <v>0.84</v>
      </c>
      <c r="I31" s="34">
        <v>5</v>
      </c>
      <c r="J31" s="30" t="s">
        <v>6</v>
      </c>
      <c r="K31" s="52">
        <v>0.62</v>
      </c>
      <c r="L31" s="42">
        <v>0.64</v>
      </c>
      <c r="M31" s="53">
        <v>0.69</v>
      </c>
      <c r="N31" s="43">
        <v>0.76</v>
      </c>
      <c r="O31" s="54">
        <v>0.84</v>
      </c>
      <c r="AH31" s="34">
        <v>5</v>
      </c>
      <c r="AI31" s="30" t="s">
        <v>6</v>
      </c>
      <c r="AJ31" s="51">
        <v>0.62</v>
      </c>
      <c r="AK31" s="42">
        <v>0.64</v>
      </c>
      <c r="AL31" s="42">
        <v>0.64</v>
      </c>
      <c r="AM31" s="42">
        <v>0.83</v>
      </c>
      <c r="AN31" s="51">
        <v>0.71</v>
      </c>
      <c r="BG31" s="34">
        <v>5</v>
      </c>
      <c r="BH31" s="30" t="s">
        <v>6</v>
      </c>
      <c r="BI31" s="48"/>
      <c r="BJ31" s="41">
        <v>0.64</v>
      </c>
      <c r="BK31" s="41">
        <v>0.64</v>
      </c>
      <c r="BL31" s="41">
        <v>0.83</v>
      </c>
      <c r="BM31" s="48"/>
    </row>
    <row r="33" spans="9:65" x14ac:dyDescent="0.25">
      <c r="I33" s="22" t="s">
        <v>28</v>
      </c>
      <c r="AH33" s="22" t="s">
        <v>28</v>
      </c>
      <c r="BG33" s="22" t="s">
        <v>28</v>
      </c>
    </row>
    <row r="34" spans="9:65" x14ac:dyDescent="0.25">
      <c r="J34" s="45" t="s">
        <v>61</v>
      </c>
      <c r="K34" s="47" t="str">
        <f>$BI34</f>
        <v>Rur</v>
      </c>
      <c r="L34" s="47" t="str">
        <f>$BJ34</f>
        <v>Trn</v>
      </c>
      <c r="M34" s="47" t="str">
        <f>$BK34</f>
        <v>Sub</v>
      </c>
      <c r="N34" s="47" t="str">
        <f>$BL34</f>
        <v>Urb</v>
      </c>
      <c r="O34" s="47" t="str">
        <f>$BM34</f>
        <v>CBD</v>
      </c>
      <c r="AI34" s="45" t="s">
        <v>61</v>
      </c>
      <c r="AJ34" s="47" t="str">
        <f>$BI34</f>
        <v>Rur</v>
      </c>
      <c r="AK34" s="47" t="str">
        <f>$BJ34</f>
        <v>Trn</v>
      </c>
      <c r="AL34" s="47" t="str">
        <f>$BK34</f>
        <v>Sub</v>
      </c>
      <c r="AM34" s="47" t="str">
        <f>$BL34</f>
        <v>Urb</v>
      </c>
      <c r="AN34" s="47" t="str">
        <f>$BM34</f>
        <v>CBD</v>
      </c>
      <c r="BH34" s="45" t="s">
        <v>61</v>
      </c>
      <c r="BI34" s="46" t="s">
        <v>49</v>
      </c>
      <c r="BJ34" s="46" t="s">
        <v>50</v>
      </c>
      <c r="BK34" s="46" t="s">
        <v>51</v>
      </c>
      <c r="BL34" s="46" t="s">
        <v>52</v>
      </c>
      <c r="BM34" s="46" t="s">
        <v>53</v>
      </c>
    </row>
  </sheetData>
  <hyperlinks>
    <hyperlink ref="BI3" r:id="rId1" xr:uid="{8BA56CCF-F85B-4BB6-BAD0-A3DC7589F7D8}"/>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6418-6797-44A1-B2C2-548F42823C00}">
  <sheetPr>
    <tabColor theme="0" tint="-0.499984740745262"/>
  </sheetPr>
  <dimension ref="A1:DC31"/>
  <sheetViews>
    <sheetView topLeftCell="F1" zoomScale="85" zoomScaleNormal="85" workbookViewId="0">
      <selection activeCell="V1" sqref="V1"/>
    </sheetView>
  </sheetViews>
  <sheetFormatPr defaultRowHeight="15" x14ac:dyDescent="0.25"/>
  <cols>
    <col min="1" max="3" width="9.140625" style="1"/>
    <col min="4" max="5" width="12.42578125" style="1" bestFit="1" customWidth="1"/>
    <col min="6" max="6" width="12" style="1" bestFit="1" customWidth="1"/>
    <col min="7" max="8" width="11.42578125" style="1" bestFit="1" customWidth="1"/>
    <col min="9" max="22" width="9.140625" style="1"/>
    <col min="23" max="23" width="10.5703125" style="1" customWidth="1"/>
    <col min="24" max="24" width="9.140625" style="1"/>
    <col min="25" max="25" width="12.42578125" style="1" bestFit="1" customWidth="1"/>
    <col min="26" max="26" width="12" style="1" bestFit="1" customWidth="1"/>
    <col min="27" max="27" width="12.42578125" style="1" bestFit="1" customWidth="1"/>
    <col min="28" max="28" width="12" style="1" bestFit="1" customWidth="1"/>
    <col min="29" max="30" width="11.42578125" style="1" bestFit="1" customWidth="1"/>
    <col min="31" max="41" width="9.140625" style="1"/>
    <col min="42" max="42" width="12.42578125" style="1" bestFit="1" customWidth="1"/>
    <col min="43" max="43" width="12" style="1" bestFit="1" customWidth="1"/>
    <col min="44" max="44" width="9.140625" style="1"/>
    <col min="45" max="45" width="11.42578125" style="1" bestFit="1" customWidth="1"/>
    <col min="46" max="49" width="9.140625" style="1"/>
    <col min="50" max="50" width="11.42578125" style="1" bestFit="1" customWidth="1"/>
    <col min="51" max="51" width="12" style="1" customWidth="1"/>
    <col min="52" max="102" width="9.140625" style="1"/>
    <col min="103" max="103" width="12.42578125" style="1" bestFit="1" customWidth="1"/>
    <col min="104" max="104" width="12" style="1" bestFit="1" customWidth="1"/>
    <col min="105" max="105" width="9.140625" style="1"/>
    <col min="106" max="106" width="11.42578125" style="1" bestFit="1" customWidth="1"/>
    <col min="107" max="16384" width="9.140625" style="1"/>
  </cols>
  <sheetData>
    <row r="1" spans="1:107" s="33" customFormat="1" ht="23.25" x14ac:dyDescent="0.35">
      <c r="A1" s="3" t="s">
        <v>27</v>
      </c>
      <c r="B1" s="3"/>
      <c r="C1" s="3"/>
      <c r="D1" s="3"/>
      <c r="E1" s="3"/>
      <c r="F1" s="3"/>
      <c r="G1" s="3"/>
      <c r="H1" s="3"/>
      <c r="V1" s="3" t="s">
        <v>26</v>
      </c>
      <c r="W1" s="3"/>
      <c r="X1" s="3"/>
      <c r="Y1" s="3"/>
      <c r="Z1" s="3"/>
      <c r="AA1" s="3"/>
      <c r="AB1" s="3"/>
      <c r="AC1" s="3"/>
      <c r="AQ1" s="3" t="s">
        <v>22</v>
      </c>
      <c r="AR1" s="3"/>
      <c r="AS1" s="3"/>
      <c r="AT1" s="3"/>
      <c r="AU1" s="3"/>
      <c r="AV1" s="3"/>
      <c r="AW1" s="3"/>
      <c r="AX1" s="3"/>
      <c r="BL1" s="3" t="s">
        <v>20</v>
      </c>
      <c r="BM1" s="3"/>
      <c r="BN1" s="3"/>
      <c r="BO1" s="3"/>
      <c r="BP1" s="3"/>
      <c r="BQ1" s="3"/>
      <c r="BR1" s="3"/>
      <c r="BS1" s="3"/>
      <c r="CG1" s="3" t="s">
        <v>17</v>
      </c>
      <c r="CH1" s="3"/>
      <c r="CI1" s="3"/>
      <c r="CJ1" s="3"/>
      <c r="CK1" s="3"/>
      <c r="CL1" s="3"/>
      <c r="CM1" s="3"/>
      <c r="CN1" s="3"/>
      <c r="CV1" s="3" t="s">
        <v>16</v>
      </c>
      <c r="CW1" s="3"/>
      <c r="CX1" s="3"/>
      <c r="CY1" s="3"/>
      <c r="CZ1" s="3"/>
      <c r="DA1" s="3"/>
      <c r="DB1" s="3"/>
      <c r="DC1" s="3"/>
    </row>
    <row r="5" spans="1:107" x14ac:dyDescent="0.25">
      <c r="A5" s="15" t="s">
        <v>47</v>
      </c>
      <c r="B5" s="4"/>
      <c r="C5" s="4"/>
      <c r="D5" s="4"/>
      <c r="E5" s="4"/>
      <c r="F5" s="4"/>
      <c r="G5" s="4"/>
      <c r="H5" s="4"/>
      <c r="V5" s="15" t="s">
        <v>25</v>
      </c>
      <c r="W5" s="4"/>
      <c r="X5" s="4"/>
      <c r="Y5" s="4"/>
      <c r="Z5" s="4"/>
      <c r="AA5" s="4"/>
      <c r="AB5" s="4"/>
      <c r="AC5" s="4"/>
      <c r="AQ5" s="15" t="s">
        <v>23</v>
      </c>
      <c r="AR5" s="4"/>
      <c r="AS5" s="4"/>
      <c r="AT5" s="4"/>
      <c r="AU5" s="4"/>
      <c r="AV5" s="4"/>
      <c r="AW5" s="4"/>
      <c r="AX5" s="4"/>
      <c r="BL5" s="15" t="s">
        <v>21</v>
      </c>
      <c r="BM5" s="4"/>
      <c r="BN5" s="4"/>
      <c r="BO5" s="4"/>
      <c r="BP5" s="4"/>
      <c r="BQ5" s="4"/>
      <c r="BR5" s="4"/>
      <c r="BS5" s="4"/>
      <c r="CG5" s="15" t="s">
        <v>24</v>
      </c>
      <c r="CH5" s="4"/>
      <c r="CI5" s="4"/>
      <c r="CJ5" s="4"/>
      <c r="CK5" s="4"/>
      <c r="CL5" s="4"/>
      <c r="CM5" s="4"/>
      <c r="CN5" s="4"/>
      <c r="CV5" s="8" t="s">
        <v>14</v>
      </c>
      <c r="CW5" s="4"/>
      <c r="CX5" s="4"/>
      <c r="CY5" s="4"/>
      <c r="CZ5" s="4"/>
      <c r="DA5" s="4"/>
      <c r="DB5" s="4"/>
      <c r="DC5" s="4"/>
    </row>
    <row r="6" spans="1:107" x14ac:dyDescent="0.25">
      <c r="A6" s="4"/>
      <c r="B6" s="4"/>
      <c r="C6" s="4"/>
      <c r="D6" s="4"/>
      <c r="E6" s="4"/>
      <c r="F6" s="4"/>
      <c r="G6" s="4"/>
      <c r="H6" s="4"/>
      <c r="V6" s="4"/>
      <c r="W6" s="4"/>
      <c r="X6" s="4"/>
      <c r="Y6" s="4"/>
      <c r="Z6" s="4"/>
      <c r="AA6" s="4"/>
      <c r="AB6" s="4"/>
      <c r="AC6" s="4"/>
      <c r="AQ6" s="4"/>
      <c r="AR6" s="4"/>
      <c r="AS6" s="4"/>
      <c r="AT6" s="4"/>
      <c r="AU6" s="4"/>
      <c r="AV6" s="4"/>
      <c r="AW6" s="4"/>
      <c r="AX6" s="4"/>
      <c r="BL6" s="4"/>
      <c r="BM6" s="4"/>
      <c r="BN6" s="4"/>
      <c r="BO6" s="4"/>
      <c r="BP6" s="4"/>
      <c r="BQ6" s="4"/>
      <c r="BR6" s="4"/>
      <c r="BS6" s="4"/>
      <c r="CG6" s="4"/>
      <c r="CH6" s="14" t="s">
        <v>18</v>
      </c>
      <c r="CI6" s="4"/>
      <c r="CJ6" s="4"/>
      <c r="CK6" s="4"/>
      <c r="CL6" s="4"/>
      <c r="CM6" s="4"/>
      <c r="CN6" s="4"/>
      <c r="CV6" s="4"/>
      <c r="CW6" s="4"/>
      <c r="CX6" s="4"/>
      <c r="CY6" s="4"/>
      <c r="CZ6" s="4"/>
      <c r="DA6" s="4"/>
      <c r="DB6" s="4"/>
      <c r="DC6" s="4"/>
    </row>
    <row r="7" spans="1:107" ht="15" customHeight="1" x14ac:dyDescent="0.25">
      <c r="A7" s="66" t="s">
        <v>15</v>
      </c>
      <c r="B7" s="7" t="s">
        <v>1</v>
      </c>
      <c r="C7" s="7" t="s">
        <v>9</v>
      </c>
      <c r="D7" s="7" t="s">
        <v>10</v>
      </c>
      <c r="E7" s="7" t="s">
        <v>11</v>
      </c>
      <c r="F7" s="7" t="s">
        <v>12</v>
      </c>
      <c r="G7" s="7" t="s">
        <v>13</v>
      </c>
      <c r="H7" s="4"/>
      <c r="V7" s="66" t="s">
        <v>15</v>
      </c>
      <c r="W7" s="7" t="s">
        <v>1</v>
      </c>
      <c r="X7" s="7" t="s">
        <v>9</v>
      </c>
      <c r="Y7" s="7" t="s">
        <v>10</v>
      </c>
      <c r="Z7" s="7" t="s">
        <v>11</v>
      </c>
      <c r="AA7" s="7" t="s">
        <v>12</v>
      </c>
      <c r="AB7" s="7" t="s">
        <v>13</v>
      </c>
      <c r="AC7" s="4"/>
      <c r="AQ7" s="66" t="s">
        <v>15</v>
      </c>
      <c r="AR7" s="7" t="s">
        <v>1</v>
      </c>
      <c r="AS7" s="7" t="s">
        <v>9</v>
      </c>
      <c r="AT7" s="7" t="s">
        <v>10</v>
      </c>
      <c r="AU7" s="7" t="s">
        <v>11</v>
      </c>
      <c r="AV7" s="7" t="s">
        <v>12</v>
      </c>
      <c r="AW7" s="7" t="s">
        <v>13</v>
      </c>
      <c r="AX7" s="4"/>
      <c r="BL7" s="66" t="s">
        <v>15</v>
      </c>
      <c r="BM7" s="7" t="s">
        <v>1</v>
      </c>
      <c r="BN7" s="7" t="s">
        <v>9</v>
      </c>
      <c r="BO7" s="7" t="s">
        <v>10</v>
      </c>
      <c r="BP7" s="7" t="s">
        <v>11</v>
      </c>
      <c r="BQ7" s="7" t="s">
        <v>12</v>
      </c>
      <c r="BR7" s="7" t="s">
        <v>13</v>
      </c>
      <c r="BS7" s="4"/>
      <c r="CG7" s="67"/>
      <c r="CH7" s="7" t="s">
        <v>1</v>
      </c>
      <c r="CI7" s="69" t="s">
        <v>19</v>
      </c>
      <c r="CJ7" s="70"/>
      <c r="CK7" s="4"/>
      <c r="CL7" s="13"/>
      <c r="CM7" s="13"/>
      <c r="CN7" s="4"/>
      <c r="CV7" s="66" t="s">
        <v>15</v>
      </c>
      <c r="CW7" s="7" t="s">
        <v>1</v>
      </c>
      <c r="CX7" s="7" t="s">
        <v>9</v>
      </c>
      <c r="CY7" s="7" t="s">
        <v>10</v>
      </c>
      <c r="CZ7" s="7" t="s">
        <v>11</v>
      </c>
      <c r="DA7" s="7" t="s">
        <v>12</v>
      </c>
      <c r="DB7" s="7" t="s">
        <v>13</v>
      </c>
      <c r="DC7" s="4"/>
    </row>
    <row r="8" spans="1:107" x14ac:dyDescent="0.25">
      <c r="A8" s="66"/>
      <c r="B8" s="5">
        <v>1</v>
      </c>
      <c r="C8" s="6">
        <v>0.75</v>
      </c>
      <c r="D8" s="6">
        <v>0.65</v>
      </c>
      <c r="E8" s="6">
        <v>0.62</v>
      </c>
      <c r="F8" s="6">
        <v>0.6</v>
      </c>
      <c r="G8" s="6">
        <v>0.53</v>
      </c>
      <c r="H8" s="4"/>
      <c r="V8" s="66"/>
      <c r="W8" s="5">
        <v>1</v>
      </c>
      <c r="X8" s="16">
        <v>0.75</v>
      </c>
      <c r="Y8" s="16">
        <v>0.65</v>
      </c>
      <c r="Z8" s="16">
        <v>0.62</v>
      </c>
      <c r="AA8" s="16">
        <v>0.6</v>
      </c>
      <c r="AB8" s="16">
        <v>0.53</v>
      </c>
      <c r="AC8" s="4"/>
      <c r="AQ8" s="66"/>
      <c r="AR8" s="5">
        <v>1</v>
      </c>
      <c r="AS8" s="20">
        <v>0.75</v>
      </c>
      <c r="AT8" s="20">
        <v>0.65</v>
      </c>
      <c r="AU8" s="16">
        <v>0.62</v>
      </c>
      <c r="AV8" s="21">
        <v>0.6</v>
      </c>
      <c r="AW8" s="16">
        <v>0.53</v>
      </c>
      <c r="AX8" s="4"/>
      <c r="BL8" s="66"/>
      <c r="BM8" s="5">
        <v>1</v>
      </c>
      <c r="BN8" s="12">
        <v>0.6</v>
      </c>
      <c r="BO8" s="6">
        <v>0.6</v>
      </c>
      <c r="BP8" s="6">
        <v>0.62</v>
      </c>
      <c r="BQ8" s="6">
        <v>0.65</v>
      </c>
      <c r="BR8" s="6">
        <v>0.53</v>
      </c>
      <c r="BS8" s="4"/>
      <c r="CG8" s="67"/>
      <c r="CH8" s="5">
        <v>1</v>
      </c>
      <c r="CI8" s="71">
        <v>0.97899999999999998</v>
      </c>
      <c r="CJ8" s="72"/>
      <c r="CK8" s="4"/>
      <c r="CL8" s="9"/>
      <c r="CM8" s="9"/>
      <c r="CN8" s="4"/>
      <c r="CV8" s="66"/>
      <c r="CW8" s="5">
        <v>1</v>
      </c>
      <c r="CX8" s="6"/>
      <c r="CY8" s="6">
        <v>0.6</v>
      </c>
      <c r="CZ8" s="6">
        <v>0.62</v>
      </c>
      <c r="DA8" s="6">
        <v>0.65</v>
      </c>
      <c r="DB8" s="6">
        <v>0.53</v>
      </c>
      <c r="DC8" s="4"/>
    </row>
    <row r="9" spans="1:107" x14ac:dyDescent="0.25">
      <c r="A9" s="66"/>
      <c r="B9" s="5">
        <v>2</v>
      </c>
      <c r="C9" s="6">
        <v>0.81</v>
      </c>
      <c r="D9" s="6">
        <v>0.72</v>
      </c>
      <c r="E9" s="6">
        <v>0.65</v>
      </c>
      <c r="F9" s="6">
        <v>0.57999999999999996</v>
      </c>
      <c r="G9" s="6">
        <v>0.51</v>
      </c>
      <c r="H9" s="4"/>
      <c r="V9" s="66"/>
      <c r="W9" s="5">
        <v>2</v>
      </c>
      <c r="X9" s="16">
        <v>0.81</v>
      </c>
      <c r="Y9" s="16">
        <v>0.72</v>
      </c>
      <c r="Z9" s="16">
        <v>0.65</v>
      </c>
      <c r="AA9" s="16">
        <v>0.57999999999999996</v>
      </c>
      <c r="AB9" s="16">
        <v>0.51</v>
      </c>
      <c r="AC9" s="4"/>
      <c r="AQ9" s="66"/>
      <c r="AR9" s="5">
        <v>2</v>
      </c>
      <c r="AS9" s="20">
        <v>0.81</v>
      </c>
      <c r="AT9" s="16">
        <v>0.72</v>
      </c>
      <c r="AU9" s="20">
        <v>0.65</v>
      </c>
      <c r="AV9" s="16">
        <v>0.57999999999999996</v>
      </c>
      <c r="AW9" s="16">
        <v>0.51</v>
      </c>
      <c r="AX9" s="4"/>
      <c r="BL9" s="66"/>
      <c r="BM9" s="5">
        <v>2</v>
      </c>
      <c r="BN9" s="12">
        <v>0.63</v>
      </c>
      <c r="BO9" s="6">
        <v>0.72</v>
      </c>
      <c r="BP9" s="6">
        <v>0.62</v>
      </c>
      <c r="BQ9" s="6">
        <v>0.57999999999999996</v>
      </c>
      <c r="BR9" s="6">
        <v>0.51</v>
      </c>
      <c r="BS9" s="4"/>
      <c r="CG9" s="67"/>
      <c r="CH9" s="5">
        <v>2</v>
      </c>
      <c r="CI9" s="71">
        <v>0.93200000000000005</v>
      </c>
      <c r="CJ9" s="72"/>
      <c r="CK9" s="4"/>
      <c r="CL9" s="9"/>
      <c r="CM9" s="9"/>
      <c r="CN9" s="4"/>
      <c r="CV9" s="66"/>
      <c r="CW9" s="5">
        <v>2</v>
      </c>
      <c r="CX9" s="6"/>
      <c r="CY9" s="6">
        <v>0.72</v>
      </c>
      <c r="CZ9" s="6">
        <v>0.62</v>
      </c>
      <c r="DA9" s="6">
        <v>0.57999999999999996</v>
      </c>
      <c r="DB9" s="6">
        <v>0.51</v>
      </c>
      <c r="DC9" s="4"/>
    </row>
    <row r="10" spans="1:107" x14ac:dyDescent="0.25">
      <c r="A10" s="66"/>
      <c r="B10" s="5">
        <v>3</v>
      </c>
      <c r="C10" s="6">
        <v>0.84</v>
      </c>
      <c r="D10" s="6">
        <v>0.75</v>
      </c>
      <c r="E10" s="6">
        <v>0.65</v>
      </c>
      <c r="F10" s="6">
        <v>0.55000000000000004</v>
      </c>
      <c r="G10" s="6">
        <v>0.49</v>
      </c>
      <c r="H10" s="4"/>
      <c r="V10" s="66"/>
      <c r="W10" s="5">
        <v>3</v>
      </c>
      <c r="X10" s="16">
        <v>0.84</v>
      </c>
      <c r="Y10" s="21">
        <v>0.75</v>
      </c>
      <c r="Z10" s="20">
        <v>0.65</v>
      </c>
      <c r="AA10" s="21">
        <v>0.55000000000000004</v>
      </c>
      <c r="AB10" s="16">
        <v>0.49</v>
      </c>
      <c r="AC10" s="4"/>
      <c r="AQ10" s="66"/>
      <c r="AR10" s="5">
        <v>3</v>
      </c>
      <c r="AS10" s="16">
        <v>0.84</v>
      </c>
      <c r="AT10" s="16">
        <v>0.76</v>
      </c>
      <c r="AU10" s="20">
        <v>0.64</v>
      </c>
      <c r="AV10" s="16">
        <v>0.56000000000000005</v>
      </c>
      <c r="AW10" s="16">
        <v>0.49</v>
      </c>
      <c r="AX10" s="4"/>
      <c r="BL10" s="66"/>
      <c r="BM10" s="5">
        <v>3</v>
      </c>
      <c r="BN10" s="6">
        <v>0.84</v>
      </c>
      <c r="BO10" s="6">
        <v>0.76</v>
      </c>
      <c r="BP10" s="6">
        <v>0.55000000000000004</v>
      </c>
      <c r="BQ10" s="6">
        <v>0.56000000000000005</v>
      </c>
      <c r="BR10" s="6">
        <v>0.49</v>
      </c>
      <c r="BS10" s="4"/>
      <c r="CG10" s="67"/>
      <c r="CH10" s="5">
        <v>3</v>
      </c>
      <c r="CI10" s="71">
        <v>0.90900000000000003</v>
      </c>
      <c r="CJ10" s="72"/>
      <c r="CK10" s="4"/>
      <c r="CL10" s="9"/>
      <c r="CM10" s="9"/>
      <c r="CN10" s="4"/>
      <c r="CV10" s="66"/>
      <c r="CW10" s="5">
        <v>3</v>
      </c>
      <c r="CX10" s="6">
        <v>0.84</v>
      </c>
      <c r="CY10" s="6">
        <v>0.76</v>
      </c>
      <c r="CZ10" s="6">
        <v>0.55000000000000004</v>
      </c>
      <c r="DA10" s="6">
        <v>0.56000000000000005</v>
      </c>
      <c r="DB10" s="6">
        <v>0.49</v>
      </c>
      <c r="DC10" s="4"/>
    </row>
    <row r="11" spans="1:107" x14ac:dyDescent="0.25">
      <c r="A11" s="66"/>
      <c r="B11" s="5">
        <v>4</v>
      </c>
      <c r="C11" s="6">
        <v>0.5</v>
      </c>
      <c r="D11" s="6">
        <v>0.53</v>
      </c>
      <c r="E11" s="6">
        <v>0.65</v>
      </c>
      <c r="F11" s="21">
        <v>0.76</v>
      </c>
      <c r="G11" s="20">
        <v>0.79</v>
      </c>
      <c r="H11" s="4"/>
      <c r="V11" s="66"/>
      <c r="W11" s="5">
        <v>4</v>
      </c>
      <c r="X11" s="16">
        <v>0.5</v>
      </c>
      <c r="Y11" s="20">
        <v>0.53</v>
      </c>
      <c r="Z11" s="21">
        <v>0.65</v>
      </c>
      <c r="AA11" s="20">
        <v>0.78</v>
      </c>
      <c r="AB11" s="16">
        <v>0.78</v>
      </c>
      <c r="AC11" s="4"/>
      <c r="AQ11" s="66"/>
      <c r="AR11" s="5">
        <v>4</v>
      </c>
      <c r="AS11" s="21">
        <v>0.5</v>
      </c>
      <c r="AT11" s="20">
        <v>0.52</v>
      </c>
      <c r="AU11" s="21">
        <v>0.67</v>
      </c>
      <c r="AV11" s="20">
        <v>0.77</v>
      </c>
      <c r="AW11" s="20">
        <v>0.78</v>
      </c>
      <c r="AX11" s="4"/>
      <c r="BL11" s="66"/>
      <c r="BM11" s="5">
        <v>4</v>
      </c>
      <c r="BN11" s="12">
        <v>0.51</v>
      </c>
      <c r="BO11" s="6">
        <v>0.51</v>
      </c>
      <c r="BP11" s="6">
        <v>0.76</v>
      </c>
      <c r="BQ11" s="6">
        <v>0.56999999999999995</v>
      </c>
      <c r="BR11" s="12">
        <v>0.53</v>
      </c>
      <c r="BS11" s="4"/>
      <c r="CG11" s="67"/>
      <c r="CH11" s="5">
        <v>4</v>
      </c>
      <c r="CI11" s="71">
        <v>0.90900000000000003</v>
      </c>
      <c r="CJ11" s="72"/>
      <c r="CK11" s="4"/>
      <c r="CL11" s="9"/>
      <c r="CM11" s="9"/>
      <c r="CN11" s="4"/>
      <c r="CV11" s="66"/>
      <c r="CW11" s="5">
        <v>4</v>
      </c>
      <c r="CX11" s="6"/>
      <c r="CY11" s="6">
        <v>0.51</v>
      </c>
      <c r="CZ11" s="6">
        <v>0.76</v>
      </c>
      <c r="DA11" s="6">
        <v>0.56999999999999995</v>
      </c>
      <c r="DB11" s="6"/>
      <c r="DC11" s="4"/>
    </row>
    <row r="12" spans="1:107" x14ac:dyDescent="0.25">
      <c r="A12" s="66"/>
      <c r="B12" s="5">
        <v>5</v>
      </c>
      <c r="C12" s="21">
        <v>0.61</v>
      </c>
      <c r="D12" s="6">
        <v>0.63</v>
      </c>
      <c r="E12" s="6">
        <v>0.72</v>
      </c>
      <c r="F12" s="6">
        <v>0.82</v>
      </c>
      <c r="G12" s="6">
        <v>0.85</v>
      </c>
      <c r="H12" s="4"/>
      <c r="V12" s="66"/>
      <c r="W12" s="5">
        <v>5</v>
      </c>
      <c r="X12" s="16">
        <v>0.62</v>
      </c>
      <c r="Y12" s="21">
        <v>0.63</v>
      </c>
      <c r="Z12" s="16">
        <v>0.7</v>
      </c>
      <c r="AA12" s="21">
        <v>0.82</v>
      </c>
      <c r="AB12" s="16">
        <v>0.85</v>
      </c>
      <c r="AC12" s="4"/>
      <c r="AQ12" s="66"/>
      <c r="AR12" s="5">
        <v>5</v>
      </c>
      <c r="AS12" s="16">
        <v>0.62</v>
      </c>
      <c r="AT12" s="16">
        <v>0.64</v>
      </c>
      <c r="AU12" s="20">
        <v>0.7</v>
      </c>
      <c r="AV12" s="16">
        <v>0.83</v>
      </c>
      <c r="AW12" s="20">
        <v>0.85</v>
      </c>
      <c r="AX12" s="4"/>
      <c r="BL12" s="66"/>
      <c r="BM12" s="5">
        <v>5</v>
      </c>
      <c r="BN12" s="12">
        <v>0.62</v>
      </c>
      <c r="BO12" s="6">
        <v>0.64</v>
      </c>
      <c r="BP12" s="6">
        <v>0.64</v>
      </c>
      <c r="BQ12" s="6">
        <v>0.83</v>
      </c>
      <c r="BR12" s="12">
        <v>0.71</v>
      </c>
      <c r="BS12" s="4"/>
      <c r="CG12" s="67"/>
      <c r="CH12" s="5">
        <v>5</v>
      </c>
      <c r="CI12" s="71">
        <v>0.746</v>
      </c>
      <c r="CJ12" s="72"/>
      <c r="CK12" s="4"/>
      <c r="CL12" s="9"/>
      <c r="CM12" s="9"/>
      <c r="CN12" s="4"/>
      <c r="CV12" s="66"/>
      <c r="CW12" s="5">
        <v>5</v>
      </c>
      <c r="CX12" s="6"/>
      <c r="CY12" s="6">
        <v>0.64</v>
      </c>
      <c r="CZ12" s="6">
        <v>0.64</v>
      </c>
      <c r="DA12" s="6">
        <v>0.83</v>
      </c>
      <c r="DB12" s="6"/>
      <c r="DC12" s="4"/>
    </row>
    <row r="13" spans="1:107" x14ac:dyDescent="0.25">
      <c r="A13" s="4"/>
      <c r="B13" s="4"/>
      <c r="C13" s="4"/>
      <c r="D13" s="4"/>
      <c r="E13" s="4"/>
      <c r="F13" s="4"/>
      <c r="G13" s="4"/>
      <c r="H13" s="4"/>
      <c r="V13" s="4"/>
      <c r="W13" s="4"/>
      <c r="X13" s="17"/>
      <c r="Y13" s="17"/>
      <c r="Z13" s="17"/>
      <c r="AA13" s="17"/>
      <c r="AB13" s="17"/>
      <c r="AC13" s="4"/>
      <c r="AQ13" s="4"/>
      <c r="AR13" s="4"/>
      <c r="AS13" s="17"/>
      <c r="AT13" s="17"/>
      <c r="AU13" s="17"/>
      <c r="AV13" s="17"/>
      <c r="AW13" s="17"/>
      <c r="AX13" s="4"/>
      <c r="BL13" s="4"/>
      <c r="BM13" s="4"/>
      <c r="BN13" s="4"/>
      <c r="BO13" s="4"/>
      <c r="BP13" s="4"/>
      <c r="BQ13" s="4"/>
      <c r="BR13" s="4"/>
      <c r="BS13" s="4"/>
      <c r="CG13" s="4"/>
      <c r="CH13" s="4"/>
      <c r="CI13" s="4"/>
      <c r="CJ13" s="4"/>
      <c r="CK13" s="4"/>
      <c r="CL13" s="4"/>
      <c r="CM13" s="4"/>
      <c r="CN13" s="4"/>
      <c r="CV13" s="4"/>
      <c r="CW13" s="4"/>
      <c r="CX13" s="4"/>
      <c r="CY13" s="4"/>
      <c r="CZ13" s="4"/>
      <c r="DA13" s="4"/>
      <c r="DB13" s="4"/>
      <c r="DC13" s="4"/>
    </row>
    <row r="14" spans="1:107" x14ac:dyDescent="0.25">
      <c r="X14" s="18"/>
      <c r="Y14" s="18"/>
      <c r="Z14" s="18"/>
      <c r="AA14" s="18"/>
      <c r="AB14" s="18"/>
      <c r="AS14" s="18"/>
      <c r="AT14" s="18"/>
      <c r="AU14" s="18"/>
      <c r="AV14" s="18"/>
      <c r="AW14" s="18"/>
    </row>
    <row r="15" spans="1:107" x14ac:dyDescent="0.25">
      <c r="A15" s="4"/>
      <c r="B15" s="4"/>
      <c r="C15" s="4"/>
      <c r="D15" s="4"/>
      <c r="E15" s="4"/>
      <c r="F15" s="4"/>
      <c r="G15" s="4"/>
      <c r="H15" s="4"/>
      <c r="V15" s="4"/>
      <c r="W15" s="4"/>
      <c r="X15" s="17"/>
      <c r="Y15" s="17"/>
      <c r="Z15" s="17"/>
      <c r="AA15" s="17"/>
      <c r="AB15" s="17"/>
      <c r="AC15" s="4"/>
      <c r="AQ15" s="4"/>
      <c r="AR15" s="4"/>
      <c r="AS15" s="17"/>
      <c r="AT15" s="17"/>
      <c r="AU15" s="17"/>
      <c r="AV15" s="17"/>
      <c r="AW15" s="17"/>
      <c r="AX15" s="4"/>
      <c r="BL15" s="4"/>
      <c r="BM15" s="4"/>
      <c r="BN15" s="4"/>
      <c r="BO15" s="4"/>
      <c r="BP15" s="4"/>
      <c r="BQ15" s="4"/>
      <c r="BR15" s="4"/>
      <c r="BS15" s="4"/>
      <c r="CG15" s="4"/>
      <c r="CH15" s="4"/>
      <c r="CI15" s="4"/>
      <c r="CJ15" s="4"/>
      <c r="CK15" s="4"/>
      <c r="CL15" s="4"/>
      <c r="CM15" s="4"/>
      <c r="CN15" s="4"/>
      <c r="CV15" s="4"/>
      <c r="CW15" s="4"/>
      <c r="CX15" s="4"/>
      <c r="CY15" s="4"/>
      <c r="CZ15" s="4"/>
      <c r="DA15" s="4"/>
      <c r="DB15" s="4"/>
      <c r="DC15" s="4"/>
    </row>
    <row r="16" spans="1:107" ht="15" customHeight="1" x14ac:dyDescent="0.25">
      <c r="A16" s="66" t="s">
        <v>8</v>
      </c>
      <c r="B16" s="7" t="s">
        <v>1</v>
      </c>
      <c r="C16" s="7" t="s">
        <v>9</v>
      </c>
      <c r="D16" s="7" t="s">
        <v>10</v>
      </c>
      <c r="E16" s="7" t="s">
        <v>11</v>
      </c>
      <c r="F16" s="7" t="s">
        <v>12</v>
      </c>
      <c r="G16" s="7" t="s">
        <v>13</v>
      </c>
      <c r="H16" s="4"/>
      <c r="V16" s="66" t="s">
        <v>8</v>
      </c>
      <c r="W16" s="7" t="s">
        <v>1</v>
      </c>
      <c r="X16" s="19" t="s">
        <v>9</v>
      </c>
      <c r="Y16" s="19" t="s">
        <v>10</v>
      </c>
      <c r="Z16" s="19" t="s">
        <v>11</v>
      </c>
      <c r="AA16" s="19" t="s">
        <v>12</v>
      </c>
      <c r="AB16" s="19" t="s">
        <v>13</v>
      </c>
      <c r="AC16" s="4"/>
      <c r="AQ16" s="66" t="s">
        <v>8</v>
      </c>
      <c r="AR16" s="7" t="s">
        <v>1</v>
      </c>
      <c r="AS16" s="19" t="s">
        <v>9</v>
      </c>
      <c r="AT16" s="19" t="s">
        <v>10</v>
      </c>
      <c r="AU16" s="19" t="s">
        <v>11</v>
      </c>
      <c r="AV16" s="19" t="s">
        <v>12</v>
      </c>
      <c r="AW16" s="19" t="s">
        <v>13</v>
      </c>
      <c r="AX16" s="4"/>
      <c r="BL16" s="66" t="s">
        <v>8</v>
      </c>
      <c r="BM16" s="7" t="s">
        <v>1</v>
      </c>
      <c r="BN16" s="7" t="s">
        <v>9</v>
      </c>
      <c r="BO16" s="7" t="s">
        <v>10</v>
      </c>
      <c r="BP16" s="7" t="s">
        <v>11</v>
      </c>
      <c r="BQ16" s="7" t="s">
        <v>12</v>
      </c>
      <c r="BR16" s="7" t="s">
        <v>13</v>
      </c>
      <c r="BS16" s="4"/>
      <c r="CG16" s="66" t="s">
        <v>8</v>
      </c>
      <c r="CH16" s="7" t="s">
        <v>1</v>
      </c>
      <c r="CI16" s="7" t="s">
        <v>9</v>
      </c>
      <c r="CJ16" s="7" t="s">
        <v>10</v>
      </c>
      <c r="CK16" s="7" t="s">
        <v>11</v>
      </c>
      <c r="CL16" s="7" t="s">
        <v>12</v>
      </c>
      <c r="CM16" s="7" t="s">
        <v>13</v>
      </c>
      <c r="CN16" s="4"/>
      <c r="CV16" s="66" t="s">
        <v>8</v>
      </c>
      <c r="CW16" s="7" t="s">
        <v>1</v>
      </c>
      <c r="CX16" s="7" t="s">
        <v>9</v>
      </c>
      <c r="CY16" s="7" t="s">
        <v>10</v>
      </c>
      <c r="CZ16" s="7" t="s">
        <v>11</v>
      </c>
      <c r="DA16" s="7" t="s">
        <v>12</v>
      </c>
      <c r="DB16" s="7" t="s">
        <v>13</v>
      </c>
      <c r="DC16" s="4"/>
    </row>
    <row r="17" spans="1:107" ht="15" customHeight="1" x14ac:dyDescent="0.25">
      <c r="A17" s="66"/>
      <c r="B17" s="5">
        <v>1</v>
      </c>
      <c r="C17" s="6">
        <v>0.74</v>
      </c>
      <c r="D17" s="6">
        <v>0.64</v>
      </c>
      <c r="E17" s="6">
        <v>0.61</v>
      </c>
      <c r="F17" s="6">
        <v>0.57999999999999996</v>
      </c>
      <c r="G17" s="6">
        <v>0.52</v>
      </c>
      <c r="H17" s="4"/>
      <c r="V17" s="66"/>
      <c r="W17" s="5">
        <v>1</v>
      </c>
      <c r="X17" s="16">
        <v>0.74</v>
      </c>
      <c r="Y17" s="16">
        <v>0.64</v>
      </c>
      <c r="Z17" s="16">
        <v>0.61</v>
      </c>
      <c r="AA17" s="16">
        <v>0.57999999999999996</v>
      </c>
      <c r="AB17" s="16">
        <v>0.52</v>
      </c>
      <c r="AC17" s="4"/>
      <c r="AQ17" s="66"/>
      <c r="AR17" s="5">
        <v>1</v>
      </c>
      <c r="AS17" s="20">
        <v>0.74</v>
      </c>
      <c r="AT17" s="20">
        <v>0.64</v>
      </c>
      <c r="AU17" s="16">
        <v>0.61</v>
      </c>
      <c r="AV17" s="21">
        <v>0.57999999999999996</v>
      </c>
      <c r="AW17" s="16">
        <v>0.52</v>
      </c>
      <c r="AX17" s="4"/>
      <c r="BL17" s="66"/>
      <c r="BM17" s="5">
        <v>1</v>
      </c>
      <c r="BN17" s="12">
        <v>0.56999999999999995</v>
      </c>
      <c r="BO17" s="6">
        <v>0.6</v>
      </c>
      <c r="BP17" s="6">
        <v>0.61</v>
      </c>
      <c r="BQ17" s="6">
        <v>0.64</v>
      </c>
      <c r="BR17" s="6">
        <v>0.52</v>
      </c>
      <c r="BS17" s="4"/>
      <c r="CG17" s="66"/>
      <c r="CH17" s="5">
        <v>1</v>
      </c>
      <c r="CI17" s="6"/>
      <c r="CJ17" s="6">
        <v>0.6</v>
      </c>
      <c r="CK17" s="6">
        <v>0.61</v>
      </c>
      <c r="CL17" s="6">
        <v>0.64</v>
      </c>
      <c r="CM17" s="6">
        <v>0.52</v>
      </c>
      <c r="CN17" s="4"/>
      <c r="CV17" s="66"/>
      <c r="CW17" s="5">
        <v>1</v>
      </c>
      <c r="CX17" s="6"/>
      <c r="CY17" s="6">
        <v>0.6</v>
      </c>
      <c r="CZ17" s="6">
        <v>0.61</v>
      </c>
      <c r="DA17" s="6">
        <v>0.64</v>
      </c>
      <c r="DB17" s="6">
        <v>0.52</v>
      </c>
      <c r="DC17" s="4"/>
    </row>
    <row r="18" spans="1:107" x14ac:dyDescent="0.25">
      <c r="A18" s="66"/>
      <c r="B18" s="5">
        <v>2</v>
      </c>
      <c r="C18" s="6">
        <v>0.77</v>
      </c>
      <c r="D18" s="6">
        <v>0.68</v>
      </c>
      <c r="E18" s="6">
        <v>0.61</v>
      </c>
      <c r="F18" s="6">
        <v>0.56000000000000005</v>
      </c>
      <c r="G18" s="6">
        <v>0.5</v>
      </c>
      <c r="H18" s="4"/>
      <c r="V18" s="66"/>
      <c r="W18" s="5">
        <v>2</v>
      </c>
      <c r="X18" s="16">
        <v>0.77</v>
      </c>
      <c r="Y18" s="16">
        <v>0.68</v>
      </c>
      <c r="Z18" s="16">
        <v>0.61</v>
      </c>
      <c r="AA18" s="16">
        <v>0.56000000000000005</v>
      </c>
      <c r="AB18" s="16">
        <v>0.5</v>
      </c>
      <c r="AC18" s="4"/>
      <c r="AQ18" s="66"/>
      <c r="AR18" s="5">
        <v>2</v>
      </c>
      <c r="AS18" s="20">
        <v>0.77</v>
      </c>
      <c r="AT18" s="16">
        <v>0.68</v>
      </c>
      <c r="AU18" s="16">
        <v>0.61</v>
      </c>
      <c r="AV18" s="16">
        <v>0.56000000000000005</v>
      </c>
      <c r="AW18" s="20">
        <v>0.5</v>
      </c>
      <c r="AX18" s="4"/>
      <c r="BL18" s="66"/>
      <c r="BM18" s="5">
        <v>2</v>
      </c>
      <c r="BN18" s="12">
        <v>0.6</v>
      </c>
      <c r="BO18" s="6">
        <v>0.68</v>
      </c>
      <c r="BP18" s="6">
        <v>0.61</v>
      </c>
      <c r="BQ18" s="6">
        <v>0.56000000000000005</v>
      </c>
      <c r="BR18" s="6">
        <v>0.48</v>
      </c>
      <c r="BS18" s="4"/>
      <c r="CG18" s="66"/>
      <c r="CH18" s="5">
        <v>2</v>
      </c>
      <c r="CI18" s="6"/>
      <c r="CJ18" s="6">
        <v>0.68</v>
      </c>
      <c r="CK18" s="6">
        <v>0.61</v>
      </c>
      <c r="CL18" s="6">
        <v>0.56000000000000005</v>
      </c>
      <c r="CM18" s="6">
        <v>0.48</v>
      </c>
      <c r="CN18" s="4"/>
      <c r="CV18" s="66"/>
      <c r="CW18" s="5">
        <v>2</v>
      </c>
      <c r="CX18" s="6"/>
      <c r="CY18" s="6">
        <v>0.68</v>
      </c>
      <c r="CZ18" s="6">
        <v>0.61</v>
      </c>
      <c r="DA18" s="6">
        <v>0.56000000000000005</v>
      </c>
      <c r="DB18" s="6">
        <v>0.48</v>
      </c>
      <c r="DC18" s="4"/>
    </row>
    <row r="19" spans="1:107" x14ac:dyDescent="0.25">
      <c r="A19" s="66"/>
      <c r="B19" s="5">
        <v>3</v>
      </c>
      <c r="C19" s="6">
        <v>0.79</v>
      </c>
      <c r="D19" s="6">
        <v>0.72</v>
      </c>
      <c r="E19" s="6">
        <v>0.61</v>
      </c>
      <c r="F19" s="6">
        <v>0.52</v>
      </c>
      <c r="G19" s="6">
        <v>0.47</v>
      </c>
      <c r="H19" s="4"/>
      <c r="V19" s="66"/>
      <c r="W19" s="5">
        <v>3</v>
      </c>
      <c r="X19" s="16">
        <v>0.79</v>
      </c>
      <c r="Y19" s="21">
        <v>0.72</v>
      </c>
      <c r="Z19" s="20">
        <v>0.61</v>
      </c>
      <c r="AA19" s="21">
        <v>0.52</v>
      </c>
      <c r="AB19" s="16">
        <v>0.47</v>
      </c>
      <c r="AC19" s="4"/>
      <c r="AQ19" s="66"/>
      <c r="AR19" s="5">
        <v>3</v>
      </c>
      <c r="AS19" s="20">
        <v>0.79</v>
      </c>
      <c r="AT19" s="16">
        <v>0.73</v>
      </c>
      <c r="AU19" s="20">
        <v>0.59</v>
      </c>
      <c r="AV19" s="16">
        <v>0.53</v>
      </c>
      <c r="AW19" s="16">
        <v>0.47</v>
      </c>
      <c r="AX19" s="4"/>
      <c r="BL19" s="66"/>
      <c r="BM19" s="5">
        <v>3</v>
      </c>
      <c r="BN19" s="6">
        <v>0.78</v>
      </c>
      <c r="BO19" s="6">
        <v>0.73</v>
      </c>
      <c r="BP19" s="6">
        <v>0.52</v>
      </c>
      <c r="BQ19" s="6">
        <v>0.53</v>
      </c>
      <c r="BR19" s="6">
        <v>0.47</v>
      </c>
      <c r="BS19" s="4"/>
      <c r="CG19" s="66"/>
      <c r="CH19" s="5">
        <v>3</v>
      </c>
      <c r="CI19" s="6">
        <v>0.78</v>
      </c>
      <c r="CJ19" s="6">
        <v>0.73</v>
      </c>
      <c r="CK19" s="6">
        <v>0.52</v>
      </c>
      <c r="CL19" s="6">
        <v>0.53</v>
      </c>
      <c r="CM19" s="6">
        <v>0.47</v>
      </c>
      <c r="CN19" s="4"/>
      <c r="CV19" s="66"/>
      <c r="CW19" s="5">
        <v>3</v>
      </c>
      <c r="CX19" s="6">
        <v>0.78</v>
      </c>
      <c r="CY19" s="6">
        <v>0.73</v>
      </c>
      <c r="CZ19" s="6">
        <v>0.52</v>
      </c>
      <c r="DA19" s="6">
        <v>0.53</v>
      </c>
      <c r="DB19" s="6">
        <v>0.47</v>
      </c>
      <c r="DC19" s="4"/>
    </row>
    <row r="20" spans="1:107" x14ac:dyDescent="0.25">
      <c r="A20" s="66"/>
      <c r="B20" s="5">
        <v>4</v>
      </c>
      <c r="C20" s="6">
        <v>0.51</v>
      </c>
      <c r="D20" s="6">
        <v>0.53</v>
      </c>
      <c r="E20" s="6">
        <v>0.61</v>
      </c>
      <c r="F20" s="6">
        <v>0.67</v>
      </c>
      <c r="G20" s="20">
        <v>0.69</v>
      </c>
      <c r="H20" s="4"/>
      <c r="V20" s="66"/>
      <c r="W20" s="5">
        <v>4</v>
      </c>
      <c r="X20" s="16">
        <v>0.51</v>
      </c>
      <c r="Y20" s="20">
        <v>0.53</v>
      </c>
      <c r="Z20" s="21">
        <v>0.61</v>
      </c>
      <c r="AA20" s="20">
        <v>0.67</v>
      </c>
      <c r="AB20" s="16">
        <v>0.67</v>
      </c>
      <c r="AC20" s="4"/>
      <c r="AQ20" s="66"/>
      <c r="AR20" s="5">
        <v>4</v>
      </c>
      <c r="AS20" s="21">
        <v>0.51</v>
      </c>
      <c r="AT20" s="16">
        <v>0.52</v>
      </c>
      <c r="AU20" s="16">
        <v>0.63</v>
      </c>
      <c r="AV20" s="20">
        <v>0.66</v>
      </c>
      <c r="AW20" s="20">
        <v>0.67</v>
      </c>
      <c r="AX20" s="4"/>
      <c r="BL20" s="66"/>
      <c r="BM20" s="5">
        <v>4</v>
      </c>
      <c r="BN20" s="12">
        <v>0.54</v>
      </c>
      <c r="BO20" s="6">
        <v>0.52</v>
      </c>
      <c r="BP20" s="6">
        <v>0.63</v>
      </c>
      <c r="BQ20" s="6">
        <v>0.56000000000000005</v>
      </c>
      <c r="BR20" s="12">
        <v>0.54</v>
      </c>
      <c r="BS20" s="4"/>
      <c r="CG20" s="66"/>
      <c r="CH20" s="5">
        <v>4</v>
      </c>
      <c r="CI20" s="6"/>
      <c r="CJ20" s="6">
        <v>0.52</v>
      </c>
      <c r="CK20" s="6">
        <v>0.63</v>
      </c>
      <c r="CL20" s="6">
        <v>0.56000000000000005</v>
      </c>
      <c r="CM20" s="6"/>
      <c r="CN20" s="4"/>
      <c r="CV20" s="66"/>
      <c r="CW20" s="5">
        <v>4</v>
      </c>
      <c r="CX20" s="6"/>
      <c r="CY20" s="6">
        <v>0.52</v>
      </c>
      <c r="CZ20" s="6">
        <v>0.63</v>
      </c>
      <c r="DA20" s="6">
        <v>0.56000000000000005</v>
      </c>
      <c r="DB20" s="6"/>
      <c r="DC20" s="4"/>
    </row>
    <row r="21" spans="1:107" x14ac:dyDescent="0.25">
      <c r="A21" s="66"/>
      <c r="B21" s="5">
        <v>5</v>
      </c>
      <c r="C21" s="21">
        <v>0.46</v>
      </c>
      <c r="D21" s="20">
        <v>0.47</v>
      </c>
      <c r="E21" s="6">
        <v>0.52</v>
      </c>
      <c r="F21" s="6">
        <v>0.6</v>
      </c>
      <c r="G21" s="21">
        <v>0.64</v>
      </c>
      <c r="H21" s="4"/>
      <c r="V21" s="66"/>
      <c r="W21" s="5">
        <v>5</v>
      </c>
      <c r="X21" s="16">
        <v>0.47</v>
      </c>
      <c r="Y21" s="21">
        <v>0.46</v>
      </c>
      <c r="Z21" s="20">
        <v>0.52</v>
      </c>
      <c r="AA21" s="21">
        <v>0.6</v>
      </c>
      <c r="AB21" s="16">
        <v>0.65</v>
      </c>
      <c r="AC21" s="4"/>
      <c r="AQ21" s="66"/>
      <c r="AR21" s="5">
        <v>5</v>
      </c>
      <c r="AS21" s="21">
        <v>0.47</v>
      </c>
      <c r="AT21" s="16">
        <v>0.48</v>
      </c>
      <c r="AU21" s="16">
        <v>0.5</v>
      </c>
      <c r="AV21" s="16">
        <v>0.62</v>
      </c>
      <c r="AW21" s="20">
        <v>0.65</v>
      </c>
      <c r="AX21" s="4"/>
      <c r="BL21" s="66"/>
      <c r="BM21" s="5">
        <v>5</v>
      </c>
      <c r="BN21" s="12">
        <v>0.6</v>
      </c>
      <c r="BO21" s="6">
        <v>0.48</v>
      </c>
      <c r="BP21" s="6">
        <v>0.5</v>
      </c>
      <c r="BQ21" s="6">
        <v>0.62</v>
      </c>
      <c r="BR21" s="12">
        <v>0.63</v>
      </c>
      <c r="BS21" s="4"/>
      <c r="CG21" s="66"/>
      <c r="CH21" s="5">
        <v>5</v>
      </c>
      <c r="CI21" s="6"/>
      <c r="CJ21" s="12">
        <v>0.48</v>
      </c>
      <c r="CK21" s="6">
        <v>0.5</v>
      </c>
      <c r="CL21" s="12">
        <v>0.62</v>
      </c>
      <c r="CM21" s="6"/>
      <c r="CN21" s="4"/>
      <c r="CV21" s="66"/>
      <c r="CW21" s="5">
        <v>5</v>
      </c>
      <c r="CX21" s="6"/>
      <c r="CY21" s="6"/>
      <c r="CZ21" s="6">
        <v>0.5</v>
      </c>
      <c r="DA21" s="6"/>
      <c r="DB21" s="6"/>
      <c r="DC21" s="4"/>
    </row>
    <row r="22" spans="1:107" x14ac:dyDescent="0.25">
      <c r="A22" s="4"/>
      <c r="B22" s="4"/>
      <c r="C22" s="4"/>
      <c r="D22" s="4"/>
      <c r="E22" s="4"/>
      <c r="F22" s="4"/>
      <c r="G22" s="4"/>
      <c r="H22" s="4"/>
      <c r="V22" s="4"/>
      <c r="W22" s="4"/>
      <c r="X22" s="17"/>
      <c r="Y22" s="17"/>
      <c r="Z22" s="17"/>
      <c r="AA22" s="17"/>
      <c r="AB22" s="17"/>
      <c r="AC22" s="4"/>
      <c r="AQ22" s="4"/>
      <c r="AR22" s="4"/>
      <c r="AS22" s="17"/>
      <c r="AT22" s="17"/>
      <c r="AU22" s="17"/>
      <c r="AV22" s="17"/>
      <c r="AW22" s="17"/>
      <c r="AX22" s="4"/>
      <c r="BL22" s="4"/>
      <c r="BM22" s="4"/>
      <c r="BN22" s="4"/>
      <c r="BO22" s="4"/>
      <c r="BP22" s="4"/>
      <c r="BQ22" s="4"/>
      <c r="BR22" s="4"/>
      <c r="BS22" s="4"/>
      <c r="CG22" s="4"/>
      <c r="CH22" s="4"/>
      <c r="CI22" s="4"/>
      <c r="CJ22" s="4"/>
      <c r="CK22" s="4"/>
      <c r="CL22" s="4"/>
      <c r="CM22" s="4"/>
      <c r="CN22" s="4"/>
      <c r="CV22" s="4"/>
      <c r="CW22" s="4"/>
      <c r="CX22" s="4"/>
      <c r="CY22" s="4"/>
      <c r="CZ22" s="4"/>
      <c r="DA22" s="4"/>
      <c r="DB22" s="4"/>
      <c r="DC22" s="4"/>
    </row>
    <row r="23" spans="1:107" x14ac:dyDescent="0.25">
      <c r="X23" s="18"/>
      <c r="Y23" s="18"/>
      <c r="Z23" s="18"/>
      <c r="AA23" s="18"/>
      <c r="AB23" s="18"/>
      <c r="AS23" s="18"/>
      <c r="AT23" s="18"/>
      <c r="AU23" s="18"/>
      <c r="AV23" s="18"/>
      <c r="AW23" s="18"/>
    </row>
    <row r="24" spans="1:107" x14ac:dyDescent="0.25">
      <c r="A24" s="4"/>
      <c r="B24" s="4"/>
      <c r="C24" s="4"/>
      <c r="D24" s="4"/>
      <c r="E24" s="4"/>
      <c r="F24" s="4"/>
      <c r="G24" s="4"/>
      <c r="H24" s="4"/>
      <c r="V24" s="4"/>
      <c r="W24" s="4"/>
      <c r="X24" s="17"/>
      <c r="Y24" s="17"/>
      <c r="Z24" s="17"/>
      <c r="AA24" s="17"/>
      <c r="AB24" s="17"/>
      <c r="AC24" s="4"/>
      <c r="AQ24" s="4"/>
      <c r="AR24" s="4"/>
      <c r="AS24" s="17"/>
      <c r="AT24" s="17"/>
      <c r="AU24" s="17"/>
      <c r="AV24" s="17"/>
      <c r="AW24" s="17"/>
      <c r="AX24" s="4"/>
      <c r="BL24" s="4"/>
      <c r="BM24" s="4"/>
      <c r="BN24" s="4"/>
      <c r="BO24" s="4"/>
      <c r="BP24" s="4"/>
      <c r="BQ24" s="4"/>
      <c r="BR24" s="4"/>
      <c r="BS24" s="4"/>
      <c r="CV24" s="4"/>
      <c r="CW24" s="4"/>
      <c r="CX24" s="4"/>
      <c r="CY24" s="4"/>
      <c r="CZ24" s="4"/>
      <c r="DA24" s="4"/>
      <c r="DB24" s="4"/>
      <c r="DC24" s="4"/>
    </row>
    <row r="25" spans="1:107" ht="15" customHeight="1" x14ac:dyDescent="0.25">
      <c r="A25" s="66" t="s">
        <v>7</v>
      </c>
      <c r="B25" s="7" t="s">
        <v>1</v>
      </c>
      <c r="C25" s="7" t="s">
        <v>9</v>
      </c>
      <c r="D25" s="7" t="s">
        <v>10</v>
      </c>
      <c r="E25" s="7" t="s">
        <v>11</v>
      </c>
      <c r="F25" s="7" t="s">
        <v>12</v>
      </c>
      <c r="G25" s="7" t="s">
        <v>13</v>
      </c>
      <c r="H25" s="4"/>
      <c r="V25" s="66" t="s">
        <v>7</v>
      </c>
      <c r="W25" s="7" t="s">
        <v>1</v>
      </c>
      <c r="X25" s="19" t="s">
        <v>9</v>
      </c>
      <c r="Y25" s="19" t="s">
        <v>10</v>
      </c>
      <c r="Z25" s="19" t="s">
        <v>11</v>
      </c>
      <c r="AA25" s="19" t="s">
        <v>12</v>
      </c>
      <c r="AB25" s="19" t="s">
        <v>13</v>
      </c>
      <c r="AC25" s="4"/>
      <c r="AQ25" s="66" t="s">
        <v>7</v>
      </c>
      <c r="AR25" s="7" t="s">
        <v>1</v>
      </c>
      <c r="AS25" s="19" t="s">
        <v>9</v>
      </c>
      <c r="AT25" s="19" t="s">
        <v>10</v>
      </c>
      <c r="AU25" s="19" t="s">
        <v>11</v>
      </c>
      <c r="AV25" s="19" t="s">
        <v>12</v>
      </c>
      <c r="AW25" s="19" t="s">
        <v>13</v>
      </c>
      <c r="AX25" s="4"/>
      <c r="BL25" s="66" t="s">
        <v>7</v>
      </c>
      <c r="BM25" s="7" t="s">
        <v>1</v>
      </c>
      <c r="BN25" s="7" t="s">
        <v>9</v>
      </c>
      <c r="BO25" s="7" t="s">
        <v>10</v>
      </c>
      <c r="BP25" s="7" t="s">
        <v>11</v>
      </c>
      <c r="BQ25" s="7" t="s">
        <v>12</v>
      </c>
      <c r="BR25" s="7" t="s">
        <v>13</v>
      </c>
      <c r="BS25" s="4"/>
      <c r="CG25" s="68"/>
      <c r="CH25" s="10"/>
      <c r="CI25" s="10"/>
      <c r="CJ25" s="10"/>
      <c r="CK25" s="10"/>
      <c r="CL25" s="10"/>
      <c r="CM25" s="10"/>
      <c r="CV25" s="66" t="s">
        <v>7</v>
      </c>
      <c r="CW25" s="7" t="s">
        <v>1</v>
      </c>
      <c r="CX25" s="7" t="s">
        <v>9</v>
      </c>
      <c r="CY25" s="7" t="s">
        <v>10</v>
      </c>
      <c r="CZ25" s="7" t="s">
        <v>11</v>
      </c>
      <c r="DA25" s="7" t="s">
        <v>12</v>
      </c>
      <c r="DB25" s="7" t="s">
        <v>13</v>
      </c>
      <c r="DC25" s="4"/>
    </row>
    <row r="26" spans="1:107" ht="15" customHeight="1" x14ac:dyDescent="0.25">
      <c r="A26" s="66"/>
      <c r="B26" s="5">
        <v>1</v>
      </c>
      <c r="C26" s="6">
        <v>0.76</v>
      </c>
      <c r="D26" s="6">
        <v>0.66</v>
      </c>
      <c r="E26" s="6">
        <v>0.63</v>
      </c>
      <c r="F26" s="6">
        <v>0.61</v>
      </c>
      <c r="G26" s="6">
        <v>0.54</v>
      </c>
      <c r="H26" s="4"/>
      <c r="V26" s="66"/>
      <c r="W26" s="5">
        <v>1</v>
      </c>
      <c r="X26" s="16">
        <v>0.76</v>
      </c>
      <c r="Y26" s="16">
        <v>0.66</v>
      </c>
      <c r="Z26" s="16">
        <v>0.63</v>
      </c>
      <c r="AA26" s="16">
        <v>0.61</v>
      </c>
      <c r="AB26" s="16">
        <v>0.54</v>
      </c>
      <c r="AC26" s="4"/>
      <c r="AQ26" s="66"/>
      <c r="AR26" s="5">
        <v>1</v>
      </c>
      <c r="AS26" s="20">
        <v>0.76</v>
      </c>
      <c r="AT26" s="20">
        <v>0.66</v>
      </c>
      <c r="AU26" s="16">
        <v>0.63</v>
      </c>
      <c r="AV26" s="21">
        <v>0.61</v>
      </c>
      <c r="AW26" s="16">
        <v>0.54</v>
      </c>
      <c r="AX26" s="4"/>
      <c r="BL26" s="66"/>
      <c r="BM26" s="5">
        <v>1</v>
      </c>
      <c r="BN26" s="12">
        <v>0.56000000000000005</v>
      </c>
      <c r="BO26" s="6">
        <v>0.59</v>
      </c>
      <c r="BP26" s="6">
        <v>0.63</v>
      </c>
      <c r="BQ26" s="6">
        <v>0.66</v>
      </c>
      <c r="BR26" s="6">
        <v>0.54</v>
      </c>
      <c r="BS26" s="4"/>
      <c r="CG26" s="68"/>
      <c r="CH26" s="2"/>
      <c r="CI26" s="11"/>
      <c r="CJ26" s="11"/>
      <c r="CK26" s="11"/>
      <c r="CL26" s="11"/>
      <c r="CM26" s="11"/>
      <c r="CV26" s="66"/>
      <c r="CW26" s="5">
        <v>1</v>
      </c>
      <c r="CX26" s="6"/>
      <c r="CY26" s="6">
        <v>0.59</v>
      </c>
      <c r="CZ26" s="6">
        <v>0.63</v>
      </c>
      <c r="DA26" s="6">
        <v>0.66</v>
      </c>
      <c r="DB26" s="6">
        <v>0.54</v>
      </c>
      <c r="DC26" s="4"/>
    </row>
    <row r="27" spans="1:107" x14ac:dyDescent="0.25">
      <c r="A27" s="66"/>
      <c r="B27" s="5">
        <v>2</v>
      </c>
      <c r="C27" s="6">
        <v>0.82</v>
      </c>
      <c r="D27" s="6">
        <v>0.74</v>
      </c>
      <c r="E27" s="6">
        <v>0.67</v>
      </c>
      <c r="F27" s="6">
        <v>0.6</v>
      </c>
      <c r="G27" s="6">
        <v>0.53</v>
      </c>
      <c r="H27" s="4"/>
      <c r="V27" s="66"/>
      <c r="W27" s="5">
        <v>2</v>
      </c>
      <c r="X27" s="16">
        <v>0.82</v>
      </c>
      <c r="Y27" s="16">
        <v>0.74</v>
      </c>
      <c r="Z27" s="16">
        <v>0.67</v>
      </c>
      <c r="AA27" s="16">
        <v>0.6</v>
      </c>
      <c r="AB27" s="16">
        <v>0.53</v>
      </c>
      <c r="AC27" s="4"/>
      <c r="AQ27" s="66"/>
      <c r="AR27" s="5">
        <v>2</v>
      </c>
      <c r="AS27" s="20">
        <v>0.82</v>
      </c>
      <c r="AT27" s="16">
        <v>0.74</v>
      </c>
      <c r="AU27" s="20">
        <v>0.67</v>
      </c>
      <c r="AV27" s="16">
        <v>0.6</v>
      </c>
      <c r="AW27" s="16">
        <v>0.53</v>
      </c>
      <c r="AX27" s="4"/>
      <c r="BL27" s="66"/>
      <c r="BM27" s="5">
        <v>2</v>
      </c>
      <c r="BN27" s="12">
        <v>0.61</v>
      </c>
      <c r="BO27" s="6">
        <v>0.74</v>
      </c>
      <c r="BP27" s="6">
        <v>0.63</v>
      </c>
      <c r="BQ27" s="6">
        <v>0.6</v>
      </c>
      <c r="BR27" s="6">
        <v>0.53</v>
      </c>
      <c r="BS27" s="4"/>
      <c r="CG27" s="68"/>
      <c r="CH27" s="2"/>
      <c r="CI27" s="11"/>
      <c r="CJ27" s="11"/>
      <c r="CK27" s="11"/>
      <c r="CL27" s="11"/>
      <c r="CM27" s="11"/>
      <c r="CV27" s="66"/>
      <c r="CW27" s="5">
        <v>2</v>
      </c>
      <c r="CX27" s="6"/>
      <c r="CY27" s="6">
        <v>0.74</v>
      </c>
      <c r="CZ27" s="6">
        <v>0.63</v>
      </c>
      <c r="DA27" s="6">
        <v>0.6</v>
      </c>
      <c r="DB27" s="6">
        <v>0.53</v>
      </c>
      <c r="DC27" s="4"/>
    </row>
    <row r="28" spans="1:107" x14ac:dyDescent="0.25">
      <c r="A28" s="66"/>
      <c r="B28" s="5">
        <v>3</v>
      </c>
      <c r="C28" s="6">
        <v>0.86</v>
      </c>
      <c r="D28" s="6">
        <v>0.77</v>
      </c>
      <c r="E28" s="6">
        <v>0.67</v>
      </c>
      <c r="F28" s="6">
        <v>0.56999999999999995</v>
      </c>
      <c r="G28" s="6">
        <v>0.5</v>
      </c>
      <c r="H28" s="4"/>
      <c r="V28" s="66"/>
      <c r="W28" s="5">
        <v>3</v>
      </c>
      <c r="X28" s="16">
        <v>0.86</v>
      </c>
      <c r="Y28" s="21">
        <v>0.77</v>
      </c>
      <c r="Z28" s="20">
        <v>0.67</v>
      </c>
      <c r="AA28" s="21">
        <v>0.56999999999999995</v>
      </c>
      <c r="AB28" s="16">
        <v>0.5</v>
      </c>
      <c r="AC28" s="4"/>
      <c r="AQ28" s="66"/>
      <c r="AR28" s="5">
        <v>3</v>
      </c>
      <c r="AS28" s="21">
        <v>0.86</v>
      </c>
      <c r="AT28" s="16">
        <v>0.78</v>
      </c>
      <c r="AU28" s="20">
        <v>0.65</v>
      </c>
      <c r="AV28" s="16">
        <v>0.57999999999999996</v>
      </c>
      <c r="AW28" s="16">
        <v>0.5</v>
      </c>
      <c r="AX28" s="4"/>
      <c r="BL28" s="66"/>
      <c r="BM28" s="5">
        <v>3</v>
      </c>
      <c r="BN28" s="6">
        <v>0.91</v>
      </c>
      <c r="BO28" s="6">
        <v>0.78</v>
      </c>
      <c r="BP28" s="6">
        <v>0.57999999999999996</v>
      </c>
      <c r="BQ28" s="6">
        <v>0.57999999999999996</v>
      </c>
      <c r="BR28" s="6">
        <v>0.5</v>
      </c>
      <c r="BS28" s="4"/>
      <c r="CG28" s="68"/>
      <c r="CH28" s="2"/>
      <c r="CI28" s="11"/>
      <c r="CJ28" s="11"/>
      <c r="CK28" s="11"/>
      <c r="CL28" s="11"/>
      <c r="CM28" s="11"/>
      <c r="CV28" s="66"/>
      <c r="CW28" s="5">
        <v>3</v>
      </c>
      <c r="CX28" s="6">
        <v>0.91</v>
      </c>
      <c r="CY28" s="6">
        <v>0.78</v>
      </c>
      <c r="CZ28" s="6">
        <v>0.57999999999999996</v>
      </c>
      <c r="DA28" s="6">
        <v>0.57999999999999996</v>
      </c>
      <c r="DB28" s="6">
        <v>0.5</v>
      </c>
      <c r="DC28" s="4"/>
    </row>
    <row r="29" spans="1:107" x14ac:dyDescent="0.25">
      <c r="A29" s="66"/>
      <c r="B29" s="5">
        <v>4</v>
      </c>
      <c r="C29" s="6">
        <v>0.5</v>
      </c>
      <c r="D29" s="6">
        <v>0.54</v>
      </c>
      <c r="E29" s="6">
        <v>0.66</v>
      </c>
      <c r="F29" s="21">
        <v>0.76</v>
      </c>
      <c r="G29" s="20">
        <v>0.79</v>
      </c>
      <c r="H29" s="4"/>
      <c r="V29" s="66"/>
      <c r="W29" s="5">
        <v>4</v>
      </c>
      <c r="X29" s="16">
        <v>0.5</v>
      </c>
      <c r="Y29" s="20">
        <v>0.54</v>
      </c>
      <c r="Z29" s="21">
        <v>0.66</v>
      </c>
      <c r="AA29" s="20">
        <v>0.78</v>
      </c>
      <c r="AB29" s="16">
        <v>0.78</v>
      </c>
      <c r="AC29" s="4"/>
      <c r="AQ29" s="66"/>
      <c r="AR29" s="5">
        <v>4</v>
      </c>
      <c r="AS29" s="21">
        <v>0.5</v>
      </c>
      <c r="AT29" s="20">
        <v>0.53</v>
      </c>
      <c r="AU29" s="21">
        <v>0.68</v>
      </c>
      <c r="AV29" s="20">
        <v>0.77</v>
      </c>
      <c r="AW29" s="20">
        <v>0.78</v>
      </c>
      <c r="AX29" s="4"/>
      <c r="BL29" s="66"/>
      <c r="BM29" s="5">
        <v>4</v>
      </c>
      <c r="BN29" s="12">
        <v>0.53</v>
      </c>
      <c r="BO29" s="6">
        <v>0.51</v>
      </c>
      <c r="BP29" s="6">
        <v>0.85</v>
      </c>
      <c r="BQ29" s="6">
        <v>0.57999999999999996</v>
      </c>
      <c r="BR29" s="12">
        <v>0.6</v>
      </c>
      <c r="BS29" s="4"/>
      <c r="CG29" s="68"/>
      <c r="CH29" s="2"/>
      <c r="CI29" s="11"/>
      <c r="CJ29" s="11"/>
      <c r="CK29" s="11"/>
      <c r="CL29" s="11"/>
      <c r="CM29" s="11"/>
      <c r="CV29" s="66"/>
      <c r="CW29" s="5">
        <v>4</v>
      </c>
      <c r="CX29" s="6"/>
      <c r="CY29" s="6">
        <v>0.51</v>
      </c>
      <c r="CZ29" s="6">
        <v>0.85</v>
      </c>
      <c r="DA29" s="6">
        <v>0.57999999999999996</v>
      </c>
      <c r="DB29" s="6"/>
      <c r="DC29" s="4"/>
    </row>
    <row r="30" spans="1:107" x14ac:dyDescent="0.25">
      <c r="A30" s="66"/>
      <c r="B30" s="5">
        <v>5</v>
      </c>
      <c r="C30" s="21">
        <v>0.61</v>
      </c>
      <c r="D30" s="6">
        <v>0.63</v>
      </c>
      <c r="E30" s="6">
        <v>0.72</v>
      </c>
      <c r="F30" s="6">
        <v>0.82</v>
      </c>
      <c r="G30" s="6">
        <v>0.86</v>
      </c>
      <c r="H30" s="4"/>
      <c r="V30" s="66"/>
      <c r="W30" s="5">
        <v>5</v>
      </c>
      <c r="X30" s="20">
        <v>0.64</v>
      </c>
      <c r="Y30" s="21">
        <v>0.63</v>
      </c>
      <c r="Z30" s="20">
        <v>0.72</v>
      </c>
      <c r="AA30" s="21">
        <v>0.82</v>
      </c>
      <c r="AB30" s="16">
        <v>0.86</v>
      </c>
      <c r="AC30" s="4"/>
      <c r="AQ30" s="66"/>
      <c r="AR30" s="5">
        <v>5</v>
      </c>
      <c r="AS30" s="16">
        <v>0.63</v>
      </c>
      <c r="AT30" s="16">
        <v>0.64</v>
      </c>
      <c r="AU30" s="20">
        <v>0.71</v>
      </c>
      <c r="AV30" s="16">
        <v>0.83</v>
      </c>
      <c r="AW30" s="20">
        <v>0.86</v>
      </c>
      <c r="AX30" s="4"/>
      <c r="BL30" s="66"/>
      <c r="BM30" s="5">
        <v>5</v>
      </c>
      <c r="BN30" s="12">
        <v>0.63</v>
      </c>
      <c r="BO30" s="6">
        <v>0.64</v>
      </c>
      <c r="BP30" s="6">
        <v>0.67</v>
      </c>
      <c r="BQ30" s="6">
        <v>0.83</v>
      </c>
      <c r="BR30" s="12">
        <v>0.83</v>
      </c>
      <c r="BS30" s="4"/>
      <c r="CG30" s="68"/>
      <c r="CH30" s="2"/>
      <c r="CI30" s="11"/>
      <c r="CJ30" s="11"/>
      <c r="CK30" s="11"/>
      <c r="CL30" s="11"/>
      <c r="CM30" s="11"/>
      <c r="CV30" s="66"/>
      <c r="CW30" s="5">
        <v>5</v>
      </c>
      <c r="CX30" s="6"/>
      <c r="CY30" s="6">
        <v>0.64</v>
      </c>
      <c r="CZ30" s="6">
        <v>0.67</v>
      </c>
      <c r="DA30" s="6">
        <v>0.83</v>
      </c>
      <c r="DB30" s="6"/>
      <c r="DC30" s="4"/>
    </row>
    <row r="31" spans="1:107" x14ac:dyDescent="0.25">
      <c r="A31" s="4"/>
      <c r="B31" s="4"/>
      <c r="C31" s="4"/>
      <c r="D31" s="4"/>
      <c r="E31" s="4"/>
      <c r="F31" s="4"/>
      <c r="G31" s="4"/>
      <c r="H31" s="4"/>
      <c r="V31" s="4"/>
      <c r="W31" s="4"/>
      <c r="X31" s="4"/>
      <c r="Y31" s="4"/>
      <c r="Z31" s="4"/>
      <c r="AA31" s="4"/>
      <c r="AB31" s="4"/>
      <c r="AC31" s="4"/>
      <c r="AQ31" s="4"/>
      <c r="AR31" s="4"/>
      <c r="AS31" s="4"/>
      <c r="AT31" s="4"/>
      <c r="AU31" s="4"/>
      <c r="AV31" s="4"/>
      <c r="AW31" s="4"/>
      <c r="AX31" s="4"/>
      <c r="BL31" s="4"/>
      <c r="BM31" s="4"/>
      <c r="BN31" s="4"/>
      <c r="BO31" s="4"/>
      <c r="BP31" s="4"/>
      <c r="BQ31" s="4"/>
      <c r="BR31" s="4"/>
      <c r="BS31" s="4"/>
      <c r="CV31" s="4"/>
      <c r="CW31" s="4"/>
      <c r="CX31" s="4"/>
      <c r="CY31" s="4"/>
      <c r="CZ31" s="4"/>
      <c r="DA31" s="4"/>
      <c r="DB31" s="4"/>
      <c r="DC31" s="4"/>
    </row>
  </sheetData>
  <mergeCells count="24">
    <mergeCell ref="CG16:CG21"/>
    <mergeCell ref="CG25:CG30"/>
    <mergeCell ref="CI7:CJ7"/>
    <mergeCell ref="CI8:CJ8"/>
    <mergeCell ref="CI9:CJ9"/>
    <mergeCell ref="CI10:CJ10"/>
    <mergeCell ref="CI11:CJ11"/>
    <mergeCell ref="CI12:CJ12"/>
    <mergeCell ref="CV7:CV12"/>
    <mergeCell ref="CV25:CV30"/>
    <mergeCell ref="CV16:CV21"/>
    <mergeCell ref="A7:A12"/>
    <mergeCell ref="A16:A21"/>
    <mergeCell ref="A25:A30"/>
    <mergeCell ref="BL16:BL21"/>
    <mergeCell ref="BL25:BL30"/>
    <mergeCell ref="AQ7:AQ12"/>
    <mergeCell ref="AQ16:AQ21"/>
    <mergeCell ref="AQ25:AQ30"/>
    <mergeCell ref="V7:V12"/>
    <mergeCell ref="V16:V21"/>
    <mergeCell ref="V25:V30"/>
    <mergeCell ref="BL7:BL12"/>
    <mergeCell ref="CG7:CG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vt:lpstr>
      <vt:lpstr>CalculateBusSpedRatios</vt:lpstr>
      <vt:lpstr>CalculateBusSpedRatios-try1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Day</dc:creator>
  <cp:lastModifiedBy>Chad Worthen</cp:lastModifiedBy>
  <dcterms:created xsi:type="dcterms:W3CDTF">2022-10-28T15:00:41Z</dcterms:created>
  <dcterms:modified xsi:type="dcterms:W3CDTF">2022-11-03T20:58:09Z</dcterms:modified>
</cp:coreProperties>
</file>