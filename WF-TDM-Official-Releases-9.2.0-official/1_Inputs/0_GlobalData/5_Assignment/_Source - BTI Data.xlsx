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filterPrivacy="1" defaultThemeVersion="164011"/>
  <bookViews>
    <workbookView xWindow="0" yWindow="0" windowWidth="22260" windowHeight="12645" tabRatio="739"/>
  </bookViews>
  <sheets>
    <sheet name="Export" sheetId="10" r:id="rId1"/>
    <sheet name="Eqtn Simplified" sheetId="8" r:id="rId2"/>
    <sheet name="Data" sheetId="9" r:id="rId3"/>
    <sheet name="Sort by Ave Sp" sheetId="6" r:id="rId4"/>
  </sheets>
  <definedNames>
    <definedName name="_xlnm._FilterDatabase" localSheetId="3" hidden="1">'Sort by Ave Sp'!#REF!</definedName>
    <definedName name="export_data">Export!$B$2:$C$43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8" l="1"/>
  <c r="C8" i="8"/>
  <c r="X5" i="8" l="1"/>
  <c r="X4" i="8"/>
  <c r="T4" i="8"/>
  <c r="T5" i="8"/>
  <c r="E4" i="8"/>
  <c r="C4" i="8"/>
  <c r="C3" i="8"/>
  <c r="D11" i="8" l="1"/>
  <c r="D15" i="8"/>
  <c r="D19" i="8"/>
  <c r="D23" i="8"/>
  <c r="D27" i="8"/>
  <c r="D31" i="8"/>
  <c r="D35" i="8"/>
  <c r="D39" i="8"/>
  <c r="D43" i="8"/>
  <c r="D47" i="8"/>
  <c r="D10" i="8"/>
  <c r="D22" i="8"/>
  <c r="D34" i="8"/>
  <c r="D46" i="8"/>
  <c r="D8" i="8"/>
  <c r="D12" i="8"/>
  <c r="D16" i="8"/>
  <c r="D20" i="8"/>
  <c r="D24" i="8"/>
  <c r="D28" i="8"/>
  <c r="D32" i="8"/>
  <c r="D36" i="8"/>
  <c r="D40" i="8"/>
  <c r="D44" i="8"/>
  <c r="D48" i="8"/>
  <c r="D14" i="8"/>
  <c r="D26" i="8"/>
  <c r="D38" i="8"/>
  <c r="D9" i="8"/>
  <c r="D13" i="8"/>
  <c r="D17" i="8"/>
  <c r="D21" i="8"/>
  <c r="D25" i="8"/>
  <c r="D29" i="8"/>
  <c r="D33" i="8"/>
  <c r="D37" i="8"/>
  <c r="D41" i="8"/>
  <c r="D45" i="8"/>
  <c r="D18" i="8"/>
  <c r="D30" i="8"/>
  <c r="D42" i="8"/>
  <c r="E9" i="8"/>
  <c r="E13" i="8"/>
  <c r="E17" i="8"/>
  <c r="E21" i="8"/>
  <c r="E8" i="8"/>
  <c r="E16" i="8"/>
  <c r="E10" i="8"/>
  <c r="E14" i="8"/>
  <c r="E18" i="8"/>
  <c r="E22" i="8"/>
  <c r="E12" i="8"/>
  <c r="E24" i="8"/>
  <c r="E11" i="8"/>
  <c r="E15" i="8"/>
  <c r="E19" i="8"/>
  <c r="E23" i="8"/>
  <c r="E20" i="8"/>
  <c r="E25" i="8"/>
  <c r="E29" i="8"/>
  <c r="E33" i="8"/>
  <c r="E37" i="8"/>
  <c r="E41" i="8"/>
  <c r="E45" i="8"/>
  <c r="E26" i="8"/>
  <c r="E30" i="8"/>
  <c r="E34" i="8"/>
  <c r="E38" i="8"/>
  <c r="E42" i="8"/>
  <c r="E46" i="8"/>
  <c r="E27" i="8"/>
  <c r="E31" i="8"/>
  <c r="E35" i="8"/>
  <c r="E39" i="8"/>
  <c r="E43" i="8"/>
  <c r="E47" i="8"/>
  <c r="E28" i="8"/>
  <c r="E32" i="8"/>
  <c r="E36" i="8"/>
  <c r="E40" i="8"/>
  <c r="E44" i="8"/>
  <c r="E48" i="8"/>
  <c r="F8" i="8"/>
  <c r="C3" i="10" s="1"/>
  <c r="C9" i="8"/>
  <c r="F9" i="8" s="1"/>
  <c r="C4" i="10" s="1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E7" i="8" l="1"/>
  <c r="F10" i="8"/>
  <c r="C5" i="10" s="1"/>
  <c r="F11" i="8"/>
  <c r="C6" i="10" s="1"/>
  <c r="F12" i="8"/>
  <c r="C7" i="10" s="1"/>
  <c r="F13" i="8"/>
  <c r="C8" i="10" s="1"/>
  <c r="F14" i="8"/>
  <c r="C9" i="10" s="1"/>
  <c r="F15" i="8"/>
  <c r="C10" i="10" s="1"/>
  <c r="F16" i="8"/>
  <c r="C11" i="10" s="1"/>
  <c r="F17" i="8"/>
  <c r="C12" i="10" s="1"/>
  <c r="F18" i="8"/>
  <c r="C13" i="10" s="1"/>
  <c r="F19" i="8"/>
  <c r="C14" i="10" s="1"/>
  <c r="F20" i="8"/>
  <c r="C15" i="10" s="1"/>
  <c r="F21" i="8"/>
  <c r="C16" i="10" s="1"/>
  <c r="F22" i="8"/>
  <c r="C17" i="10" s="1"/>
  <c r="F23" i="8"/>
  <c r="C18" i="10" s="1"/>
  <c r="F24" i="8"/>
  <c r="C19" i="10" s="1"/>
  <c r="F25" i="8"/>
  <c r="C20" i="10" s="1"/>
  <c r="F26" i="8"/>
  <c r="C21" i="10" s="1"/>
  <c r="F27" i="8"/>
  <c r="C22" i="10" s="1"/>
  <c r="F28" i="8"/>
  <c r="C23" i="10" s="1"/>
  <c r="F29" i="8"/>
  <c r="C24" i="10" s="1"/>
  <c r="F30" i="8"/>
  <c r="C25" i="10" s="1"/>
  <c r="F31" i="8"/>
  <c r="C26" i="10" s="1"/>
  <c r="F32" i="8"/>
  <c r="C27" i="10" s="1"/>
  <c r="F33" i="8"/>
  <c r="C28" i="10" s="1"/>
  <c r="F34" i="8"/>
  <c r="C29" i="10" s="1"/>
  <c r="F35" i="8"/>
  <c r="C30" i="10" s="1"/>
  <c r="F36" i="8"/>
  <c r="C31" i="10" s="1"/>
  <c r="F37" i="8"/>
  <c r="C32" i="10" s="1"/>
  <c r="F38" i="8"/>
  <c r="C33" i="10" s="1"/>
  <c r="F39" i="8"/>
  <c r="C34" i="10" s="1"/>
  <c r="F40" i="8"/>
  <c r="C35" i="10" s="1"/>
  <c r="F41" i="8"/>
  <c r="C36" i="10" s="1"/>
  <c r="F42" i="8"/>
  <c r="C37" i="10" s="1"/>
  <c r="F43" i="8"/>
  <c r="C38" i="10" s="1"/>
  <c r="F44" i="8"/>
  <c r="C39" i="10" s="1"/>
  <c r="F45" i="8"/>
  <c r="C40" i="10" s="1"/>
  <c r="F46" i="8"/>
  <c r="C41" i="10" s="1"/>
  <c r="F47" i="8"/>
  <c r="C42" i="10" s="1"/>
  <c r="F48" i="8"/>
  <c r="C43" i="10" s="1"/>
  <c r="D7" i="8"/>
  <c r="C7" i="8"/>
  <c r="DC32" i="6" l="1"/>
  <c r="CX32" i="6"/>
  <c r="AF32" i="6"/>
  <c r="AZ32" i="6"/>
  <c r="V32" i="6"/>
  <c r="BY32" i="6"/>
  <c r="BO32" i="6"/>
  <c r="G32" i="6"/>
  <c r="CD32" i="6"/>
  <c r="Q32" i="6"/>
  <c r="BE32" i="6"/>
  <c r="AP32" i="6"/>
  <c r="AK32" i="6"/>
  <c r="CN32" i="6"/>
  <c r="CI32" i="6"/>
  <c r="CS32" i="6"/>
  <c r="AA32" i="6"/>
  <c r="BT32" i="6"/>
  <c r="BJ32" i="6"/>
  <c r="AU32" i="6"/>
  <c r="L32" i="6"/>
  <c r="DC31" i="6"/>
  <c r="CX31" i="6"/>
  <c r="AF31" i="6"/>
  <c r="AZ31" i="6"/>
  <c r="V31" i="6"/>
  <c r="BY31" i="6"/>
  <c r="BO31" i="6"/>
  <c r="G31" i="6"/>
  <c r="CD31" i="6"/>
  <c r="Q31" i="6"/>
  <c r="BE31" i="6"/>
  <c r="AP31" i="6"/>
  <c r="AK31" i="6"/>
  <c r="CN31" i="6"/>
  <c r="CI31" i="6"/>
  <c r="CS31" i="6"/>
  <c r="AA31" i="6"/>
  <c r="BT31" i="6"/>
  <c r="BJ31" i="6"/>
  <c r="AU31" i="6"/>
  <c r="L31" i="6"/>
  <c r="DC30" i="6"/>
  <c r="CX30" i="6"/>
  <c r="AF30" i="6"/>
  <c r="AZ30" i="6"/>
  <c r="V30" i="6"/>
  <c r="BY30" i="6"/>
  <c r="BO30" i="6"/>
  <c r="G30" i="6"/>
  <c r="CD30" i="6"/>
  <c r="Q30" i="6"/>
  <c r="BE30" i="6"/>
  <c r="AP30" i="6"/>
  <c r="AK30" i="6"/>
  <c r="CN30" i="6"/>
  <c r="CI30" i="6"/>
  <c r="CS30" i="6"/>
  <c r="AA30" i="6"/>
  <c r="BT30" i="6"/>
  <c r="BJ30" i="6"/>
  <c r="AU30" i="6"/>
  <c r="L30" i="6"/>
  <c r="DC29" i="6"/>
  <c r="CX29" i="6"/>
  <c r="AF29" i="6"/>
  <c r="AZ29" i="6"/>
  <c r="V29" i="6"/>
  <c r="BY29" i="6"/>
  <c r="BO29" i="6"/>
  <c r="G29" i="6"/>
  <c r="CD29" i="6"/>
  <c r="Q29" i="6"/>
  <c r="BE29" i="6"/>
  <c r="AP29" i="6"/>
  <c r="AK29" i="6"/>
  <c r="CN29" i="6"/>
  <c r="CI29" i="6"/>
  <c r="CS29" i="6"/>
  <c r="AA29" i="6"/>
  <c r="BT29" i="6"/>
  <c r="BJ29" i="6"/>
  <c r="AU29" i="6"/>
  <c r="L29" i="6"/>
  <c r="DC28" i="6"/>
  <c r="CX28" i="6"/>
  <c r="AF28" i="6"/>
  <c r="AZ28" i="6"/>
  <c r="V28" i="6"/>
  <c r="BY28" i="6"/>
  <c r="BO28" i="6"/>
  <c r="G28" i="6"/>
  <c r="CD28" i="6"/>
  <c r="Q28" i="6"/>
  <c r="BE28" i="6"/>
  <c r="AP28" i="6"/>
  <c r="AK28" i="6"/>
  <c r="CN28" i="6"/>
  <c r="CI28" i="6"/>
  <c r="CS28" i="6"/>
  <c r="AA28" i="6"/>
  <c r="BT28" i="6"/>
  <c r="BJ28" i="6"/>
  <c r="AU28" i="6"/>
  <c r="L28" i="6"/>
  <c r="DC27" i="6"/>
  <c r="CX27" i="6"/>
  <c r="AF27" i="6"/>
  <c r="AZ27" i="6"/>
  <c r="V27" i="6"/>
  <c r="BY27" i="6"/>
  <c r="BO27" i="6"/>
  <c r="G27" i="6"/>
  <c r="CD27" i="6"/>
  <c r="Q27" i="6"/>
  <c r="BE27" i="6"/>
  <c r="AP27" i="6"/>
  <c r="AK27" i="6"/>
  <c r="CN27" i="6"/>
  <c r="CI27" i="6"/>
  <c r="CS27" i="6"/>
  <c r="AA27" i="6"/>
  <c r="BT27" i="6"/>
  <c r="BJ27" i="6"/>
  <c r="AU27" i="6"/>
  <c r="L27" i="6"/>
  <c r="DC26" i="6"/>
  <c r="CX26" i="6"/>
  <c r="AF26" i="6"/>
  <c r="AZ26" i="6"/>
  <c r="V26" i="6"/>
  <c r="BY26" i="6"/>
  <c r="BO26" i="6"/>
  <c r="G26" i="6"/>
  <c r="CD26" i="6"/>
  <c r="Q26" i="6"/>
  <c r="BE26" i="6"/>
  <c r="AP26" i="6"/>
  <c r="AK26" i="6"/>
  <c r="CN26" i="6"/>
  <c r="CI26" i="6"/>
  <c r="CS26" i="6"/>
  <c r="AA26" i="6"/>
  <c r="BT26" i="6"/>
  <c r="BJ26" i="6"/>
  <c r="AU26" i="6"/>
  <c r="L26" i="6"/>
  <c r="DC25" i="6"/>
  <c r="CX25" i="6"/>
  <c r="AF25" i="6"/>
  <c r="AZ25" i="6"/>
  <c r="V25" i="6"/>
  <c r="BY25" i="6"/>
  <c r="BO25" i="6"/>
  <c r="G25" i="6"/>
  <c r="CD25" i="6"/>
  <c r="Q25" i="6"/>
  <c r="BE25" i="6"/>
  <c r="AP25" i="6"/>
  <c r="AK25" i="6"/>
  <c r="CN25" i="6"/>
  <c r="CI25" i="6"/>
  <c r="CS25" i="6"/>
  <c r="AA25" i="6"/>
  <c r="BT25" i="6"/>
  <c r="BJ25" i="6"/>
  <c r="AU25" i="6"/>
  <c r="L25" i="6"/>
  <c r="DC24" i="6"/>
  <c r="CX24" i="6"/>
  <c r="AF24" i="6"/>
  <c r="AZ24" i="6"/>
  <c r="V24" i="6"/>
  <c r="BY24" i="6"/>
  <c r="BO24" i="6"/>
  <c r="G24" i="6"/>
  <c r="CD24" i="6"/>
  <c r="Q24" i="6"/>
  <c r="BE24" i="6"/>
  <c r="AP24" i="6"/>
  <c r="AK24" i="6"/>
  <c r="CN24" i="6"/>
  <c r="CI24" i="6"/>
  <c r="CS24" i="6"/>
  <c r="AA24" i="6"/>
  <c r="BT24" i="6"/>
  <c r="BJ24" i="6"/>
  <c r="AU24" i="6"/>
  <c r="L24" i="6"/>
  <c r="DC23" i="6"/>
  <c r="CX23" i="6"/>
  <c r="AF23" i="6"/>
  <c r="AZ23" i="6"/>
  <c r="V23" i="6"/>
  <c r="BY23" i="6"/>
  <c r="BO23" i="6"/>
  <c r="G23" i="6"/>
  <c r="CD23" i="6"/>
  <c r="Q23" i="6"/>
  <c r="BE23" i="6"/>
  <c r="AP23" i="6"/>
  <c r="AK23" i="6"/>
  <c r="CN23" i="6"/>
  <c r="CI23" i="6"/>
  <c r="CS23" i="6"/>
  <c r="AA23" i="6"/>
  <c r="BT23" i="6"/>
  <c r="BJ23" i="6"/>
  <c r="AU23" i="6"/>
  <c r="L23" i="6"/>
  <c r="DC22" i="6"/>
  <c r="CX22" i="6"/>
  <c r="AF22" i="6"/>
  <c r="AZ22" i="6"/>
  <c r="V22" i="6"/>
  <c r="BY22" i="6"/>
  <c r="BO22" i="6"/>
  <c r="G22" i="6"/>
  <c r="CD22" i="6"/>
  <c r="Q22" i="6"/>
  <c r="BE22" i="6"/>
  <c r="AP22" i="6"/>
  <c r="AK22" i="6"/>
  <c r="CN22" i="6"/>
  <c r="CI22" i="6"/>
  <c r="CS22" i="6"/>
  <c r="AA22" i="6"/>
  <c r="BT22" i="6"/>
  <c r="BJ22" i="6"/>
  <c r="AU22" i="6"/>
  <c r="L22" i="6"/>
  <c r="DC21" i="6"/>
  <c r="CX21" i="6"/>
  <c r="AF21" i="6"/>
  <c r="AZ21" i="6"/>
  <c r="V21" i="6"/>
  <c r="BY21" i="6"/>
  <c r="BO21" i="6"/>
  <c r="G21" i="6"/>
  <c r="CD21" i="6"/>
  <c r="Q21" i="6"/>
  <c r="BE21" i="6"/>
  <c r="AP21" i="6"/>
  <c r="AK21" i="6"/>
  <c r="CN21" i="6"/>
  <c r="CI21" i="6"/>
  <c r="CS21" i="6"/>
  <c r="AA21" i="6"/>
  <c r="BT21" i="6"/>
  <c r="BJ21" i="6"/>
  <c r="AU21" i="6"/>
  <c r="L21" i="6"/>
  <c r="DC20" i="6"/>
  <c r="CX20" i="6"/>
  <c r="AF20" i="6"/>
  <c r="AZ20" i="6"/>
  <c r="V20" i="6"/>
  <c r="BY20" i="6"/>
  <c r="BO20" i="6"/>
  <c r="G20" i="6"/>
  <c r="CD20" i="6"/>
  <c r="Q20" i="6"/>
  <c r="BE20" i="6"/>
  <c r="AP20" i="6"/>
  <c r="AK20" i="6"/>
  <c r="CN20" i="6"/>
  <c r="CI20" i="6"/>
  <c r="CS20" i="6"/>
  <c r="AA20" i="6"/>
  <c r="BT20" i="6"/>
  <c r="BJ20" i="6"/>
  <c r="AU20" i="6"/>
  <c r="L20" i="6"/>
  <c r="DC19" i="6"/>
  <c r="CX19" i="6"/>
  <c r="AF19" i="6"/>
  <c r="AZ19" i="6"/>
  <c r="V19" i="6"/>
  <c r="BY19" i="6"/>
  <c r="BO19" i="6"/>
  <c r="G19" i="6"/>
  <c r="CD19" i="6"/>
  <c r="Q19" i="6"/>
  <c r="BE19" i="6"/>
  <c r="AP19" i="6"/>
  <c r="AK19" i="6"/>
  <c r="CN19" i="6"/>
  <c r="CI19" i="6"/>
  <c r="CS19" i="6"/>
  <c r="AA19" i="6"/>
  <c r="BT19" i="6"/>
  <c r="BJ19" i="6"/>
  <c r="AU19" i="6"/>
  <c r="L19" i="6"/>
  <c r="DC18" i="6"/>
  <c r="CX18" i="6"/>
  <c r="AF18" i="6"/>
  <c r="AZ18" i="6"/>
  <c r="V18" i="6"/>
  <c r="BY18" i="6"/>
  <c r="BO18" i="6"/>
  <c r="G18" i="6"/>
  <c r="CD18" i="6"/>
  <c r="Q18" i="6"/>
  <c r="BE18" i="6"/>
  <c r="AP18" i="6"/>
  <c r="AK18" i="6"/>
  <c r="CN18" i="6"/>
  <c r="CI18" i="6"/>
  <c r="CS18" i="6"/>
  <c r="AA18" i="6"/>
  <c r="BT18" i="6"/>
  <c r="BJ18" i="6"/>
  <c r="AU18" i="6"/>
  <c r="L18" i="6"/>
  <c r="DC17" i="6"/>
  <c r="CX17" i="6"/>
  <c r="AF17" i="6"/>
  <c r="AZ17" i="6"/>
  <c r="V17" i="6"/>
  <c r="BY17" i="6"/>
  <c r="BO17" i="6"/>
  <c r="G17" i="6"/>
  <c r="CD17" i="6"/>
  <c r="Q17" i="6"/>
  <c r="BE17" i="6"/>
  <c r="AP17" i="6"/>
  <c r="AK17" i="6"/>
  <c r="CN17" i="6"/>
  <c r="CI17" i="6"/>
  <c r="CS17" i="6"/>
  <c r="AA17" i="6"/>
  <c r="BT17" i="6"/>
  <c r="BJ17" i="6"/>
  <c r="AU17" i="6"/>
  <c r="L17" i="6"/>
  <c r="DC16" i="6"/>
  <c r="CX16" i="6"/>
  <c r="AF16" i="6"/>
  <c r="AZ16" i="6"/>
  <c r="V16" i="6"/>
  <c r="BY16" i="6"/>
  <c r="BO16" i="6"/>
  <c r="G16" i="6"/>
  <c r="CD16" i="6"/>
  <c r="Q16" i="6"/>
  <c r="BE16" i="6"/>
  <c r="AP16" i="6"/>
  <c r="AK16" i="6"/>
  <c r="CN16" i="6"/>
  <c r="CI16" i="6"/>
  <c r="CS16" i="6"/>
  <c r="AA16" i="6"/>
  <c r="BT16" i="6"/>
  <c r="BJ16" i="6"/>
  <c r="AU16" i="6"/>
  <c r="L16" i="6"/>
  <c r="DC15" i="6"/>
  <c r="CX15" i="6"/>
  <c r="AF15" i="6"/>
  <c r="AZ15" i="6"/>
  <c r="V15" i="6"/>
  <c r="BY15" i="6"/>
  <c r="BO15" i="6"/>
  <c r="G15" i="6"/>
  <c r="CD15" i="6"/>
  <c r="Q15" i="6"/>
  <c r="BE15" i="6"/>
  <c r="AP15" i="6"/>
  <c r="AK15" i="6"/>
  <c r="CN15" i="6"/>
  <c r="CI15" i="6"/>
  <c r="CS15" i="6"/>
  <c r="AA15" i="6"/>
  <c r="BT15" i="6"/>
  <c r="BJ15" i="6"/>
  <c r="AU15" i="6"/>
  <c r="L15" i="6"/>
  <c r="DC14" i="6"/>
  <c r="CX14" i="6"/>
  <c r="AF14" i="6"/>
  <c r="AZ14" i="6"/>
  <c r="V14" i="6"/>
  <c r="BY14" i="6"/>
  <c r="BO14" i="6"/>
  <c r="G14" i="6"/>
  <c r="CD14" i="6"/>
  <c r="Q14" i="6"/>
  <c r="BE14" i="6"/>
  <c r="AP14" i="6"/>
  <c r="AK14" i="6"/>
  <c r="CN14" i="6"/>
  <c r="CI14" i="6"/>
  <c r="CS14" i="6"/>
  <c r="AA14" i="6"/>
  <c r="BT14" i="6"/>
  <c r="BJ14" i="6"/>
  <c r="AU14" i="6"/>
  <c r="L14" i="6"/>
  <c r="DC13" i="6"/>
  <c r="CX13" i="6"/>
  <c r="AF13" i="6"/>
  <c r="AZ13" i="6"/>
  <c r="V13" i="6"/>
  <c r="BY13" i="6"/>
  <c r="BO13" i="6"/>
  <c r="G13" i="6"/>
  <c r="CD13" i="6"/>
  <c r="Q13" i="6"/>
  <c r="BE13" i="6"/>
  <c r="AP13" i="6"/>
  <c r="AK13" i="6"/>
  <c r="CN13" i="6"/>
  <c r="CI13" i="6"/>
  <c r="CS13" i="6"/>
  <c r="AA13" i="6"/>
  <c r="BT13" i="6"/>
  <c r="BJ13" i="6"/>
  <c r="AU13" i="6"/>
  <c r="L13" i="6"/>
  <c r="DC12" i="6"/>
  <c r="CX12" i="6"/>
  <c r="AF12" i="6"/>
  <c r="AZ12" i="6"/>
  <c r="V12" i="6"/>
  <c r="BY12" i="6"/>
  <c r="BO12" i="6"/>
  <c r="G12" i="6"/>
  <c r="CD12" i="6"/>
  <c r="Q12" i="6"/>
  <c r="BE12" i="6"/>
  <c r="AP12" i="6"/>
  <c r="AK12" i="6"/>
  <c r="CN12" i="6"/>
  <c r="CI12" i="6"/>
  <c r="CS12" i="6"/>
  <c r="AA12" i="6"/>
  <c r="BT12" i="6"/>
  <c r="BJ12" i="6"/>
  <c r="AU12" i="6"/>
  <c r="L12" i="6"/>
  <c r="DC11" i="6"/>
  <c r="CX11" i="6"/>
  <c r="AF11" i="6"/>
  <c r="AZ11" i="6"/>
  <c r="V11" i="6"/>
  <c r="BY11" i="6"/>
  <c r="BO11" i="6"/>
  <c r="G11" i="6"/>
  <c r="CD11" i="6"/>
  <c r="Q11" i="6"/>
  <c r="BE11" i="6"/>
  <c r="AP11" i="6"/>
  <c r="AK11" i="6"/>
  <c r="CN11" i="6"/>
  <c r="CI11" i="6"/>
  <c r="CS11" i="6"/>
  <c r="AA11" i="6"/>
  <c r="BT11" i="6"/>
  <c r="BJ11" i="6"/>
  <c r="AU11" i="6"/>
  <c r="L11" i="6"/>
  <c r="DC10" i="6"/>
  <c r="CX10" i="6"/>
  <c r="AF10" i="6"/>
  <c r="AZ10" i="6"/>
  <c r="V10" i="6"/>
  <c r="BY10" i="6"/>
  <c r="BO10" i="6"/>
  <c r="G10" i="6"/>
  <c r="CD10" i="6"/>
  <c r="Q10" i="6"/>
  <c r="BE10" i="6"/>
  <c r="AP10" i="6"/>
  <c r="AK10" i="6"/>
  <c r="CN10" i="6"/>
  <c r="CI10" i="6"/>
  <c r="CS10" i="6"/>
  <c r="AA10" i="6"/>
  <c r="BT10" i="6"/>
  <c r="BJ10" i="6"/>
  <c r="AU10" i="6"/>
  <c r="L10" i="6"/>
  <c r="DH9" i="6"/>
  <c r="DC9" i="6"/>
  <c r="CX9" i="6"/>
  <c r="AF9" i="6"/>
  <c r="AZ9" i="6"/>
  <c r="V9" i="6"/>
  <c r="BY9" i="6"/>
  <c r="BO9" i="6"/>
  <c r="G9" i="6"/>
  <c r="CD9" i="6"/>
  <c r="Q9" i="6"/>
  <c r="BE9" i="6"/>
  <c r="AP9" i="6"/>
  <c r="AK9" i="6"/>
  <c r="CN9" i="6"/>
  <c r="CI9" i="6"/>
  <c r="CS9" i="6"/>
  <c r="AA9" i="6"/>
  <c r="BT9" i="6"/>
  <c r="BJ9" i="6"/>
  <c r="AU9" i="6"/>
  <c r="L9" i="6"/>
  <c r="DB1" i="6"/>
  <c r="CT1" i="6"/>
  <c r="AB1" i="6"/>
  <c r="AX1" i="6"/>
  <c r="R1" i="6"/>
  <c r="BY1" i="6"/>
  <c r="BL1" i="6"/>
  <c r="G1" i="6"/>
  <c r="CC1" i="6"/>
  <c r="M1" i="6"/>
  <c r="BA1" i="6"/>
  <c r="AN1" i="6"/>
  <c r="AG1" i="6"/>
  <c r="CN1" i="6"/>
  <c r="CF1" i="6"/>
  <c r="CO1" i="6"/>
  <c r="Z1" i="6"/>
  <c r="BP1" i="6"/>
  <c r="BJ1" i="6"/>
  <c r="AT1" i="6"/>
  <c r="H1" i="6"/>
  <c r="C1" i="6" l="1"/>
  <c r="AF1" i="6"/>
  <c r="AW1" i="6"/>
  <c r="BX1" i="6"/>
  <c r="BK1" i="6"/>
  <c r="BE1" i="6"/>
  <c r="AM1" i="6"/>
  <c r="I1" i="6"/>
  <c r="CM1" i="6"/>
  <c r="AU1" i="6"/>
  <c r="CE1" i="6"/>
  <c r="J1" i="6"/>
  <c r="BF1" i="6"/>
  <c r="CZ1" i="6"/>
  <c r="AE1" i="6"/>
  <c r="AV1" i="6"/>
  <c r="BW1" i="6"/>
  <c r="CA1" i="6"/>
  <c r="BD1" i="6"/>
  <c r="AL1" i="6"/>
  <c r="CL1" i="6"/>
  <c r="CS1" i="6"/>
  <c r="X1" i="6"/>
  <c r="K1" i="6"/>
  <c r="BG1" i="6"/>
  <c r="CY1" i="6"/>
  <c r="AD1" i="6"/>
  <c r="V1" i="6"/>
  <c r="BV1" i="6"/>
  <c r="F1" i="6"/>
  <c r="BZ1" i="6"/>
  <c r="BC1" i="6"/>
  <c r="AK1" i="6"/>
  <c r="CK1" i="6"/>
  <c r="CR1" i="6"/>
  <c r="W1" i="6"/>
  <c r="L1" i="6"/>
  <c r="BH1" i="6"/>
  <c r="CX1" i="6"/>
  <c r="AC1" i="6"/>
  <c r="U1" i="6"/>
  <c r="BU1" i="6"/>
  <c r="E1" i="6"/>
  <c r="Q1" i="6"/>
  <c r="BB1" i="6"/>
  <c r="AJ1" i="6"/>
  <c r="CJ1" i="6"/>
  <c r="CQ1" i="6"/>
  <c r="BT1" i="6"/>
  <c r="DA1" i="6"/>
  <c r="CB1" i="6"/>
  <c r="Y1" i="6"/>
  <c r="AQ1" i="6"/>
  <c r="BI1" i="6"/>
  <c r="CW1" i="6"/>
  <c r="T1" i="6"/>
  <c r="BO1" i="6"/>
  <c r="D1" i="6"/>
  <c r="P1" i="6"/>
  <c r="AI1" i="6"/>
  <c r="CI1" i="6"/>
  <c r="CP1" i="6"/>
  <c r="BS1" i="6"/>
  <c r="AR1" i="6"/>
  <c r="CV1" i="6"/>
  <c r="AZ1" i="6"/>
  <c r="S1" i="6"/>
  <c r="BN1" i="6"/>
  <c r="O1" i="6"/>
  <c r="AP1" i="6"/>
  <c r="AH1" i="6"/>
  <c r="CH1" i="6"/>
  <c r="BR1" i="6"/>
  <c r="AS1" i="6"/>
  <c r="DC1" i="6"/>
  <c r="CU1" i="6"/>
  <c r="AY1" i="6"/>
  <c r="BM1" i="6"/>
  <c r="CD1" i="6"/>
  <c r="N1" i="6"/>
  <c r="AO1" i="6"/>
  <c r="CG1" i="6"/>
  <c r="AA1" i="6"/>
  <c r="BQ1" i="6"/>
</calcChain>
</file>

<file path=xl/sharedStrings.xml><?xml version="1.0" encoding="utf-8"?>
<sst xmlns="http://schemas.openxmlformats.org/spreadsheetml/2006/main" count="312" uniqueCount="79">
  <si>
    <t>BTI</t>
  </si>
  <si>
    <t>Vol</t>
  </si>
  <si>
    <t>v/c</t>
  </si>
  <si>
    <t>Cap</t>
  </si>
  <si>
    <t>SB_291.7</t>
  </si>
  <si>
    <t>NB_279.9</t>
  </si>
  <si>
    <t>MP</t>
  </si>
  <si>
    <t>Location</t>
  </si>
  <si>
    <t>Lanes</t>
  </si>
  <si>
    <t>Type</t>
  </si>
  <si>
    <t>NB_283.0</t>
  </si>
  <si>
    <t>NB_288.6</t>
  </si>
  <si>
    <t>NB_292.3</t>
  </si>
  <si>
    <t>NB_297.4</t>
  </si>
  <si>
    <t>NB_302.0</t>
  </si>
  <si>
    <t>NB_309.0</t>
  </si>
  <si>
    <t>NB_304.9</t>
  </si>
  <si>
    <t>NB_316.0</t>
  </si>
  <si>
    <t>NB_318.2</t>
  </si>
  <si>
    <t>Template</t>
  </si>
  <si>
    <t>SB_297.3</t>
  </si>
  <si>
    <t>SB_314.5</t>
  </si>
  <si>
    <t>SB_302.0</t>
  </si>
  <si>
    <t>SB_319.1</t>
  </si>
  <si>
    <t>SB_314.0</t>
  </si>
  <si>
    <t>SB_287.7</t>
  </si>
  <si>
    <t>SB_290.1</t>
  </si>
  <si>
    <t>SB_295.3</t>
  </si>
  <si>
    <t>SB_310.4</t>
  </si>
  <si>
    <t>SB_308.1</t>
  </si>
  <si>
    <t>SB I-15 N of 123rd</t>
  </si>
  <si>
    <t>Basic</t>
  </si>
  <si>
    <t>NB I-15 at Lehi Main</t>
  </si>
  <si>
    <t>NB I-15 2300 West Lehi</t>
  </si>
  <si>
    <t>weave</t>
  </si>
  <si>
    <t>NB I-15 14600 South</t>
  </si>
  <si>
    <t>Weave + Aux</t>
  </si>
  <si>
    <t>NB I-15 11400 S</t>
  </si>
  <si>
    <t>basic</t>
  </si>
  <si>
    <t>NB I-15 S of 7200 South</t>
  </si>
  <si>
    <t>Weave + aux</t>
  </si>
  <si>
    <t>NB I-15 N of 4500 South</t>
  </si>
  <si>
    <t>NB I-15 at 1800 South</t>
  </si>
  <si>
    <t>Merge Area</t>
  </si>
  <si>
    <t>NB I-15 600 North</t>
  </si>
  <si>
    <t>NB I-15 1900 South (Woodscross)</t>
  </si>
  <si>
    <t>Weave</t>
  </si>
  <si>
    <t>NB I-15 S of US-89 On-ramp</t>
  </si>
  <si>
    <t>SB I-15 at 7700 South</t>
  </si>
  <si>
    <t>Weave (5 to 4, 1 on then 2 off, 6 total)</t>
  </si>
  <si>
    <t>SB I-15 NSL between 1100 N and Center</t>
  </si>
  <si>
    <t>SB I-15 4500 South</t>
  </si>
  <si>
    <t>SB I-15 Parish Lane</t>
  </si>
  <si>
    <t>SB I-15 NSL at Center</t>
  </si>
  <si>
    <t>Basic + 2 aux</t>
  </si>
  <si>
    <t>SB I-15 S of 14600 South</t>
  </si>
  <si>
    <t>Merge</t>
  </si>
  <si>
    <t>SB I-15 at Bangerter</t>
  </si>
  <si>
    <t>SB I-15 at 90th</t>
  </si>
  <si>
    <t>Basic &amp; Aux lane</t>
  </si>
  <si>
    <t>SB I-15 N of 1100 North</t>
  </si>
  <si>
    <t>SB I-15 200 South</t>
  </si>
  <si>
    <t>x1</t>
  </si>
  <si>
    <t>x2</t>
  </si>
  <si>
    <t>Ave Peak Period Speed</t>
  </si>
  <si>
    <t>Low v/c</t>
  </si>
  <si>
    <t>High v/c</t>
  </si>
  <si>
    <t>y1</t>
  </si>
  <si>
    <t>y2</t>
  </si>
  <si>
    <t>Total</t>
  </si>
  <si>
    <t>V/C</t>
  </si>
  <si>
    <t>Peak Speed</t>
  </si>
  <si>
    <t>Super High v/c</t>
  </si>
  <si>
    <t>Phase 1</t>
  </si>
  <si>
    <t>Phase 3</t>
  </si>
  <si>
    <t>max V/C</t>
  </si>
  <si>
    <t>median</t>
  </si>
  <si>
    <t>mean</t>
  </si>
  <si>
    <t>;V/C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</si>
</sst>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20" fontId="0" fillId="0" borderId="0" xfId="0" applyNumberFormat="1"/>
    <xf numFmtId="9" fontId="0" fillId="0" borderId="0" xfId="1" applyFont="1"/>
    <xf numFmtId="9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1" fontId="3" fillId="0" borderId="0" xfId="1" applyNumberFormat="1" applyFont="1"/>
    <xf numFmtId="2" fontId="3" fillId="0" borderId="0" xfId="1" applyNumberFormat="1" applyFon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9" fontId="0" fillId="4" borderId="5" xfId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9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164" fontId="6" fillId="4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Export!$C$2</c:f>
              <c:strCache>
                <c:ptCount val="1"/>
                <c:pt idx="0">
                  <c:v>BTI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Export!$B$3:$B$43</c:f>
              <c:numCache>
                <c:formatCode>General</c:formatCode>
                <c:ptCount val="41"/>
                <c:pt idx="0" formatCode="0.00">
                  <c:v>0</c:v>
                </c:pt>
                <c:pt idx="1">
                  <c:v>0.05</c:v>
                </c:pt>
                <c:pt idx="2" formatCode="0.00">
                  <c:v>0.1</c:v>
                </c:pt>
                <c:pt idx="3">
                  <c:v>0.15</c:v>
                </c:pt>
                <c:pt idx="4" formatCode="0.00">
                  <c:v>0.2</c:v>
                </c:pt>
                <c:pt idx="5">
                  <c:v>0.25</c:v>
                </c:pt>
                <c:pt idx="6" formatCode="0.00">
                  <c:v>0.3</c:v>
                </c:pt>
                <c:pt idx="7">
                  <c:v>0.35</c:v>
                </c:pt>
                <c:pt idx="8" formatCode="0.00">
                  <c:v>0.4</c:v>
                </c:pt>
                <c:pt idx="9">
                  <c:v>0.45</c:v>
                </c:pt>
                <c:pt idx="10" formatCode="0.00">
                  <c:v>0.5</c:v>
                </c:pt>
                <c:pt idx="11">
                  <c:v>0.55000000000000004</c:v>
                </c:pt>
                <c:pt idx="12" formatCode="0.00">
                  <c:v>0.6</c:v>
                </c:pt>
                <c:pt idx="13">
                  <c:v>0.65</c:v>
                </c:pt>
                <c:pt idx="14" formatCode="0.00">
                  <c:v>0.7</c:v>
                </c:pt>
                <c:pt idx="15">
                  <c:v>0.75</c:v>
                </c:pt>
                <c:pt idx="16" formatCode="0.00">
                  <c:v>0.8</c:v>
                </c:pt>
                <c:pt idx="17">
                  <c:v>0.85</c:v>
                </c:pt>
                <c:pt idx="18" formatCode="0.00">
                  <c:v>0.9</c:v>
                </c:pt>
                <c:pt idx="19">
                  <c:v>0.95</c:v>
                </c:pt>
                <c:pt idx="20" formatCode="0.00">
                  <c:v>1</c:v>
                </c:pt>
                <c:pt idx="21">
                  <c:v>1.05</c:v>
                </c:pt>
                <c:pt idx="22" formatCode="0.00">
                  <c:v>1.1000000000000001</c:v>
                </c:pt>
                <c:pt idx="23">
                  <c:v>1.1499999999999999</c:v>
                </c:pt>
                <c:pt idx="24" formatCode="0.00">
                  <c:v>1.2</c:v>
                </c:pt>
                <c:pt idx="25">
                  <c:v>1.25</c:v>
                </c:pt>
                <c:pt idx="26" formatCode="0.00">
                  <c:v>1.3</c:v>
                </c:pt>
                <c:pt idx="27">
                  <c:v>1.35</c:v>
                </c:pt>
                <c:pt idx="28" formatCode="0.00">
                  <c:v>1.4</c:v>
                </c:pt>
                <c:pt idx="29">
                  <c:v>1.45</c:v>
                </c:pt>
                <c:pt idx="30" formatCode="0.00">
                  <c:v>1.5</c:v>
                </c:pt>
                <c:pt idx="31">
                  <c:v>1.55</c:v>
                </c:pt>
                <c:pt idx="32" formatCode="0.00">
                  <c:v>1.6</c:v>
                </c:pt>
                <c:pt idx="33">
                  <c:v>1.65</c:v>
                </c:pt>
                <c:pt idx="34" formatCode="0.00">
                  <c:v>1.7</c:v>
                </c:pt>
                <c:pt idx="35">
                  <c:v>1.75</c:v>
                </c:pt>
                <c:pt idx="36" formatCode="0.00">
                  <c:v>1.8</c:v>
                </c:pt>
                <c:pt idx="37">
                  <c:v>1.85</c:v>
                </c:pt>
                <c:pt idx="38" formatCode="0.00">
                  <c:v>1.9</c:v>
                </c:pt>
                <c:pt idx="39">
                  <c:v>1.95</c:v>
                </c:pt>
                <c:pt idx="40" formatCode="0.00">
                  <c:v>2</c:v>
                </c:pt>
              </c:numCache>
            </c:numRef>
          </c:xVal>
          <c:yVal>
            <c:numRef>
              <c:f>Export!$C$3:$C$43</c:f>
              <c:numCache>
                <c:formatCode>0.000</c:formatCode>
                <c:ptCount val="4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0.08</c:v>
                </c:pt>
                <c:pt idx="14">
                  <c:v>0.12</c:v>
                </c:pt>
                <c:pt idx="15">
                  <c:v>0.16</c:v>
                </c:pt>
                <c:pt idx="16">
                  <c:v>0.2</c:v>
                </c:pt>
                <c:pt idx="17">
                  <c:v>0.217</c:v>
                </c:pt>
                <c:pt idx="18">
                  <c:v>0.23300000000000001</c:v>
                </c:pt>
                <c:pt idx="19">
                  <c:v>0.25</c:v>
                </c:pt>
                <c:pt idx="20">
                  <c:v>0.26700000000000002</c:v>
                </c:pt>
                <c:pt idx="21">
                  <c:v>0.28299999999999997</c:v>
                </c:pt>
                <c:pt idx="22">
                  <c:v>0.3</c:v>
                </c:pt>
                <c:pt idx="23">
                  <c:v>0.317</c:v>
                </c:pt>
                <c:pt idx="24">
                  <c:v>0.33300000000000002</c:v>
                </c:pt>
                <c:pt idx="25">
                  <c:v>0.35</c:v>
                </c:pt>
                <c:pt idx="26">
                  <c:v>0.36699999999999999</c:v>
                </c:pt>
                <c:pt idx="27">
                  <c:v>0.38300000000000001</c:v>
                </c:pt>
                <c:pt idx="28">
                  <c:v>0.4</c:v>
                </c:pt>
                <c:pt idx="29">
                  <c:v>0.41699999999999998</c:v>
                </c:pt>
                <c:pt idx="30">
                  <c:v>0.433</c:v>
                </c:pt>
                <c:pt idx="31">
                  <c:v>0.45</c:v>
                </c:pt>
                <c:pt idx="32">
                  <c:v>0.46700000000000003</c:v>
                </c:pt>
                <c:pt idx="33">
                  <c:v>0.48299999999999998</c:v>
                </c:pt>
                <c:pt idx="34">
                  <c:v>0.5</c:v>
                </c:pt>
                <c:pt idx="35">
                  <c:v>0.51700000000000002</c:v>
                </c:pt>
                <c:pt idx="36">
                  <c:v>0.53300000000000003</c:v>
                </c:pt>
                <c:pt idx="37">
                  <c:v>0.55000000000000004</c:v>
                </c:pt>
                <c:pt idx="38">
                  <c:v>0.56699999999999995</c:v>
                </c:pt>
                <c:pt idx="39">
                  <c:v>0.58299999999999996</c:v>
                </c:pt>
                <c:pt idx="4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7-4FF2-BF00-DBEF564A6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63536"/>
        <c:axId val="459515616"/>
      </c:scatterChart>
      <c:valAx>
        <c:axId val="251063536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V/C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15616"/>
        <c:crosses val="autoZero"/>
        <c:crossBetween val="midCat"/>
        <c:majorUnit val="0.2"/>
      </c:valAx>
      <c:valAx>
        <c:axId val="4595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6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'Eqtn Simplified'!$R$7</c:f>
              <c:strCache>
                <c:ptCount val="1"/>
                <c:pt idx="0">
                  <c:v>Phase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'Eqtn Simplified'!$S$9:$S$352</c:f>
              <c:numCache>
                <c:formatCode>0.000</c:formatCode>
                <c:ptCount val="344"/>
                <c:pt idx="0">
                  <c:v>2.5838046183751767E-2</c:v>
                </c:pt>
                <c:pt idx="1">
                  <c:v>2.6163471812763097E-2</c:v>
                </c:pt>
                <c:pt idx="2">
                  <c:v>2.8516676355963215E-2</c:v>
                </c:pt>
                <c:pt idx="3">
                  <c:v>2.9511088528472101E-2</c:v>
                </c:pt>
                <c:pt idx="4">
                  <c:v>3.0188941883430687E-2</c:v>
                </c:pt>
                <c:pt idx="5">
                  <c:v>3.2749894000423996E-2</c:v>
                </c:pt>
                <c:pt idx="6">
                  <c:v>3.328927655419308E-2</c:v>
                </c:pt>
                <c:pt idx="7">
                  <c:v>3.3425146448384235E-2</c:v>
                </c:pt>
                <c:pt idx="8">
                  <c:v>3.3450816196735213E-2</c:v>
                </c:pt>
                <c:pt idx="9">
                  <c:v>3.3828439686241253E-2</c:v>
                </c:pt>
                <c:pt idx="10">
                  <c:v>3.4241865190770278E-2</c:v>
                </c:pt>
                <c:pt idx="11">
                  <c:v>3.4767525815037441E-2</c:v>
                </c:pt>
                <c:pt idx="12">
                  <c:v>3.5050382541171793E-2</c:v>
                </c:pt>
                <c:pt idx="13">
                  <c:v>3.5499258002967993E-2</c:v>
                </c:pt>
                <c:pt idx="14">
                  <c:v>3.6956325429202783E-2</c:v>
                </c:pt>
                <c:pt idx="15">
                  <c:v>3.7220499602308756E-2</c:v>
                </c:pt>
                <c:pt idx="16">
                  <c:v>3.8468998457719748E-2</c:v>
                </c:pt>
                <c:pt idx="17">
                  <c:v>3.8577220691117235E-2</c:v>
                </c:pt>
                <c:pt idx="18">
                  <c:v>3.9397333401993709E-2</c:v>
                </c:pt>
                <c:pt idx="19">
                  <c:v>3.9500777408917095E-2</c:v>
                </c:pt>
                <c:pt idx="20">
                  <c:v>3.9755235130957682E-2</c:v>
                </c:pt>
                <c:pt idx="21">
                  <c:v>3.9763090947636213E-2</c:v>
                </c:pt>
                <c:pt idx="22">
                  <c:v>4.000528920624126E-2</c:v>
                </c:pt>
                <c:pt idx="23">
                  <c:v>4.1407835581245986E-2</c:v>
                </c:pt>
                <c:pt idx="24">
                  <c:v>4.1593523814707781E-2</c:v>
                </c:pt>
                <c:pt idx="25">
                  <c:v>4.1894726072944928E-2</c:v>
                </c:pt>
                <c:pt idx="26">
                  <c:v>4.2291307727864852E-2</c:v>
                </c:pt>
                <c:pt idx="27">
                  <c:v>4.3337590869430141E-2</c:v>
                </c:pt>
                <c:pt idx="28">
                  <c:v>4.3422687266018362E-2</c:v>
                </c:pt>
                <c:pt idx="29">
                  <c:v>4.3478104560281665E-2</c:v>
                </c:pt>
                <c:pt idx="30">
                  <c:v>4.3599843129230792E-2</c:v>
                </c:pt>
                <c:pt idx="31">
                  <c:v>4.4104824137496321E-2</c:v>
                </c:pt>
                <c:pt idx="32">
                  <c:v>4.4106313045449409E-2</c:v>
                </c:pt>
                <c:pt idx="33">
                  <c:v>4.424647364513732E-2</c:v>
                </c:pt>
                <c:pt idx="34">
                  <c:v>4.4475526694305774E-2</c:v>
                </c:pt>
                <c:pt idx="35">
                  <c:v>4.4671682249486498E-2</c:v>
                </c:pt>
                <c:pt idx="36">
                  <c:v>4.4725555572749702E-2</c:v>
                </c:pt>
                <c:pt idx="37">
                  <c:v>4.4915910136802906E-2</c:v>
                </c:pt>
                <c:pt idx="38">
                  <c:v>4.4943475369584131E-2</c:v>
                </c:pt>
                <c:pt idx="39">
                  <c:v>4.4976782787746354E-2</c:v>
                </c:pt>
                <c:pt idx="40">
                  <c:v>4.5068462151295653E-2</c:v>
                </c:pt>
                <c:pt idx="41">
                  <c:v>4.5125684238718877E-2</c:v>
                </c:pt>
                <c:pt idx="42">
                  <c:v>4.6826637693449226E-2</c:v>
                </c:pt>
                <c:pt idx="43">
                  <c:v>4.6843177189409377E-2</c:v>
                </c:pt>
                <c:pt idx="44">
                  <c:v>4.8647136342718486E-2</c:v>
                </c:pt>
                <c:pt idx="45">
                  <c:v>4.8758772114132036E-2</c:v>
                </c:pt>
                <c:pt idx="46">
                  <c:v>4.8878272471319914E-2</c:v>
                </c:pt>
                <c:pt idx="47">
                  <c:v>4.9453781952056228E-2</c:v>
                </c:pt>
                <c:pt idx="48">
                  <c:v>4.9549797422327256E-2</c:v>
                </c:pt>
                <c:pt idx="49">
                  <c:v>5.2516853815328099E-2</c:v>
                </c:pt>
                <c:pt idx="50">
                  <c:v>5.2870564564257289E-2</c:v>
                </c:pt>
                <c:pt idx="51">
                  <c:v>5.3782290743320249E-2</c:v>
                </c:pt>
                <c:pt idx="52">
                  <c:v>5.4043009918402683E-2</c:v>
                </c:pt>
                <c:pt idx="53">
                  <c:v>5.4050508797964809E-2</c:v>
                </c:pt>
                <c:pt idx="54">
                  <c:v>5.4564889947038529E-2</c:v>
                </c:pt>
                <c:pt idx="55">
                  <c:v>5.4707095291214536E-2</c:v>
                </c:pt>
                <c:pt idx="56">
                  <c:v>5.5653099291852318E-2</c:v>
                </c:pt>
                <c:pt idx="57">
                  <c:v>5.5664649256181115E-2</c:v>
                </c:pt>
                <c:pt idx="58">
                  <c:v>5.5806650608982974E-2</c:v>
                </c:pt>
                <c:pt idx="59">
                  <c:v>5.7201763167511625E-2</c:v>
                </c:pt>
                <c:pt idx="60">
                  <c:v>5.9576949052382762E-2</c:v>
                </c:pt>
                <c:pt idx="61">
                  <c:v>6.1398404262197538E-2</c:v>
                </c:pt>
                <c:pt idx="62">
                  <c:v>6.1802936090048118E-2</c:v>
                </c:pt>
                <c:pt idx="63">
                  <c:v>6.1836070046208627E-2</c:v>
                </c:pt>
                <c:pt idx="64">
                  <c:v>6.2238850288021855E-2</c:v>
                </c:pt>
                <c:pt idx="65">
                  <c:v>6.4153162846386697E-2</c:v>
                </c:pt>
                <c:pt idx="66">
                  <c:v>6.4783471613881399E-2</c:v>
                </c:pt>
                <c:pt idx="67">
                  <c:v>6.545203823340516E-2</c:v>
                </c:pt>
                <c:pt idx="68">
                  <c:v>6.6046321813360911E-2</c:v>
                </c:pt>
                <c:pt idx="69">
                  <c:v>6.6081398196455601E-2</c:v>
                </c:pt>
                <c:pt idx="70">
                  <c:v>6.6171748082662712E-2</c:v>
                </c:pt>
                <c:pt idx="71">
                  <c:v>6.7823675253183183E-2</c:v>
                </c:pt>
                <c:pt idx="72">
                  <c:v>6.893693739880126E-2</c:v>
                </c:pt>
                <c:pt idx="73">
                  <c:v>6.9357326258496346E-2</c:v>
                </c:pt>
                <c:pt idx="74">
                  <c:v>6.9550631719867792E-2</c:v>
                </c:pt>
                <c:pt idx="75">
                  <c:v>7.5166061044945304E-2</c:v>
                </c:pt>
                <c:pt idx="76">
                  <c:v>7.5301538558946432E-2</c:v>
                </c:pt>
                <c:pt idx="77">
                  <c:v>7.854581573467824E-2</c:v>
                </c:pt>
                <c:pt idx="78">
                  <c:v>7.9294352285678105E-2</c:v>
                </c:pt>
                <c:pt idx="79">
                  <c:v>8.1651296068450882E-2</c:v>
                </c:pt>
                <c:pt idx="80">
                  <c:v>8.3583955932632653E-2</c:v>
                </c:pt>
                <c:pt idx="81">
                  <c:v>8.6028185808956992E-2</c:v>
                </c:pt>
                <c:pt idx="82">
                  <c:v>8.8038673405576945E-2</c:v>
                </c:pt>
                <c:pt idx="83">
                  <c:v>8.8421790155894214E-2</c:v>
                </c:pt>
                <c:pt idx="84">
                  <c:v>9.0727573447917154E-2</c:v>
                </c:pt>
                <c:pt idx="85">
                  <c:v>9.0837414995041971E-2</c:v>
                </c:pt>
                <c:pt idx="86">
                  <c:v>9.1939015014282519E-2</c:v>
                </c:pt>
                <c:pt idx="87">
                  <c:v>9.2974203820211487E-2</c:v>
                </c:pt>
                <c:pt idx="88">
                  <c:v>9.590430883080138E-2</c:v>
                </c:pt>
                <c:pt idx="89">
                  <c:v>9.6027440767325056E-2</c:v>
                </c:pt>
                <c:pt idx="90">
                  <c:v>9.6214252474828663E-2</c:v>
                </c:pt>
                <c:pt idx="91">
                  <c:v>9.7492021583684391E-2</c:v>
                </c:pt>
                <c:pt idx="92">
                  <c:v>9.9944320712694865E-2</c:v>
                </c:pt>
                <c:pt idx="93">
                  <c:v>0.10105079739478745</c:v>
                </c:pt>
                <c:pt idx="94">
                  <c:v>0.10179329327226121</c:v>
                </c:pt>
                <c:pt idx="95">
                  <c:v>0.10190081801238568</c:v>
                </c:pt>
                <c:pt idx="96">
                  <c:v>0.10487912735849056</c:v>
                </c:pt>
                <c:pt idx="97">
                  <c:v>0.1079101524614967</c:v>
                </c:pt>
                <c:pt idx="98">
                  <c:v>0.10844312759091131</c:v>
                </c:pt>
                <c:pt idx="99">
                  <c:v>0.11119069477860791</c:v>
                </c:pt>
                <c:pt idx="100">
                  <c:v>0.11486344515475928</c:v>
                </c:pt>
                <c:pt idx="101">
                  <c:v>0.1169842837332437</c:v>
                </c:pt>
                <c:pt idx="102">
                  <c:v>0.11758456569777324</c:v>
                </c:pt>
                <c:pt idx="103">
                  <c:v>0.11934829938612916</c:v>
                </c:pt>
                <c:pt idx="104">
                  <c:v>0.11967683991624598</c:v>
                </c:pt>
                <c:pt idx="105">
                  <c:v>0.12901285587938005</c:v>
                </c:pt>
                <c:pt idx="106">
                  <c:v>0.13502442884668317</c:v>
                </c:pt>
                <c:pt idx="107">
                  <c:v>0.14172244243974999</c:v>
                </c:pt>
                <c:pt idx="108">
                  <c:v>0.14368700279062019</c:v>
                </c:pt>
                <c:pt idx="109">
                  <c:v>0.14570585476022413</c:v>
                </c:pt>
                <c:pt idx="110">
                  <c:v>0.14716806304258406</c:v>
                </c:pt>
                <c:pt idx="111">
                  <c:v>0.14792322409430367</c:v>
                </c:pt>
                <c:pt idx="112">
                  <c:v>0.15336845874469288</c:v>
                </c:pt>
                <c:pt idx="113">
                  <c:v>0.1546445052277102</c:v>
                </c:pt>
                <c:pt idx="114">
                  <c:v>0.15746440087639504</c:v>
                </c:pt>
                <c:pt idx="115">
                  <c:v>0.15900677870798449</c:v>
                </c:pt>
                <c:pt idx="116">
                  <c:v>0.1611947602982215</c:v>
                </c:pt>
                <c:pt idx="117">
                  <c:v>0.16316797867466368</c:v>
                </c:pt>
                <c:pt idx="118">
                  <c:v>0.16319696304497211</c:v>
                </c:pt>
                <c:pt idx="119">
                  <c:v>0.17288718095856279</c:v>
                </c:pt>
                <c:pt idx="120">
                  <c:v>0.17452161625176615</c:v>
                </c:pt>
                <c:pt idx="121">
                  <c:v>0.17494551255053908</c:v>
                </c:pt>
                <c:pt idx="122">
                  <c:v>0.17695557734351311</c:v>
                </c:pt>
                <c:pt idx="123">
                  <c:v>0.17823619729011017</c:v>
                </c:pt>
                <c:pt idx="124">
                  <c:v>0.18200775042757264</c:v>
                </c:pt>
                <c:pt idx="125">
                  <c:v>0.18279113175067813</c:v>
                </c:pt>
                <c:pt idx="126">
                  <c:v>0.18282381864892183</c:v>
                </c:pt>
                <c:pt idx="127">
                  <c:v>0.18580875505833971</c:v>
                </c:pt>
                <c:pt idx="128">
                  <c:v>0.19009831460674156</c:v>
                </c:pt>
                <c:pt idx="129">
                  <c:v>0.19071146329118246</c:v>
                </c:pt>
                <c:pt idx="130">
                  <c:v>0.19456467165312769</c:v>
                </c:pt>
                <c:pt idx="131">
                  <c:v>0.20703239759168343</c:v>
                </c:pt>
                <c:pt idx="132">
                  <c:v>0.21534502686492565</c:v>
                </c:pt>
                <c:pt idx="133">
                  <c:v>0.2176650466357998</c:v>
                </c:pt>
                <c:pt idx="134">
                  <c:v>0.2194699459745364</c:v>
                </c:pt>
                <c:pt idx="135">
                  <c:v>0.22885528488852194</c:v>
                </c:pt>
                <c:pt idx="136">
                  <c:v>0.23611146069301117</c:v>
                </c:pt>
                <c:pt idx="137">
                  <c:v>0.24438742278438461</c:v>
                </c:pt>
                <c:pt idx="138">
                  <c:v>0.24985749428843185</c:v>
                </c:pt>
                <c:pt idx="139">
                  <c:v>0.25284282345013476</c:v>
                </c:pt>
                <c:pt idx="140">
                  <c:v>0.25332620032446523</c:v>
                </c:pt>
                <c:pt idx="141">
                  <c:v>0.26758997009770891</c:v>
                </c:pt>
                <c:pt idx="142">
                  <c:v>0.27067270390844733</c:v>
                </c:pt>
                <c:pt idx="143">
                  <c:v>0.27090074379123419</c:v>
                </c:pt>
                <c:pt idx="144">
                  <c:v>0.27173236623018032</c:v>
                </c:pt>
                <c:pt idx="145">
                  <c:v>0.27177582972859188</c:v>
                </c:pt>
                <c:pt idx="146">
                  <c:v>0.272447682480985</c:v>
                </c:pt>
                <c:pt idx="147">
                  <c:v>0.2725386541027689</c:v>
                </c:pt>
                <c:pt idx="148">
                  <c:v>0.27475893304391386</c:v>
                </c:pt>
                <c:pt idx="149">
                  <c:v>0.27739972475522123</c:v>
                </c:pt>
                <c:pt idx="150">
                  <c:v>0.27807045382418266</c:v>
                </c:pt>
                <c:pt idx="151">
                  <c:v>0.279629877071085</c:v>
                </c:pt>
                <c:pt idx="152">
                  <c:v>0.28022064214708353</c:v>
                </c:pt>
                <c:pt idx="153">
                  <c:v>0.28106838554782826</c:v>
                </c:pt>
                <c:pt idx="154">
                  <c:v>0.29221335264334525</c:v>
                </c:pt>
                <c:pt idx="155">
                  <c:v>0.29436712073779508</c:v>
                </c:pt>
                <c:pt idx="156">
                  <c:v>0.29748439104491103</c:v>
                </c:pt>
                <c:pt idx="157">
                  <c:v>0.29795864069587291</c:v>
                </c:pt>
                <c:pt idx="158">
                  <c:v>0.29908467113817488</c:v>
                </c:pt>
                <c:pt idx="159">
                  <c:v>0.30350468392617314</c:v>
                </c:pt>
                <c:pt idx="160">
                  <c:v>0.30504154966378166</c:v>
                </c:pt>
                <c:pt idx="161">
                  <c:v>0.3065092481238656</c:v>
                </c:pt>
                <c:pt idx="162">
                  <c:v>0.30806730121293802</c:v>
                </c:pt>
                <c:pt idx="163">
                  <c:v>0.31396079187969617</c:v>
                </c:pt>
                <c:pt idx="164">
                  <c:v>0.32147601090828443</c:v>
                </c:pt>
                <c:pt idx="165">
                  <c:v>0.32445660167247975</c:v>
                </c:pt>
                <c:pt idx="166">
                  <c:v>0.32505514362339732</c:v>
                </c:pt>
                <c:pt idx="167">
                  <c:v>0.33744603336249795</c:v>
                </c:pt>
                <c:pt idx="168">
                  <c:v>0.3411860121177423</c:v>
                </c:pt>
                <c:pt idx="169">
                  <c:v>0.3426993288172222</c:v>
                </c:pt>
                <c:pt idx="170">
                  <c:v>0.34382832881477315</c:v>
                </c:pt>
                <c:pt idx="171">
                  <c:v>0.35025160734546368</c:v>
                </c:pt>
                <c:pt idx="172">
                  <c:v>0.35409021715399919</c:v>
                </c:pt>
                <c:pt idx="173">
                  <c:v>0.35719286977762799</c:v>
                </c:pt>
                <c:pt idx="174">
                  <c:v>0.35822821425127876</c:v>
                </c:pt>
                <c:pt idx="175">
                  <c:v>0.36326268464996792</c:v>
                </c:pt>
                <c:pt idx="176">
                  <c:v>0.36360637205980428</c:v>
                </c:pt>
                <c:pt idx="177">
                  <c:v>0.36444056845079026</c:v>
                </c:pt>
                <c:pt idx="178">
                  <c:v>0.36649291219377955</c:v>
                </c:pt>
                <c:pt idx="179">
                  <c:v>0.36896221720323075</c:v>
                </c:pt>
                <c:pt idx="180">
                  <c:v>0.3698676223562648</c:v>
                </c:pt>
                <c:pt idx="181">
                  <c:v>0.37603898262821051</c:v>
                </c:pt>
                <c:pt idx="182">
                  <c:v>0.37737745632470227</c:v>
                </c:pt>
                <c:pt idx="183">
                  <c:v>0.37901177167317757</c:v>
                </c:pt>
                <c:pt idx="184">
                  <c:v>0.38017746076139591</c:v>
                </c:pt>
                <c:pt idx="185">
                  <c:v>0.38054776288834669</c:v>
                </c:pt>
                <c:pt idx="186">
                  <c:v>0.38857874773084194</c:v>
                </c:pt>
                <c:pt idx="187">
                  <c:v>0.39067748289446402</c:v>
                </c:pt>
                <c:pt idx="188">
                  <c:v>0.39892722520721396</c:v>
                </c:pt>
                <c:pt idx="189">
                  <c:v>0.40082138918872967</c:v>
                </c:pt>
                <c:pt idx="190">
                  <c:v>0.40768269109551625</c:v>
                </c:pt>
                <c:pt idx="191">
                  <c:v>0.40807571495050343</c:v>
                </c:pt>
                <c:pt idx="192">
                  <c:v>0.40891921944097825</c:v>
                </c:pt>
                <c:pt idx="193">
                  <c:v>0.40917958731513493</c:v>
                </c:pt>
                <c:pt idx="194">
                  <c:v>0.40961964743455059</c:v>
                </c:pt>
                <c:pt idx="195">
                  <c:v>0.41798701799427579</c:v>
                </c:pt>
                <c:pt idx="196">
                  <c:v>0.41815048523470366</c:v>
                </c:pt>
                <c:pt idx="197">
                  <c:v>0.42166034384861423</c:v>
                </c:pt>
                <c:pt idx="198">
                  <c:v>0.42723478799848724</c:v>
                </c:pt>
                <c:pt idx="199">
                  <c:v>0.4277248148767937</c:v>
                </c:pt>
                <c:pt idx="200">
                  <c:v>0.42787254737899005</c:v>
                </c:pt>
                <c:pt idx="201">
                  <c:v>0.42825017137369142</c:v>
                </c:pt>
                <c:pt idx="202">
                  <c:v>0.42856324711566496</c:v>
                </c:pt>
                <c:pt idx="203">
                  <c:v>0.42888281034957343</c:v>
                </c:pt>
                <c:pt idx="204">
                  <c:v>0.43115795789665756</c:v>
                </c:pt>
                <c:pt idx="205">
                  <c:v>0.43827237898061988</c:v>
                </c:pt>
                <c:pt idx="206">
                  <c:v>0.43861028658716533</c:v>
                </c:pt>
                <c:pt idx="207">
                  <c:v>0.44421856043174496</c:v>
                </c:pt>
                <c:pt idx="208">
                  <c:v>0.44457232314891287</c:v>
                </c:pt>
                <c:pt idx="209">
                  <c:v>0.44649840706614008</c:v>
                </c:pt>
                <c:pt idx="210">
                  <c:v>0.44705608900281552</c:v>
                </c:pt>
                <c:pt idx="211">
                  <c:v>0.44733519130195465</c:v>
                </c:pt>
                <c:pt idx="212">
                  <c:v>0.45006480281429384</c:v>
                </c:pt>
                <c:pt idx="213">
                  <c:v>0.4510635082549394</c:v>
                </c:pt>
                <c:pt idx="214">
                  <c:v>0.46224585299317278</c:v>
                </c:pt>
                <c:pt idx="215">
                  <c:v>0.46261981507686295</c:v>
                </c:pt>
                <c:pt idx="216">
                  <c:v>0.46296621249655939</c:v>
                </c:pt>
                <c:pt idx="217">
                  <c:v>0.46546402780096846</c:v>
                </c:pt>
                <c:pt idx="218">
                  <c:v>0.469122986381451</c:v>
                </c:pt>
                <c:pt idx="219">
                  <c:v>0.47125492432096205</c:v>
                </c:pt>
                <c:pt idx="220">
                  <c:v>0.47470594041136172</c:v>
                </c:pt>
                <c:pt idx="221">
                  <c:v>0.47718106530541915</c:v>
                </c:pt>
                <c:pt idx="222">
                  <c:v>0.48015603294452069</c:v>
                </c:pt>
                <c:pt idx="223">
                  <c:v>0.4809668224892123</c:v>
                </c:pt>
                <c:pt idx="224">
                  <c:v>0.48305644826871241</c:v>
                </c:pt>
                <c:pt idx="225">
                  <c:v>0.48537866801641882</c:v>
                </c:pt>
                <c:pt idx="226">
                  <c:v>0.48710944881981055</c:v>
                </c:pt>
                <c:pt idx="227">
                  <c:v>0.48831297638385607</c:v>
                </c:pt>
                <c:pt idx="228">
                  <c:v>0.48954768309200852</c:v>
                </c:pt>
                <c:pt idx="229">
                  <c:v>0.4902946035242291</c:v>
                </c:pt>
                <c:pt idx="230">
                  <c:v>0.49075403717048155</c:v>
                </c:pt>
                <c:pt idx="231">
                  <c:v>0.49239168368928293</c:v>
                </c:pt>
                <c:pt idx="232">
                  <c:v>0.4941001435881463</c:v>
                </c:pt>
                <c:pt idx="233">
                  <c:v>0.50236636971046766</c:v>
                </c:pt>
                <c:pt idx="234">
                  <c:v>0.50407051146459092</c:v>
                </c:pt>
                <c:pt idx="235">
                  <c:v>0.50419032170857003</c:v>
                </c:pt>
                <c:pt idx="236">
                  <c:v>0.50692921721823436</c:v>
                </c:pt>
                <c:pt idx="237">
                  <c:v>0.51153009780162717</c:v>
                </c:pt>
                <c:pt idx="238">
                  <c:v>0.51271644136034777</c:v>
                </c:pt>
                <c:pt idx="239">
                  <c:v>0.51355678918434811</c:v>
                </c:pt>
                <c:pt idx="240">
                  <c:v>0.5139980582429059</c:v>
                </c:pt>
                <c:pt idx="241">
                  <c:v>0.51405675859791089</c:v>
                </c:pt>
                <c:pt idx="242">
                  <c:v>0.51603067454328411</c:v>
                </c:pt>
                <c:pt idx="243">
                  <c:v>0.5165146403432046</c:v>
                </c:pt>
                <c:pt idx="244">
                  <c:v>0.51665617162195465</c:v>
                </c:pt>
                <c:pt idx="245">
                  <c:v>0.51667434746160701</c:v>
                </c:pt>
                <c:pt idx="246">
                  <c:v>0.51687983119092173</c:v>
                </c:pt>
                <c:pt idx="247">
                  <c:v>0.51690778369610468</c:v>
                </c:pt>
                <c:pt idx="248">
                  <c:v>0.52086826711104195</c:v>
                </c:pt>
                <c:pt idx="249">
                  <c:v>0.52117008232615203</c:v>
                </c:pt>
                <c:pt idx="250">
                  <c:v>0.52215442085252384</c:v>
                </c:pt>
                <c:pt idx="251">
                  <c:v>0.52274899124739727</c:v>
                </c:pt>
                <c:pt idx="252">
                  <c:v>0.52284345320306247</c:v>
                </c:pt>
                <c:pt idx="253">
                  <c:v>0.52410814694489571</c:v>
                </c:pt>
                <c:pt idx="254">
                  <c:v>0.52452418940008239</c:v>
                </c:pt>
                <c:pt idx="255">
                  <c:v>0.52577300499907442</c:v>
                </c:pt>
                <c:pt idx="256">
                  <c:v>0.52729205796977718</c:v>
                </c:pt>
                <c:pt idx="257">
                  <c:v>0.52932775237572871</c:v>
                </c:pt>
                <c:pt idx="258">
                  <c:v>0.53185900082576354</c:v>
                </c:pt>
                <c:pt idx="259">
                  <c:v>0.53514587276416525</c:v>
                </c:pt>
                <c:pt idx="260">
                  <c:v>0.53675403397933918</c:v>
                </c:pt>
                <c:pt idx="261">
                  <c:v>0.54419383573846425</c:v>
                </c:pt>
                <c:pt idx="262">
                  <c:v>0.54687694381090601</c:v>
                </c:pt>
                <c:pt idx="263">
                  <c:v>0.54802044649336268</c:v>
                </c:pt>
                <c:pt idx="264">
                  <c:v>0.54898022084048026</c:v>
                </c:pt>
                <c:pt idx="265">
                  <c:v>0.54929234541951266</c:v>
                </c:pt>
                <c:pt idx="266">
                  <c:v>0.54999352063031304</c:v>
                </c:pt>
                <c:pt idx="267">
                  <c:v>0.55048292902066487</c:v>
                </c:pt>
                <c:pt idx="268">
                  <c:v>0.55310349573355344</c:v>
                </c:pt>
                <c:pt idx="269">
                  <c:v>0.55736864494595273</c:v>
                </c:pt>
                <c:pt idx="270">
                  <c:v>0.56142259862778732</c:v>
                </c:pt>
                <c:pt idx="271">
                  <c:v>0.56825250958540807</c:v>
                </c:pt>
                <c:pt idx="272">
                  <c:v>0.57352300291904779</c:v>
                </c:pt>
                <c:pt idx="273">
                  <c:v>0.57443461913086391</c:v>
                </c:pt>
                <c:pt idx="274">
                  <c:v>0.57536569853720587</c:v>
                </c:pt>
                <c:pt idx="275">
                  <c:v>0.57591240875912375</c:v>
                </c:pt>
                <c:pt idx="276">
                  <c:v>0.57872726691937471</c:v>
                </c:pt>
                <c:pt idx="277">
                  <c:v>0.58230541109726219</c:v>
                </c:pt>
                <c:pt idx="278">
                  <c:v>0.58275816020908444</c:v>
                </c:pt>
                <c:pt idx="279">
                  <c:v>0.58292461689503483</c:v>
                </c:pt>
                <c:pt idx="280">
                  <c:v>0.58381763474067183</c:v>
                </c:pt>
                <c:pt idx="281">
                  <c:v>0.58387315376077864</c:v>
                </c:pt>
                <c:pt idx="282">
                  <c:v>0.58431074964040952</c:v>
                </c:pt>
                <c:pt idx="283">
                  <c:v>0.58841469777926192</c:v>
                </c:pt>
                <c:pt idx="284">
                  <c:v>0.5901111859838275</c:v>
                </c:pt>
                <c:pt idx="285">
                  <c:v>0.59336710073469467</c:v>
                </c:pt>
                <c:pt idx="286">
                  <c:v>0.59602444932980447</c:v>
                </c:pt>
                <c:pt idx="287">
                  <c:v>0.59656633118859226</c:v>
                </c:pt>
                <c:pt idx="288">
                  <c:v>0.59750394114555971</c:v>
                </c:pt>
                <c:pt idx="289">
                  <c:v>0.59785639412997904</c:v>
                </c:pt>
                <c:pt idx="290">
                  <c:v>0.59894048527326205</c:v>
                </c:pt>
                <c:pt idx="291">
                  <c:v>0.60183962264150948</c:v>
                </c:pt>
                <c:pt idx="292">
                  <c:v>0.60216769132923476</c:v>
                </c:pt>
                <c:pt idx="293">
                  <c:v>0.60366731077580893</c:v>
                </c:pt>
                <c:pt idx="294">
                  <c:v>0.60380330066180732</c:v>
                </c:pt>
                <c:pt idx="295">
                  <c:v>0.60494569584489044</c:v>
                </c:pt>
                <c:pt idx="296">
                  <c:v>0.61237384668924477</c:v>
                </c:pt>
                <c:pt idx="297">
                  <c:v>0.61525628206242933</c:v>
                </c:pt>
                <c:pt idx="298">
                  <c:v>0.6161503364708889</c:v>
                </c:pt>
                <c:pt idx="299">
                  <c:v>0.61770914215051864</c:v>
                </c:pt>
                <c:pt idx="300">
                  <c:v>0.620821184374307</c:v>
                </c:pt>
                <c:pt idx="301">
                  <c:v>0.62159771982632306</c:v>
                </c:pt>
                <c:pt idx="302">
                  <c:v>0.6232834609344674</c:v>
                </c:pt>
                <c:pt idx="303">
                  <c:v>0.62364734676873368</c:v>
                </c:pt>
                <c:pt idx="304">
                  <c:v>0.6295566672714864</c:v>
                </c:pt>
                <c:pt idx="305">
                  <c:v>0.63404948249697346</c:v>
                </c:pt>
                <c:pt idx="306">
                  <c:v>0.63407836422716535</c:v>
                </c:pt>
                <c:pt idx="307">
                  <c:v>0.63442910574634426</c:v>
                </c:pt>
                <c:pt idx="308">
                  <c:v>0.63838150289017359</c:v>
                </c:pt>
                <c:pt idx="309">
                  <c:v>0.63981190026517043</c:v>
                </c:pt>
                <c:pt idx="310">
                  <c:v>0.64066845291575758</c:v>
                </c:pt>
                <c:pt idx="311">
                  <c:v>0.6409596618807879</c:v>
                </c:pt>
                <c:pt idx="312">
                  <c:v>0.6417556875030036</c:v>
                </c:pt>
                <c:pt idx="313">
                  <c:v>0.64230998533700712</c:v>
                </c:pt>
                <c:pt idx="314">
                  <c:v>0.64551980905161732</c:v>
                </c:pt>
                <c:pt idx="315">
                  <c:v>0.64674432687404382</c:v>
                </c:pt>
                <c:pt idx="316">
                  <c:v>0.64707658110200261</c:v>
                </c:pt>
                <c:pt idx="317">
                  <c:v>0.64750096339113672</c:v>
                </c:pt>
                <c:pt idx="318">
                  <c:v>0.65130568356374829</c:v>
                </c:pt>
                <c:pt idx="319">
                  <c:v>0.6514993261455525</c:v>
                </c:pt>
                <c:pt idx="320">
                  <c:v>0.65197589686098656</c:v>
                </c:pt>
                <c:pt idx="321">
                  <c:v>0.65221365708496903</c:v>
                </c:pt>
                <c:pt idx="322">
                  <c:v>0.66269574356279548</c:v>
                </c:pt>
                <c:pt idx="323">
                  <c:v>0.66835160454454834</c:v>
                </c:pt>
                <c:pt idx="324">
                  <c:v>0.67119600017075043</c:v>
                </c:pt>
                <c:pt idx="325">
                  <c:v>0.67369433112357635</c:v>
                </c:pt>
                <c:pt idx="326">
                  <c:v>0.67392672364354467</c:v>
                </c:pt>
                <c:pt idx="327">
                  <c:v>0.67453179190751444</c:v>
                </c:pt>
                <c:pt idx="328">
                  <c:v>0.67675959236652894</c:v>
                </c:pt>
                <c:pt idx="329">
                  <c:v>0.67952290802944415</c:v>
                </c:pt>
                <c:pt idx="330">
                  <c:v>0.68990741691178126</c:v>
                </c:pt>
                <c:pt idx="331">
                  <c:v>0.69061139332365751</c:v>
                </c:pt>
                <c:pt idx="332">
                  <c:v>0.69061356525428252</c:v>
                </c:pt>
                <c:pt idx="333">
                  <c:v>0.69184270845566076</c:v>
                </c:pt>
                <c:pt idx="334">
                  <c:v>0.69242279396483641</c:v>
                </c:pt>
                <c:pt idx="335">
                  <c:v>0.6926650423904912</c:v>
                </c:pt>
                <c:pt idx="336">
                  <c:v>0.69324545532868098</c:v>
                </c:pt>
                <c:pt idx="337">
                  <c:v>0.69483326635079112</c:v>
                </c:pt>
                <c:pt idx="338">
                  <c:v>0.69621760488812512</c:v>
                </c:pt>
                <c:pt idx="339">
                  <c:v>0.69641836713490146</c:v>
                </c:pt>
                <c:pt idx="340">
                  <c:v>0.69753965969893283</c:v>
                </c:pt>
                <c:pt idx="341">
                  <c:v>0.69766001518547149</c:v>
                </c:pt>
                <c:pt idx="342">
                  <c:v>0.69781284357370787</c:v>
                </c:pt>
                <c:pt idx="343">
                  <c:v>0.69791880765086534</c:v>
                </c:pt>
              </c:numCache>
            </c:numRef>
          </c:xVal>
          <c:yVal>
            <c:numRef>
              <c:f>'Eqtn Simplified'!$T$9:$T$352</c:f>
              <c:numCache>
                <c:formatCode>0%</c:formatCode>
                <c:ptCount val="344"/>
                <c:pt idx="0">
                  <c:v>2.3848377012760099E-2</c:v>
                </c:pt>
                <c:pt idx="1">
                  <c:v>1.9541676960182424E-2</c:v>
                </c:pt>
                <c:pt idx="2">
                  <c:v>0.11335712633422564</c:v>
                </c:pt>
                <c:pt idx="3">
                  <c:v>2.2363039318179526E-2</c:v>
                </c:pt>
                <c:pt idx="4">
                  <c:v>3.6251314550630492E-2</c:v>
                </c:pt>
                <c:pt idx="5">
                  <c:v>7.2696751804517915E-2</c:v>
                </c:pt>
                <c:pt idx="6">
                  <c:v>0.13893653516294965</c:v>
                </c:pt>
                <c:pt idx="7">
                  <c:v>0.3025342685387018</c:v>
                </c:pt>
                <c:pt idx="8">
                  <c:v>3.2382954236684407E-2</c:v>
                </c:pt>
                <c:pt idx="9">
                  <c:v>5.8632389956440323E-2</c:v>
                </c:pt>
                <c:pt idx="10">
                  <c:v>0.10271130049702273</c:v>
                </c:pt>
                <c:pt idx="11">
                  <c:v>1.5495129801914975E-2</c:v>
                </c:pt>
                <c:pt idx="12">
                  <c:v>4.3931535718020526E-2</c:v>
                </c:pt>
                <c:pt idx="13">
                  <c:v>2.4777357475399102E-2</c:v>
                </c:pt>
                <c:pt idx="14">
                  <c:v>6.4393838329438235E-2</c:v>
                </c:pt>
                <c:pt idx="15">
                  <c:v>1.6873005003569454E-2</c:v>
                </c:pt>
                <c:pt idx="16">
                  <c:v>1.8337115918714397E-2</c:v>
                </c:pt>
                <c:pt idx="17">
                  <c:v>2.0963032247466384E-2</c:v>
                </c:pt>
                <c:pt idx="18">
                  <c:v>0.30913315506633082</c:v>
                </c:pt>
                <c:pt idx="19">
                  <c:v>7.0602581472342232E-2</c:v>
                </c:pt>
                <c:pt idx="20">
                  <c:v>1.6834760652762001E-2</c:v>
                </c:pt>
                <c:pt idx="21">
                  <c:v>8.1499939770841329E-2</c:v>
                </c:pt>
                <c:pt idx="22">
                  <c:v>1.5741260377117809E-2</c:v>
                </c:pt>
                <c:pt idx="23">
                  <c:v>0.29022006900497765</c:v>
                </c:pt>
                <c:pt idx="24">
                  <c:v>3.3938057875510144E-2</c:v>
                </c:pt>
                <c:pt idx="25">
                  <c:v>1.8797448114633523E-2</c:v>
                </c:pt>
                <c:pt idx="26">
                  <c:v>3.3928877124701634E-2</c:v>
                </c:pt>
                <c:pt idx="27">
                  <c:v>1.9766655865988258E-2</c:v>
                </c:pt>
                <c:pt idx="28">
                  <c:v>2.6899427340543312E-2</c:v>
                </c:pt>
                <c:pt idx="29">
                  <c:v>0.11935725807814435</c:v>
                </c:pt>
                <c:pt idx="30">
                  <c:v>1.6913291281522493E-2</c:v>
                </c:pt>
                <c:pt idx="31">
                  <c:v>1.8428084928437755E-2</c:v>
                </c:pt>
                <c:pt idx="32">
                  <c:v>1.5466279076575501E-2</c:v>
                </c:pt>
                <c:pt idx="33">
                  <c:v>0.10946339799153375</c:v>
                </c:pt>
                <c:pt idx="34">
                  <c:v>9.0407561698688368E-2</c:v>
                </c:pt>
                <c:pt idx="35">
                  <c:v>2.5668323624646147E-2</c:v>
                </c:pt>
                <c:pt idx="36">
                  <c:v>2.1665884710692914E-2</c:v>
                </c:pt>
                <c:pt idx="37">
                  <c:v>1.5197469716364344E-2</c:v>
                </c:pt>
                <c:pt idx="38">
                  <c:v>1.6714122185737531E-2</c:v>
                </c:pt>
                <c:pt idx="39">
                  <c:v>1.6413828516183369E-2</c:v>
                </c:pt>
                <c:pt idx="40">
                  <c:v>0.1844669827396539</c:v>
                </c:pt>
                <c:pt idx="41">
                  <c:v>1.6894348500084349E-2</c:v>
                </c:pt>
                <c:pt idx="42">
                  <c:v>3.6207747912383056E-2</c:v>
                </c:pt>
                <c:pt idx="43">
                  <c:v>4.567151054965933E-2</c:v>
                </c:pt>
                <c:pt idx="44">
                  <c:v>1.7594122546759176E-2</c:v>
                </c:pt>
                <c:pt idx="45">
                  <c:v>6.1328980100564451E-2</c:v>
                </c:pt>
                <c:pt idx="46">
                  <c:v>3.2602732483631491E-2</c:v>
                </c:pt>
                <c:pt idx="47">
                  <c:v>2.7774158872137938E-2</c:v>
                </c:pt>
                <c:pt idx="48">
                  <c:v>0.11350337302333288</c:v>
                </c:pt>
                <c:pt idx="49">
                  <c:v>5.8734413465302643E-2</c:v>
                </c:pt>
                <c:pt idx="50">
                  <c:v>1.7948380128651777E-2</c:v>
                </c:pt>
                <c:pt idx="51">
                  <c:v>7.909486617541156E-2</c:v>
                </c:pt>
                <c:pt idx="52">
                  <c:v>6.6827678247639508E-2</c:v>
                </c:pt>
                <c:pt idx="53">
                  <c:v>4.9500256283758641E-2</c:v>
                </c:pt>
                <c:pt idx="54">
                  <c:v>0.12870872153031715</c:v>
                </c:pt>
                <c:pt idx="55">
                  <c:v>1.3425878499124445E-2</c:v>
                </c:pt>
                <c:pt idx="56">
                  <c:v>3.2731874424170443E-2</c:v>
                </c:pt>
                <c:pt idx="57">
                  <c:v>2.2253199211342618E-2</c:v>
                </c:pt>
                <c:pt idx="58">
                  <c:v>0.12827218702421228</c:v>
                </c:pt>
                <c:pt idx="59">
                  <c:v>0.12239411316699547</c:v>
                </c:pt>
                <c:pt idx="60">
                  <c:v>8.8158068491430777E-2</c:v>
                </c:pt>
                <c:pt idx="61">
                  <c:v>0.18755175000622593</c:v>
                </c:pt>
                <c:pt idx="62">
                  <c:v>4.8794563327163309E-2</c:v>
                </c:pt>
                <c:pt idx="63">
                  <c:v>1.9497545301060182E-2</c:v>
                </c:pt>
                <c:pt idx="64">
                  <c:v>2.8405267917218931E-2</c:v>
                </c:pt>
                <c:pt idx="65">
                  <c:v>2.1158950389464647E-2</c:v>
                </c:pt>
                <c:pt idx="66">
                  <c:v>5.7004626133902711E-2</c:v>
                </c:pt>
                <c:pt idx="67">
                  <c:v>1.7338148277062312E-2</c:v>
                </c:pt>
                <c:pt idx="68">
                  <c:v>2.3535915056739899E-2</c:v>
                </c:pt>
                <c:pt idx="69">
                  <c:v>0.118323814976123</c:v>
                </c:pt>
                <c:pt idx="70">
                  <c:v>2.1086924621099186E-2</c:v>
                </c:pt>
                <c:pt idx="71">
                  <c:v>3.046235235478267E-2</c:v>
                </c:pt>
                <c:pt idx="72">
                  <c:v>6.2681671455415547E-2</c:v>
                </c:pt>
                <c:pt idx="73">
                  <c:v>1.8154938463421869E-2</c:v>
                </c:pt>
                <c:pt idx="74">
                  <c:v>3.21986295383681E-2</c:v>
                </c:pt>
                <c:pt idx="75">
                  <c:v>0.20916558177955016</c:v>
                </c:pt>
                <c:pt idx="76">
                  <c:v>2.2728947919044243E-2</c:v>
                </c:pt>
                <c:pt idx="77">
                  <c:v>3.5041794776466448E-2</c:v>
                </c:pt>
                <c:pt idx="78">
                  <c:v>2.5406245821687042E-2</c:v>
                </c:pt>
                <c:pt idx="79">
                  <c:v>1.8555926783103849E-2</c:v>
                </c:pt>
                <c:pt idx="80">
                  <c:v>6.7965083473359889E-2</c:v>
                </c:pt>
                <c:pt idx="81">
                  <c:v>2.9170930884436331E-2</c:v>
                </c:pt>
                <c:pt idx="82">
                  <c:v>0.1237086490786551</c:v>
                </c:pt>
                <c:pt idx="83">
                  <c:v>1.8657639828853018E-2</c:v>
                </c:pt>
                <c:pt idx="84">
                  <c:v>1.4379868554051427E-2</c:v>
                </c:pt>
                <c:pt idx="85">
                  <c:v>2.1981371938563608E-2</c:v>
                </c:pt>
                <c:pt idx="86">
                  <c:v>2.7362777757955377E-2</c:v>
                </c:pt>
                <c:pt idx="87">
                  <c:v>2.5947014492635354E-2</c:v>
                </c:pt>
                <c:pt idx="88">
                  <c:v>1.6318449368984651E-2</c:v>
                </c:pt>
                <c:pt idx="89">
                  <c:v>1.7271781509637374E-2</c:v>
                </c:pt>
                <c:pt idx="90">
                  <c:v>8.4126589044335495E-2</c:v>
                </c:pt>
                <c:pt idx="91">
                  <c:v>1.72102552898881E-2</c:v>
                </c:pt>
                <c:pt idx="92">
                  <c:v>1.6633489955545484E-2</c:v>
                </c:pt>
                <c:pt idx="93">
                  <c:v>9.7509188407543704E-2</c:v>
                </c:pt>
                <c:pt idx="94">
                  <c:v>2.1058982587384558E-2</c:v>
                </c:pt>
                <c:pt idx="95">
                  <c:v>7.4679301450955235E-2</c:v>
                </c:pt>
                <c:pt idx="96">
                  <c:v>7.3533707961712255E-2</c:v>
                </c:pt>
                <c:pt idx="97">
                  <c:v>5.1600963077638215E-2</c:v>
                </c:pt>
                <c:pt idx="98">
                  <c:v>3.0350018174229498E-2</c:v>
                </c:pt>
                <c:pt idx="99">
                  <c:v>3.0405379149268684E-2</c:v>
                </c:pt>
                <c:pt idx="100">
                  <c:v>0.19287908594290198</c:v>
                </c:pt>
                <c:pt idx="101">
                  <c:v>4.9501404162638415E-2</c:v>
                </c:pt>
                <c:pt idx="102">
                  <c:v>3.6324588559255688E-2</c:v>
                </c:pt>
                <c:pt idx="103">
                  <c:v>0.14436909764764871</c:v>
                </c:pt>
                <c:pt idx="104">
                  <c:v>2.6161574894189819E-2</c:v>
                </c:pt>
                <c:pt idx="105">
                  <c:v>2.5604788774398476E-2</c:v>
                </c:pt>
                <c:pt idx="106">
                  <c:v>3.6997805468406711E-2</c:v>
                </c:pt>
                <c:pt idx="107">
                  <c:v>1.9101335732765169E-2</c:v>
                </c:pt>
                <c:pt idx="108">
                  <c:v>2.1584183219854176E-2</c:v>
                </c:pt>
                <c:pt idx="109">
                  <c:v>3.5706835447034041E-2</c:v>
                </c:pt>
                <c:pt idx="110">
                  <c:v>1.6179653106543027E-2</c:v>
                </c:pt>
                <c:pt idx="111">
                  <c:v>8.8134149448823904E-2</c:v>
                </c:pt>
                <c:pt idx="112">
                  <c:v>1.4404782313091707E-2</c:v>
                </c:pt>
                <c:pt idx="113">
                  <c:v>1.7755054937822552E-2</c:v>
                </c:pt>
                <c:pt idx="114">
                  <c:v>2.0522702866878895E-2</c:v>
                </c:pt>
                <c:pt idx="115">
                  <c:v>3.0685224765700382E-2</c:v>
                </c:pt>
                <c:pt idx="116">
                  <c:v>1.6665368075433278E-2</c:v>
                </c:pt>
                <c:pt idx="117">
                  <c:v>8.4243676931804456E-2</c:v>
                </c:pt>
                <c:pt idx="118">
                  <c:v>1.4456967223692998E-2</c:v>
                </c:pt>
                <c:pt idx="119">
                  <c:v>9.445756165467914E-2</c:v>
                </c:pt>
                <c:pt idx="120">
                  <c:v>9.4496016113266523E-2</c:v>
                </c:pt>
                <c:pt idx="121">
                  <c:v>2.6513434632879453E-2</c:v>
                </c:pt>
                <c:pt idx="122">
                  <c:v>0.12800661299807761</c:v>
                </c:pt>
                <c:pt idx="123">
                  <c:v>7.3838193693588391E-2</c:v>
                </c:pt>
                <c:pt idx="124">
                  <c:v>1.5504479364748826E-2</c:v>
                </c:pt>
                <c:pt idx="125">
                  <c:v>2.4345113157592083E-2</c:v>
                </c:pt>
                <c:pt idx="126">
                  <c:v>3.4615771047820688E-2</c:v>
                </c:pt>
                <c:pt idx="127">
                  <c:v>1.254078755110781E-2</c:v>
                </c:pt>
                <c:pt idx="128">
                  <c:v>8.2514844677636215E-2</c:v>
                </c:pt>
                <c:pt idx="129">
                  <c:v>4.4788817023749601E-2</c:v>
                </c:pt>
                <c:pt idx="130">
                  <c:v>0.17425849050505729</c:v>
                </c:pt>
                <c:pt idx="131">
                  <c:v>3.1668778734839767E-2</c:v>
                </c:pt>
                <c:pt idx="132">
                  <c:v>3.5497169513694957E-2</c:v>
                </c:pt>
                <c:pt idx="133">
                  <c:v>1.8916672689166695E-2</c:v>
                </c:pt>
                <c:pt idx="134">
                  <c:v>1.592029984097755E-2</c:v>
                </c:pt>
                <c:pt idx="135">
                  <c:v>0.1266291259385183</c:v>
                </c:pt>
                <c:pt idx="136">
                  <c:v>8.0342683792537298E-2</c:v>
                </c:pt>
                <c:pt idx="137">
                  <c:v>2.2359437987128791E-2</c:v>
                </c:pt>
                <c:pt idx="138">
                  <c:v>4.7770402071974832E-2</c:v>
                </c:pt>
                <c:pt idx="139">
                  <c:v>3.0878586776401637E-2</c:v>
                </c:pt>
                <c:pt idx="140">
                  <c:v>1.2844988759465121E-2</c:v>
                </c:pt>
                <c:pt idx="141">
                  <c:v>1.7423311132448532E-2</c:v>
                </c:pt>
                <c:pt idx="142">
                  <c:v>3.2322023056779052E-2</c:v>
                </c:pt>
                <c:pt idx="143">
                  <c:v>7.4071346244294775E-2</c:v>
                </c:pt>
                <c:pt idx="144">
                  <c:v>5.9353967822408399E-2</c:v>
                </c:pt>
                <c:pt idx="145">
                  <c:v>0.13414585064337464</c:v>
                </c:pt>
                <c:pt idx="146">
                  <c:v>3.9175806376972704E-2</c:v>
                </c:pt>
                <c:pt idx="147">
                  <c:v>2.6492174059671282E-2</c:v>
                </c:pt>
                <c:pt idx="148">
                  <c:v>2.885765034546962E-2</c:v>
                </c:pt>
                <c:pt idx="149">
                  <c:v>1.9224634788531654E-2</c:v>
                </c:pt>
                <c:pt idx="150">
                  <c:v>2.8726925188750047E-2</c:v>
                </c:pt>
                <c:pt idx="151">
                  <c:v>1.9756407013876758E-2</c:v>
                </c:pt>
                <c:pt idx="152">
                  <c:v>1.4694483109262397E-2</c:v>
                </c:pt>
                <c:pt idx="153">
                  <c:v>2.4187673443582219E-2</c:v>
                </c:pt>
                <c:pt idx="154">
                  <c:v>1.4398587283334376E-2</c:v>
                </c:pt>
                <c:pt idx="155">
                  <c:v>8.861365472770133E-2</c:v>
                </c:pt>
                <c:pt idx="156">
                  <c:v>9.8862365101372446E-2</c:v>
                </c:pt>
                <c:pt idx="157">
                  <c:v>2.9735264745267321E-2</c:v>
                </c:pt>
                <c:pt idx="158">
                  <c:v>1.482363301316012E-2</c:v>
                </c:pt>
                <c:pt idx="159">
                  <c:v>0.13077860875303748</c:v>
                </c:pt>
                <c:pt idx="160">
                  <c:v>0.12808594153496528</c:v>
                </c:pt>
                <c:pt idx="161">
                  <c:v>1.8892454684406857E-2</c:v>
                </c:pt>
                <c:pt idx="162">
                  <c:v>1.2302817710850657E-2</c:v>
                </c:pt>
                <c:pt idx="163">
                  <c:v>2.6481815847842625E-2</c:v>
                </c:pt>
                <c:pt idx="164">
                  <c:v>1.6843084263383545E-2</c:v>
                </c:pt>
                <c:pt idx="165">
                  <c:v>3.493959265139799E-2</c:v>
                </c:pt>
                <c:pt idx="166">
                  <c:v>3.20892468365825E-2</c:v>
                </c:pt>
                <c:pt idx="167">
                  <c:v>2.0389081367873121E-2</c:v>
                </c:pt>
                <c:pt idx="168">
                  <c:v>4.0817146876839246E-2</c:v>
                </c:pt>
                <c:pt idx="169">
                  <c:v>1.7077209117317055E-2</c:v>
                </c:pt>
                <c:pt idx="170">
                  <c:v>1.4243107919922756E-2</c:v>
                </c:pt>
                <c:pt idx="171">
                  <c:v>3.5213281334960857E-2</c:v>
                </c:pt>
                <c:pt idx="172">
                  <c:v>5.3488245999754623E-2</c:v>
                </c:pt>
                <c:pt idx="173">
                  <c:v>2.4432098988354533E-2</c:v>
                </c:pt>
                <c:pt idx="174">
                  <c:v>3.4028170322820211E-2</c:v>
                </c:pt>
                <c:pt idx="175">
                  <c:v>2.2236074946918125E-2</c:v>
                </c:pt>
                <c:pt idx="176">
                  <c:v>1.9432056999333095E-2</c:v>
                </c:pt>
                <c:pt idx="177">
                  <c:v>0.12479557388558855</c:v>
                </c:pt>
                <c:pt idx="178">
                  <c:v>2.7064655763846732E-2</c:v>
                </c:pt>
                <c:pt idx="179">
                  <c:v>0.12749227274584113</c:v>
                </c:pt>
                <c:pt idx="180">
                  <c:v>2.3023721361131545E-2</c:v>
                </c:pt>
                <c:pt idx="181">
                  <c:v>3.1722633599996344E-2</c:v>
                </c:pt>
                <c:pt idx="182">
                  <c:v>6.4509278529469805E-2</c:v>
                </c:pt>
                <c:pt idx="183">
                  <c:v>2.8337334636985959E-2</c:v>
                </c:pt>
                <c:pt idx="184">
                  <c:v>3.7719298245614249E-2</c:v>
                </c:pt>
                <c:pt idx="185">
                  <c:v>3.4355517825398682E-2</c:v>
                </c:pt>
                <c:pt idx="186">
                  <c:v>3.0961087276040019E-2</c:v>
                </c:pt>
                <c:pt idx="187">
                  <c:v>6.6439532581303098E-2</c:v>
                </c:pt>
                <c:pt idx="188">
                  <c:v>3.3725972754913611E-2</c:v>
                </c:pt>
                <c:pt idx="189">
                  <c:v>1.2839027157912963E-2</c:v>
                </c:pt>
                <c:pt idx="190">
                  <c:v>2.7823548305388031E-2</c:v>
                </c:pt>
                <c:pt idx="191">
                  <c:v>2.6454709514491657E-2</c:v>
                </c:pt>
                <c:pt idx="192">
                  <c:v>3.4694611785296148E-2</c:v>
                </c:pt>
                <c:pt idx="193">
                  <c:v>1.9564054731901728E-2</c:v>
                </c:pt>
                <c:pt idx="194">
                  <c:v>3.7058550053172934E-2</c:v>
                </c:pt>
                <c:pt idx="195">
                  <c:v>5.1250860562262829E-2</c:v>
                </c:pt>
                <c:pt idx="196">
                  <c:v>7.9574040262150023E-2</c:v>
                </c:pt>
                <c:pt idx="197">
                  <c:v>2.6578698452773598E-2</c:v>
                </c:pt>
                <c:pt idx="198">
                  <c:v>2.5888068751300501E-2</c:v>
                </c:pt>
                <c:pt idx="199">
                  <c:v>2.1716233359142495E-2</c:v>
                </c:pt>
                <c:pt idx="200">
                  <c:v>3.5010267929152683E-2</c:v>
                </c:pt>
                <c:pt idx="201">
                  <c:v>0.12625972095527083</c:v>
                </c:pt>
                <c:pt idx="202">
                  <c:v>3.2842960287189714E-2</c:v>
                </c:pt>
                <c:pt idx="203">
                  <c:v>9.9609609250013928E-3</c:v>
                </c:pt>
                <c:pt idx="204">
                  <c:v>2.5666241646546312E-2</c:v>
                </c:pt>
                <c:pt idx="205">
                  <c:v>2.5432393667596941E-2</c:v>
                </c:pt>
                <c:pt idx="206">
                  <c:v>5.9716470515998335E-2</c:v>
                </c:pt>
                <c:pt idx="207">
                  <c:v>1.9085018871988393E-2</c:v>
                </c:pt>
                <c:pt idx="208">
                  <c:v>1.8238226829268601E-2</c:v>
                </c:pt>
                <c:pt idx="209">
                  <c:v>2.5665177137183293E-2</c:v>
                </c:pt>
                <c:pt idx="210">
                  <c:v>4.0056621983287501E-2</c:v>
                </c:pt>
                <c:pt idx="211">
                  <c:v>4.5877059789216537E-2</c:v>
                </c:pt>
                <c:pt idx="212">
                  <c:v>1.9679202717108133E-2</c:v>
                </c:pt>
                <c:pt idx="213">
                  <c:v>2.351856235451931E-2</c:v>
                </c:pt>
                <c:pt idx="214">
                  <c:v>1.39236273271875E-2</c:v>
                </c:pt>
                <c:pt idx="215">
                  <c:v>2.8843851441986489E-2</c:v>
                </c:pt>
                <c:pt idx="216">
                  <c:v>1.5089733107690321E-2</c:v>
                </c:pt>
                <c:pt idx="217">
                  <c:v>3.6270349110342791E-2</c:v>
                </c:pt>
                <c:pt idx="218">
                  <c:v>1.0419271726930296E-2</c:v>
                </c:pt>
                <c:pt idx="219">
                  <c:v>2.9535966313227555E-2</c:v>
                </c:pt>
                <c:pt idx="220">
                  <c:v>3.0070029423486539E-2</c:v>
                </c:pt>
                <c:pt idx="221">
                  <c:v>3.5548921115281171E-2</c:v>
                </c:pt>
                <c:pt idx="222">
                  <c:v>9.0441195072357719E-2</c:v>
                </c:pt>
                <c:pt idx="223">
                  <c:v>2.4345761084603703E-2</c:v>
                </c:pt>
                <c:pt idx="224">
                  <c:v>2.64159585864648E-2</c:v>
                </c:pt>
                <c:pt idx="225">
                  <c:v>1.5116270470424057E-2</c:v>
                </c:pt>
                <c:pt idx="226">
                  <c:v>1.4240381870702866E-2</c:v>
                </c:pt>
                <c:pt idx="227">
                  <c:v>6.3653563655784826E-2</c:v>
                </c:pt>
                <c:pt idx="228">
                  <c:v>4.6622383757362988E-2</c:v>
                </c:pt>
                <c:pt idx="229">
                  <c:v>3.6407229618007964E-2</c:v>
                </c:pt>
                <c:pt idx="230">
                  <c:v>1.4211460265338604E-2</c:v>
                </c:pt>
                <c:pt idx="231">
                  <c:v>1.4386985759125641E-2</c:v>
                </c:pt>
                <c:pt idx="232">
                  <c:v>5.2474073705574532E-2</c:v>
                </c:pt>
                <c:pt idx="233">
                  <c:v>3.9806091959880788E-2</c:v>
                </c:pt>
                <c:pt idx="234">
                  <c:v>2.6365969930326912E-2</c:v>
                </c:pt>
                <c:pt idx="235">
                  <c:v>3.113363195950156E-2</c:v>
                </c:pt>
                <c:pt idx="236">
                  <c:v>0.14466549248507116</c:v>
                </c:pt>
                <c:pt idx="237">
                  <c:v>2.7576110566258673E-2</c:v>
                </c:pt>
                <c:pt idx="238">
                  <c:v>2.7514220979991569E-2</c:v>
                </c:pt>
                <c:pt idx="239">
                  <c:v>3.0074549670055798E-2</c:v>
                </c:pt>
                <c:pt idx="240">
                  <c:v>1.6936749860785638E-2</c:v>
                </c:pt>
                <c:pt idx="241">
                  <c:v>6.4835835082772436E-2</c:v>
                </c:pt>
                <c:pt idx="242">
                  <c:v>3.0899264978546809E-2</c:v>
                </c:pt>
                <c:pt idx="243">
                  <c:v>3.6384201654713608E-2</c:v>
                </c:pt>
                <c:pt idx="244">
                  <c:v>2.9174408615651914E-2</c:v>
                </c:pt>
                <c:pt idx="245">
                  <c:v>0.13931398142742901</c:v>
                </c:pt>
                <c:pt idx="246">
                  <c:v>3.3340398304862476E-2</c:v>
                </c:pt>
                <c:pt idx="247">
                  <c:v>2.6057730429991884E-2</c:v>
                </c:pt>
                <c:pt idx="248">
                  <c:v>1.2420490664065401E-2</c:v>
                </c:pt>
                <c:pt idx="249">
                  <c:v>0.13143400430405114</c:v>
                </c:pt>
                <c:pt idx="250">
                  <c:v>3.2745660368492878E-2</c:v>
                </c:pt>
                <c:pt idx="251">
                  <c:v>0.11075001129893002</c:v>
                </c:pt>
                <c:pt idx="252">
                  <c:v>5.2864609042417979E-2</c:v>
                </c:pt>
                <c:pt idx="253">
                  <c:v>7.0156530372339709E-2</c:v>
                </c:pt>
                <c:pt idx="254">
                  <c:v>0.11582962702663623</c:v>
                </c:pt>
                <c:pt idx="255">
                  <c:v>6.8127718093164105E-2</c:v>
                </c:pt>
                <c:pt idx="256">
                  <c:v>2.4370525644797421E-2</c:v>
                </c:pt>
                <c:pt idx="257">
                  <c:v>5.144107643015268E-2</c:v>
                </c:pt>
                <c:pt idx="258">
                  <c:v>6.4038513615362322E-2</c:v>
                </c:pt>
                <c:pt idx="259">
                  <c:v>0.11919979924479449</c:v>
                </c:pt>
                <c:pt idx="260">
                  <c:v>2.7018502104144901E-2</c:v>
                </c:pt>
                <c:pt idx="261">
                  <c:v>2.9625422414486225E-2</c:v>
                </c:pt>
                <c:pt idx="262">
                  <c:v>4.390587800198803E-2</c:v>
                </c:pt>
                <c:pt idx="263">
                  <c:v>3.6268881454952287E-2</c:v>
                </c:pt>
                <c:pt idx="264">
                  <c:v>3.5717614606799848E-2</c:v>
                </c:pt>
                <c:pt idx="265">
                  <c:v>0.13928460766665632</c:v>
                </c:pt>
                <c:pt idx="266">
                  <c:v>2.8519042554400041E-2</c:v>
                </c:pt>
                <c:pt idx="267">
                  <c:v>2.9177189430465461E-2</c:v>
                </c:pt>
                <c:pt idx="268">
                  <c:v>1.0703585330451449E-2</c:v>
                </c:pt>
                <c:pt idx="269">
                  <c:v>1.5737324254715041E-2</c:v>
                </c:pt>
                <c:pt idx="270">
                  <c:v>3.2128151622921514E-2</c:v>
                </c:pt>
                <c:pt idx="271">
                  <c:v>2.7582641486482193E-2</c:v>
                </c:pt>
                <c:pt idx="272">
                  <c:v>2.5064856641906993E-2</c:v>
                </c:pt>
                <c:pt idx="273">
                  <c:v>6.6431878229907926E-2</c:v>
                </c:pt>
                <c:pt idx="274">
                  <c:v>3.2535438286026369E-2</c:v>
                </c:pt>
                <c:pt idx="275">
                  <c:v>2.5990102697440134E-2</c:v>
                </c:pt>
                <c:pt idx="276">
                  <c:v>3.5769034474023437E-2</c:v>
                </c:pt>
                <c:pt idx="277">
                  <c:v>3.6821239997633419E-2</c:v>
                </c:pt>
                <c:pt idx="278">
                  <c:v>5.7191541747047769E-2</c:v>
                </c:pt>
                <c:pt idx="279">
                  <c:v>3.3439287537181339E-2</c:v>
                </c:pt>
                <c:pt idx="280">
                  <c:v>2.259661691704154E-2</c:v>
                </c:pt>
                <c:pt idx="281">
                  <c:v>3.7672292972328242E-2</c:v>
                </c:pt>
                <c:pt idx="282">
                  <c:v>2.9806582810661186E-2</c:v>
                </c:pt>
                <c:pt idx="283">
                  <c:v>2.3345820698658093E-2</c:v>
                </c:pt>
                <c:pt idx="284">
                  <c:v>5.4451327327924501E-2</c:v>
                </c:pt>
                <c:pt idx="285">
                  <c:v>8.7768656363550662E-2</c:v>
                </c:pt>
                <c:pt idx="286">
                  <c:v>5.9241047465684891E-2</c:v>
                </c:pt>
                <c:pt idx="287">
                  <c:v>1.3943537424034194E-2</c:v>
                </c:pt>
                <c:pt idx="288">
                  <c:v>1.4803729350909327E-2</c:v>
                </c:pt>
                <c:pt idx="289">
                  <c:v>5.8321611911950594E-2</c:v>
                </c:pt>
                <c:pt idx="290">
                  <c:v>0.14335029861940932</c:v>
                </c:pt>
                <c:pt idx="291">
                  <c:v>4.1673729711404053E-2</c:v>
                </c:pt>
                <c:pt idx="292">
                  <c:v>2.454503316849373E-2</c:v>
                </c:pt>
                <c:pt idx="293">
                  <c:v>3.0735826746161689E-2</c:v>
                </c:pt>
                <c:pt idx="294">
                  <c:v>1.4510579970305691E-2</c:v>
                </c:pt>
                <c:pt idx="295">
                  <c:v>3.4321581196581213E-2</c:v>
                </c:pt>
                <c:pt idx="296">
                  <c:v>8.530510988437226E-2</c:v>
                </c:pt>
                <c:pt idx="297">
                  <c:v>1.6570701783776547E-2</c:v>
                </c:pt>
                <c:pt idx="298">
                  <c:v>2.8798046259795627E-2</c:v>
                </c:pt>
                <c:pt idx="299">
                  <c:v>1.687090098406531E-2</c:v>
                </c:pt>
                <c:pt idx="300">
                  <c:v>0.23111906157651987</c:v>
                </c:pt>
                <c:pt idx="301">
                  <c:v>1.5006663154811081E-2</c:v>
                </c:pt>
                <c:pt idx="302">
                  <c:v>5.4661243403241681E-2</c:v>
                </c:pt>
                <c:pt idx="303">
                  <c:v>1.5584941317233904E-2</c:v>
                </c:pt>
                <c:pt idx="304">
                  <c:v>0.13309940897085082</c:v>
                </c:pt>
                <c:pt idx="305">
                  <c:v>1.8400784740712901E-2</c:v>
                </c:pt>
                <c:pt idx="306">
                  <c:v>4.6873357029072471E-2</c:v>
                </c:pt>
                <c:pt idx="307">
                  <c:v>2.3422972374191064E-2</c:v>
                </c:pt>
                <c:pt idx="308">
                  <c:v>1.1235688841365176E-2</c:v>
                </c:pt>
                <c:pt idx="309">
                  <c:v>2.2114464886922664E-2</c:v>
                </c:pt>
                <c:pt idx="310">
                  <c:v>2.3957584388768771E-2</c:v>
                </c:pt>
                <c:pt idx="311">
                  <c:v>1.7931480379787038E-2</c:v>
                </c:pt>
                <c:pt idx="312">
                  <c:v>2.1174682236884627E-2</c:v>
                </c:pt>
                <c:pt idx="313">
                  <c:v>3.6861586234109865E-2</c:v>
                </c:pt>
                <c:pt idx="314">
                  <c:v>2.2509182475192378E-2</c:v>
                </c:pt>
                <c:pt idx="315">
                  <c:v>4.18171252487686E-2</c:v>
                </c:pt>
                <c:pt idx="316">
                  <c:v>1.7612664350135535E-2</c:v>
                </c:pt>
                <c:pt idx="317">
                  <c:v>2.16447550353281E-2</c:v>
                </c:pt>
                <c:pt idx="318">
                  <c:v>1.6716468524624661E-2</c:v>
                </c:pt>
                <c:pt idx="319">
                  <c:v>3.6829928709329357E-2</c:v>
                </c:pt>
                <c:pt idx="320">
                  <c:v>3.4368294681872157E-2</c:v>
                </c:pt>
                <c:pt idx="321">
                  <c:v>5.5329533762213175E-2</c:v>
                </c:pt>
                <c:pt idx="322">
                  <c:v>1.8488544777873015E-2</c:v>
                </c:pt>
                <c:pt idx="323">
                  <c:v>2.8920380717085133E-2</c:v>
                </c:pt>
                <c:pt idx="324">
                  <c:v>1.8614229035576243E-2</c:v>
                </c:pt>
                <c:pt idx="325">
                  <c:v>2.7171136631622399E-2</c:v>
                </c:pt>
                <c:pt idx="326">
                  <c:v>2.3057241420906375E-2</c:v>
                </c:pt>
                <c:pt idx="327">
                  <c:v>1.9134538699449321E-2</c:v>
                </c:pt>
                <c:pt idx="328">
                  <c:v>1.550215985786396E-2</c:v>
                </c:pt>
                <c:pt idx="329">
                  <c:v>4.5948702411092168E-2</c:v>
                </c:pt>
                <c:pt idx="330">
                  <c:v>5.0174915134651284E-2</c:v>
                </c:pt>
                <c:pt idx="331">
                  <c:v>3.5564446009912452E-2</c:v>
                </c:pt>
                <c:pt idx="332">
                  <c:v>2.5136552547761072E-2</c:v>
                </c:pt>
                <c:pt idx="333">
                  <c:v>1.436351205674702E-2</c:v>
                </c:pt>
                <c:pt idx="334">
                  <c:v>2.7635453304299475E-2</c:v>
                </c:pt>
                <c:pt idx="335">
                  <c:v>8.2300002258647587E-2</c:v>
                </c:pt>
                <c:pt idx="336">
                  <c:v>2.053408761711864E-2</c:v>
                </c:pt>
                <c:pt idx="337">
                  <c:v>4.1660768693116419E-2</c:v>
                </c:pt>
                <c:pt idx="338">
                  <c:v>1.6921258410620203E-2</c:v>
                </c:pt>
                <c:pt idx="339">
                  <c:v>4.7722622085931823E-2</c:v>
                </c:pt>
                <c:pt idx="340">
                  <c:v>0.72086951986152092</c:v>
                </c:pt>
                <c:pt idx="341">
                  <c:v>1.7933899549305611E-2</c:v>
                </c:pt>
                <c:pt idx="342">
                  <c:v>4.5792656955447278E-2</c:v>
                </c:pt>
                <c:pt idx="343">
                  <c:v>3.3379983510182024E-2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6-4B9E-A7F7-94ACDFC22AFC}"/>
            </c:ext>
          </c:extLst>
        </c:ser>
        <c:ser>
          <c:idx val="1"/>
          <c:order val="1"/>
          <c:tx>
            <c:strRef>
              <c:f>'Eqtn Simplified'!$V$7</c:f>
              <c:strCache>
                <c:ptCount val="1"/>
                <c:pt idx="0">
                  <c:v>Phase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forward val="0.70000000000000007"/>
            <c:dispRSqr val="0"/>
            <c:dispEq val="0"/>
          </c:trendline>
          <c:xVal>
            <c:numRef>
              <c:f>'Eqtn Simplified'!$W$9:$W$169</c:f>
              <c:numCache>
                <c:formatCode>0.000</c:formatCode>
                <c:ptCount val="161"/>
                <c:pt idx="0">
                  <c:v>0.70198920763273864</c:v>
                </c:pt>
                <c:pt idx="1">
                  <c:v>0.70254297106011121</c:v>
                </c:pt>
                <c:pt idx="2">
                  <c:v>0.70477529545925766</c:v>
                </c:pt>
                <c:pt idx="3">
                  <c:v>0.70647588930074223</c:v>
                </c:pt>
                <c:pt idx="4">
                  <c:v>0.70845510809300727</c:v>
                </c:pt>
                <c:pt idx="5">
                  <c:v>0.70945858386896121</c:v>
                </c:pt>
                <c:pt idx="6">
                  <c:v>0.71135131772546301</c:v>
                </c:pt>
                <c:pt idx="7">
                  <c:v>0.71151016912866594</c:v>
                </c:pt>
                <c:pt idx="8">
                  <c:v>0.71646339360071765</c:v>
                </c:pt>
                <c:pt idx="9">
                  <c:v>0.71651308505764677</c:v>
                </c:pt>
                <c:pt idx="10">
                  <c:v>0.72220256065793209</c:v>
                </c:pt>
                <c:pt idx="11">
                  <c:v>0.72536299201761611</c:v>
                </c:pt>
                <c:pt idx="12">
                  <c:v>0.72873984382507717</c:v>
                </c:pt>
                <c:pt idx="13">
                  <c:v>0.72887188254769508</c:v>
                </c:pt>
                <c:pt idx="14">
                  <c:v>0.72999440271303839</c:v>
                </c:pt>
                <c:pt idx="15">
                  <c:v>0.73153732872326727</c:v>
                </c:pt>
                <c:pt idx="16">
                  <c:v>0.73207047043463613</c:v>
                </c:pt>
                <c:pt idx="17">
                  <c:v>0.73282767984643138</c:v>
                </c:pt>
                <c:pt idx="18">
                  <c:v>0.73468539632386098</c:v>
                </c:pt>
                <c:pt idx="19">
                  <c:v>0.73479254941436178</c:v>
                </c:pt>
                <c:pt idx="20">
                  <c:v>0.73662410356014685</c:v>
                </c:pt>
                <c:pt idx="21">
                  <c:v>0.73798864135944897</c:v>
                </c:pt>
                <c:pt idx="22">
                  <c:v>0.73857489102487306</c:v>
                </c:pt>
                <c:pt idx="23">
                  <c:v>0.73907332869291598</c:v>
                </c:pt>
                <c:pt idx="24">
                  <c:v>0.74098719676549873</c:v>
                </c:pt>
                <c:pt idx="25">
                  <c:v>0.74244009794839028</c:v>
                </c:pt>
                <c:pt idx="26">
                  <c:v>0.74342690755765128</c:v>
                </c:pt>
                <c:pt idx="27">
                  <c:v>0.74431452607746984</c:v>
                </c:pt>
                <c:pt idx="28">
                  <c:v>0.74718441665224156</c:v>
                </c:pt>
                <c:pt idx="29">
                  <c:v>0.75527031930333821</c:v>
                </c:pt>
                <c:pt idx="30">
                  <c:v>0.76096698113207539</c:v>
                </c:pt>
                <c:pt idx="31">
                  <c:v>0.76220912639661642</c:v>
                </c:pt>
                <c:pt idx="32">
                  <c:v>0.76240519792822792</c:v>
                </c:pt>
                <c:pt idx="33">
                  <c:v>0.76558176673783651</c:v>
                </c:pt>
                <c:pt idx="34">
                  <c:v>0.76792426507749334</c:v>
                </c:pt>
                <c:pt idx="35">
                  <c:v>0.77009339864160742</c:v>
                </c:pt>
                <c:pt idx="36">
                  <c:v>0.77020647050043101</c:v>
                </c:pt>
                <c:pt idx="37">
                  <c:v>0.77104117966271501</c:v>
                </c:pt>
                <c:pt idx="38">
                  <c:v>0.77451217376072901</c:v>
                </c:pt>
                <c:pt idx="39">
                  <c:v>0.7811393793226985</c:v>
                </c:pt>
                <c:pt idx="40">
                  <c:v>0.78376199819695602</c:v>
                </c:pt>
                <c:pt idx="41">
                  <c:v>0.78622745179348952</c:v>
                </c:pt>
                <c:pt idx="42">
                  <c:v>0.78855463924409874</c:v>
                </c:pt>
                <c:pt idx="43">
                  <c:v>0.79130700065744974</c:v>
                </c:pt>
                <c:pt idx="44">
                  <c:v>0.7915892598663713</c:v>
                </c:pt>
                <c:pt idx="45">
                  <c:v>0.79210309293309888</c:v>
                </c:pt>
                <c:pt idx="46">
                  <c:v>0.79264519680704659</c:v>
                </c:pt>
                <c:pt idx="47">
                  <c:v>0.79314827754134132</c:v>
                </c:pt>
                <c:pt idx="48">
                  <c:v>0.79383330547164344</c:v>
                </c:pt>
                <c:pt idx="49">
                  <c:v>0.79410029498525103</c:v>
                </c:pt>
                <c:pt idx="50">
                  <c:v>0.79465599671994314</c:v>
                </c:pt>
                <c:pt idx="51">
                  <c:v>0.79528152429886556</c:v>
                </c:pt>
                <c:pt idx="52">
                  <c:v>0.79611624524023439</c:v>
                </c:pt>
                <c:pt idx="53">
                  <c:v>0.7961311905820575</c:v>
                </c:pt>
                <c:pt idx="54">
                  <c:v>0.7968136896810819</c:v>
                </c:pt>
                <c:pt idx="55">
                  <c:v>0.79984620302928222</c:v>
                </c:pt>
                <c:pt idx="56">
                  <c:v>0.80008973271419392</c:v>
                </c:pt>
                <c:pt idx="57">
                  <c:v>0.80013508941399136</c:v>
                </c:pt>
                <c:pt idx="58">
                  <c:v>0.80266817290031722</c:v>
                </c:pt>
                <c:pt idx="59">
                  <c:v>0.80288446767702071</c:v>
                </c:pt>
                <c:pt idx="60">
                  <c:v>0.8056270410649915</c:v>
                </c:pt>
                <c:pt idx="61">
                  <c:v>0.8077086638003006</c:v>
                </c:pt>
                <c:pt idx="62">
                  <c:v>0.80963101801346671</c:v>
                </c:pt>
                <c:pt idx="63">
                  <c:v>0.81343798059076222</c:v>
                </c:pt>
                <c:pt idx="64">
                  <c:v>0.81344643136903771</c:v>
                </c:pt>
                <c:pt idx="65">
                  <c:v>0.81352493073964205</c:v>
                </c:pt>
                <c:pt idx="66">
                  <c:v>0.81705128158514428</c:v>
                </c:pt>
                <c:pt idx="67">
                  <c:v>0.81852862223384881</c:v>
                </c:pt>
                <c:pt idx="68">
                  <c:v>0.8185979056192707</c:v>
                </c:pt>
                <c:pt idx="69">
                  <c:v>0.82227528462516897</c:v>
                </c:pt>
                <c:pt idx="70">
                  <c:v>0.82481345244350945</c:v>
                </c:pt>
                <c:pt idx="71">
                  <c:v>0.82489739578991761</c:v>
                </c:pt>
                <c:pt idx="72">
                  <c:v>0.82620677832266654</c:v>
                </c:pt>
                <c:pt idx="73">
                  <c:v>0.83223875181422358</c:v>
                </c:pt>
                <c:pt idx="74">
                  <c:v>0.83246972199284408</c:v>
                </c:pt>
                <c:pt idx="75">
                  <c:v>0.83419685351425443</c:v>
                </c:pt>
                <c:pt idx="76">
                  <c:v>0.83455712788259961</c:v>
                </c:pt>
                <c:pt idx="77">
                  <c:v>0.83581481764271714</c:v>
                </c:pt>
                <c:pt idx="78">
                  <c:v>0.83694422116930367</c:v>
                </c:pt>
                <c:pt idx="79">
                  <c:v>0.83919860479377928</c:v>
                </c:pt>
                <c:pt idx="80">
                  <c:v>0.83929263067064874</c:v>
                </c:pt>
                <c:pt idx="81">
                  <c:v>0.84043039808782471</c:v>
                </c:pt>
                <c:pt idx="82">
                  <c:v>0.84140965166908566</c:v>
                </c:pt>
                <c:pt idx="83">
                  <c:v>0.84301231068618332</c:v>
                </c:pt>
                <c:pt idx="84">
                  <c:v>0.84422635559177828</c:v>
                </c:pt>
                <c:pt idx="85">
                  <c:v>0.84879555938824702</c:v>
                </c:pt>
                <c:pt idx="86">
                  <c:v>0.85165598698468825</c:v>
                </c:pt>
                <c:pt idx="87">
                  <c:v>0.85773839831248144</c:v>
                </c:pt>
                <c:pt idx="88">
                  <c:v>0.86497921229005359</c:v>
                </c:pt>
                <c:pt idx="89">
                  <c:v>0.87111810115534871</c:v>
                </c:pt>
                <c:pt idx="90">
                  <c:v>0.87555956477891905</c:v>
                </c:pt>
                <c:pt idx="91">
                  <c:v>0.87889980732177309</c:v>
                </c:pt>
                <c:pt idx="92">
                  <c:v>0.8812235059429806</c:v>
                </c:pt>
                <c:pt idx="93">
                  <c:v>0.8866810367612078</c:v>
                </c:pt>
                <c:pt idx="94">
                  <c:v>0.88685569140168008</c:v>
                </c:pt>
                <c:pt idx="95">
                  <c:v>0.88845894671366366</c:v>
                </c:pt>
                <c:pt idx="96">
                  <c:v>0.88947568246838304</c:v>
                </c:pt>
                <c:pt idx="97">
                  <c:v>0.89029839087642504</c:v>
                </c:pt>
                <c:pt idx="98">
                  <c:v>0.89166857989647685</c:v>
                </c:pt>
                <c:pt idx="99">
                  <c:v>0.89290020306286477</c:v>
                </c:pt>
                <c:pt idx="100">
                  <c:v>0.8931610103355726</c:v>
                </c:pt>
                <c:pt idx="101">
                  <c:v>0.89440701864327099</c:v>
                </c:pt>
                <c:pt idx="102">
                  <c:v>0.8969587744386579</c:v>
                </c:pt>
                <c:pt idx="103">
                  <c:v>0.90429928385511005</c:v>
                </c:pt>
                <c:pt idx="104">
                  <c:v>0.9078861277685436</c:v>
                </c:pt>
                <c:pt idx="105">
                  <c:v>0.90889196941560091</c:v>
                </c:pt>
                <c:pt idx="106">
                  <c:v>0.91206120934162793</c:v>
                </c:pt>
                <c:pt idx="107">
                  <c:v>0.91905359213424509</c:v>
                </c:pt>
                <c:pt idx="108">
                  <c:v>0.91947785936225224</c:v>
                </c:pt>
                <c:pt idx="109">
                  <c:v>0.92330121441575641</c:v>
                </c:pt>
                <c:pt idx="110">
                  <c:v>0.92715319075868641</c:v>
                </c:pt>
                <c:pt idx="111">
                  <c:v>0.92753707910208449</c:v>
                </c:pt>
                <c:pt idx="112">
                  <c:v>0.93386804284755232</c:v>
                </c:pt>
                <c:pt idx="113">
                  <c:v>0.94416690260260239</c:v>
                </c:pt>
                <c:pt idx="114">
                  <c:v>0.9446973270440252</c:v>
                </c:pt>
                <c:pt idx="115">
                  <c:v>0.95541129390840374</c:v>
                </c:pt>
                <c:pt idx="116">
                  <c:v>0.95579117574359407</c:v>
                </c:pt>
                <c:pt idx="117">
                  <c:v>0.96154516879548457</c:v>
                </c:pt>
                <c:pt idx="118">
                  <c:v>0.96298506410745854</c:v>
                </c:pt>
                <c:pt idx="119">
                  <c:v>0.96500524109014674</c:v>
                </c:pt>
                <c:pt idx="120">
                  <c:v>0.96511389332001241</c:v>
                </c:pt>
                <c:pt idx="121">
                  <c:v>0.97353049468495756</c:v>
                </c:pt>
                <c:pt idx="122">
                  <c:v>0.97422887344854203</c:v>
                </c:pt>
                <c:pt idx="123">
                  <c:v>0.97429131779437228</c:v>
                </c:pt>
                <c:pt idx="124">
                  <c:v>0.97837171680537527</c:v>
                </c:pt>
                <c:pt idx="125">
                  <c:v>0.97868217518748524</c:v>
                </c:pt>
                <c:pt idx="126">
                  <c:v>0.98331662118123386</c:v>
                </c:pt>
                <c:pt idx="127">
                  <c:v>0.98729153765919431</c:v>
                </c:pt>
                <c:pt idx="128">
                  <c:v>0.99473003639477531</c:v>
                </c:pt>
                <c:pt idx="129">
                  <c:v>0.99630623958526232</c:v>
                </c:pt>
                <c:pt idx="130">
                  <c:v>0.9998863537806798</c:v>
                </c:pt>
                <c:pt idx="131">
                  <c:v>1.0015212264150943</c:v>
                </c:pt>
                <c:pt idx="132">
                  <c:v>1.0283189963780324</c:v>
                </c:pt>
                <c:pt idx="133">
                  <c:v>1.0284054019809596</c:v>
                </c:pt>
                <c:pt idx="134">
                  <c:v>1.031036531924332</c:v>
                </c:pt>
                <c:pt idx="135">
                  <c:v>1.0340037757001437</c:v>
                </c:pt>
                <c:pt idx="136">
                  <c:v>1.0341810844408146</c:v>
                </c:pt>
                <c:pt idx="137">
                  <c:v>1.0400890475304732</c:v>
                </c:pt>
                <c:pt idx="138">
                  <c:v>1.0468088162235087</c:v>
                </c:pt>
                <c:pt idx="139">
                  <c:v>1.0477895702306079</c:v>
                </c:pt>
                <c:pt idx="140">
                  <c:v>1.0513267796819643</c:v>
                </c:pt>
                <c:pt idx="141">
                  <c:v>1.0519484802721806</c:v>
                </c:pt>
                <c:pt idx="142">
                  <c:v>1.0537064930437459</c:v>
                </c:pt>
                <c:pt idx="143">
                  <c:v>1.0677421356035735</c:v>
                </c:pt>
                <c:pt idx="144">
                  <c:v>1.0718547197150761</c:v>
                </c:pt>
                <c:pt idx="145">
                  <c:v>1.0771089925762332</c:v>
                </c:pt>
                <c:pt idx="146">
                  <c:v>1.1005848190425289</c:v>
                </c:pt>
                <c:pt idx="147">
                  <c:v>1.1102789247097105</c:v>
                </c:pt>
                <c:pt idx="148">
                  <c:v>1.1195818643300026</c:v>
                </c:pt>
                <c:pt idx="149">
                  <c:v>1.124735887934349</c:v>
                </c:pt>
                <c:pt idx="150">
                  <c:v>1.1626312233393503</c:v>
                </c:pt>
                <c:pt idx="151">
                  <c:v>1.1690207256963003</c:v>
                </c:pt>
                <c:pt idx="152">
                  <c:v>1.2038502651811043</c:v>
                </c:pt>
                <c:pt idx="153">
                  <c:v>1.2063256076967412</c:v>
                </c:pt>
                <c:pt idx="154">
                  <c:v>1.2183604161037236</c:v>
                </c:pt>
                <c:pt idx="155">
                  <c:v>1.2397706411358724</c:v>
                </c:pt>
                <c:pt idx="156">
                  <c:v>1.2612349346715996</c:v>
                </c:pt>
                <c:pt idx="157">
                  <c:v>1.3018725437072187</c:v>
                </c:pt>
                <c:pt idx="158">
                  <c:v>1.3504487734753683</c:v>
                </c:pt>
              </c:numCache>
            </c:numRef>
          </c:xVal>
          <c:yVal>
            <c:numRef>
              <c:f>'Eqtn Simplified'!$X$9:$X$169</c:f>
              <c:numCache>
                <c:formatCode>0%</c:formatCode>
                <c:ptCount val="161"/>
                <c:pt idx="0">
                  <c:v>2.5242216626050515E-2</c:v>
                </c:pt>
                <c:pt idx="1">
                  <c:v>2.4964726678822324E-2</c:v>
                </c:pt>
                <c:pt idx="2">
                  <c:v>8.0099349508615178E-2</c:v>
                </c:pt>
                <c:pt idx="3">
                  <c:v>2.456983776069992E-2</c:v>
                </c:pt>
                <c:pt idx="4">
                  <c:v>3.2641605032098356E-2</c:v>
                </c:pt>
                <c:pt idx="5">
                  <c:v>0.77117282576303414</c:v>
                </c:pt>
                <c:pt idx="6">
                  <c:v>3.0169242089771627E-2</c:v>
                </c:pt>
                <c:pt idx="7">
                  <c:v>0.2669145493974534</c:v>
                </c:pt>
                <c:pt idx="8">
                  <c:v>1.8127422498347381E-2</c:v>
                </c:pt>
                <c:pt idx="9">
                  <c:v>6.3362024551599866E-2</c:v>
                </c:pt>
                <c:pt idx="10">
                  <c:v>2.4772561758007652E-2</c:v>
                </c:pt>
                <c:pt idx="11">
                  <c:v>3.3004137161781182E-2</c:v>
                </c:pt>
                <c:pt idx="12">
                  <c:v>3.8568980015871175E-2</c:v>
                </c:pt>
                <c:pt idx="13">
                  <c:v>2.0274630152870628E-2</c:v>
                </c:pt>
                <c:pt idx="14">
                  <c:v>1.890708599435895E-2</c:v>
                </c:pt>
                <c:pt idx="15">
                  <c:v>3.2319479792663773E-2</c:v>
                </c:pt>
                <c:pt idx="16">
                  <c:v>8.7221839888994679E-2</c:v>
                </c:pt>
                <c:pt idx="17">
                  <c:v>2.0476113447643402E-2</c:v>
                </c:pt>
                <c:pt idx="18">
                  <c:v>2.738044915935979E-2</c:v>
                </c:pt>
                <c:pt idx="19">
                  <c:v>2.1430285941388301E-2</c:v>
                </c:pt>
                <c:pt idx="20">
                  <c:v>2.8743095457487978E-2</c:v>
                </c:pt>
                <c:pt idx="21">
                  <c:v>0.14337135220750277</c:v>
                </c:pt>
                <c:pt idx="22">
                  <c:v>3.1017154340251103E-2</c:v>
                </c:pt>
                <c:pt idx="23">
                  <c:v>3.2578623294543092E-2</c:v>
                </c:pt>
                <c:pt idx="24">
                  <c:v>0.24411744001233829</c:v>
                </c:pt>
                <c:pt idx="25">
                  <c:v>2.6240975447952664E-2</c:v>
                </c:pt>
                <c:pt idx="26">
                  <c:v>0.55963265111634575</c:v>
                </c:pt>
                <c:pt idx="27">
                  <c:v>2.729174878761223E-2</c:v>
                </c:pt>
                <c:pt idx="28">
                  <c:v>3.5334195703217823E-2</c:v>
                </c:pt>
                <c:pt idx="29">
                  <c:v>0.3494371560595631</c:v>
                </c:pt>
                <c:pt idx="30">
                  <c:v>3.1756295672639816E-2</c:v>
                </c:pt>
                <c:pt idx="31">
                  <c:v>2.6980439202464613E-2</c:v>
                </c:pt>
                <c:pt idx="32">
                  <c:v>0.45125116562037637</c:v>
                </c:pt>
                <c:pt idx="33">
                  <c:v>3.5712164192926124E-2</c:v>
                </c:pt>
                <c:pt idx="34">
                  <c:v>0.112558671512292</c:v>
                </c:pt>
                <c:pt idx="35">
                  <c:v>2.10379478363905E-2</c:v>
                </c:pt>
                <c:pt idx="36">
                  <c:v>8.6836517652534001E-2</c:v>
                </c:pt>
                <c:pt idx="37">
                  <c:v>5.1989703888892874E-2</c:v>
                </c:pt>
                <c:pt idx="38">
                  <c:v>3.0595567773760761E-2</c:v>
                </c:pt>
                <c:pt idx="39">
                  <c:v>3.8570393360587943E-2</c:v>
                </c:pt>
                <c:pt idx="40">
                  <c:v>1.8789104853813011E-2</c:v>
                </c:pt>
                <c:pt idx="41">
                  <c:v>0.1815721349035877</c:v>
                </c:pt>
                <c:pt idx="42">
                  <c:v>4.6483180428134575E-2</c:v>
                </c:pt>
                <c:pt idx="43">
                  <c:v>0.10001325650203167</c:v>
                </c:pt>
                <c:pt idx="44">
                  <c:v>0.38909960647806041</c:v>
                </c:pt>
                <c:pt idx="45">
                  <c:v>3.0567690404111468E-2</c:v>
                </c:pt>
                <c:pt idx="46">
                  <c:v>9.4740086837137041E-2</c:v>
                </c:pt>
                <c:pt idx="47">
                  <c:v>4.0119849386500296E-2</c:v>
                </c:pt>
                <c:pt idx="48">
                  <c:v>0.10515204530927316</c:v>
                </c:pt>
                <c:pt idx="49">
                  <c:v>4.3075272221929632E-2</c:v>
                </c:pt>
                <c:pt idx="50">
                  <c:v>7.3535457980969443E-2</c:v>
                </c:pt>
                <c:pt idx="51">
                  <c:v>7.3755733932470785E-2</c:v>
                </c:pt>
                <c:pt idx="52">
                  <c:v>4.4084780481563252E-2</c:v>
                </c:pt>
                <c:pt idx="53">
                  <c:v>1.0064228661926118</c:v>
                </c:pt>
                <c:pt idx="54">
                  <c:v>0.7209149723345164</c:v>
                </c:pt>
                <c:pt idx="55">
                  <c:v>1.8688485047842075E-2</c:v>
                </c:pt>
                <c:pt idx="56">
                  <c:v>7.3188266170722382E-2</c:v>
                </c:pt>
                <c:pt idx="57">
                  <c:v>4.0690161548383549E-2</c:v>
                </c:pt>
                <c:pt idx="58">
                  <c:v>5.9099843719927297E-2</c:v>
                </c:pt>
                <c:pt idx="59">
                  <c:v>3.2905844445593829E-2</c:v>
                </c:pt>
                <c:pt idx="60">
                  <c:v>0.86310966155355251</c:v>
                </c:pt>
                <c:pt idx="61">
                  <c:v>8.9071592308919201E-2</c:v>
                </c:pt>
                <c:pt idx="62">
                  <c:v>2.2320481895775769E-2</c:v>
                </c:pt>
                <c:pt idx="63">
                  <c:v>2.0405669619906659E-2</c:v>
                </c:pt>
                <c:pt idx="64">
                  <c:v>7.345454427651861E-2</c:v>
                </c:pt>
                <c:pt idx="65">
                  <c:v>0.59752461282183467</c:v>
                </c:pt>
                <c:pt idx="66">
                  <c:v>8.288733365914798E-2</c:v>
                </c:pt>
                <c:pt idx="67">
                  <c:v>3.0417370785446218E-2</c:v>
                </c:pt>
                <c:pt idx="68">
                  <c:v>0.21585018487053131</c:v>
                </c:pt>
                <c:pt idx="69">
                  <c:v>2.3500377862843695E-2</c:v>
                </c:pt>
                <c:pt idx="70">
                  <c:v>8.9211689518890414E-2</c:v>
                </c:pt>
                <c:pt idx="71">
                  <c:v>4.239300974245467E-2</c:v>
                </c:pt>
                <c:pt idx="72">
                  <c:v>0.770360050084686</c:v>
                </c:pt>
                <c:pt idx="73">
                  <c:v>0.54650410855046794</c:v>
                </c:pt>
                <c:pt idx="74">
                  <c:v>1.3222917044287359</c:v>
                </c:pt>
                <c:pt idx="75">
                  <c:v>5.5204806909198108E-2</c:v>
                </c:pt>
                <c:pt idx="76">
                  <c:v>0.15748902609708393</c:v>
                </c:pt>
                <c:pt idx="77">
                  <c:v>1.7822537600687499E-2</c:v>
                </c:pt>
                <c:pt idx="78">
                  <c:v>0.28040646152732435</c:v>
                </c:pt>
                <c:pt idx="79">
                  <c:v>2.8644901332585126E-2</c:v>
                </c:pt>
                <c:pt idx="80">
                  <c:v>0.12269714735046029</c:v>
                </c:pt>
                <c:pt idx="81">
                  <c:v>6.8539246276252908E-2</c:v>
                </c:pt>
                <c:pt idx="82">
                  <c:v>4.0608171412565293E-2</c:v>
                </c:pt>
                <c:pt idx="83">
                  <c:v>0.45957989763404383</c:v>
                </c:pt>
                <c:pt idx="84">
                  <c:v>6.6585309093267556E-2</c:v>
                </c:pt>
                <c:pt idx="85">
                  <c:v>0.67048122289915413</c:v>
                </c:pt>
                <c:pt idx="86">
                  <c:v>0.11456603646998383</c:v>
                </c:pt>
                <c:pt idx="87">
                  <c:v>5.3588180112570258E-2</c:v>
                </c:pt>
                <c:pt idx="88">
                  <c:v>2.4072340358606052E-2</c:v>
                </c:pt>
                <c:pt idx="89">
                  <c:v>1.1613671418732199</c:v>
                </c:pt>
                <c:pt idx="90">
                  <c:v>7.3053996930405138E-2</c:v>
                </c:pt>
                <c:pt idx="91">
                  <c:v>0.36281171369732101</c:v>
                </c:pt>
                <c:pt idx="92">
                  <c:v>1.8499131658785699</c:v>
                </c:pt>
                <c:pt idx="93">
                  <c:v>0.11787727459496107</c:v>
                </c:pt>
                <c:pt idx="94">
                  <c:v>0.35387047257620707</c:v>
                </c:pt>
                <c:pt idx="95">
                  <c:v>0.81781312979421428</c:v>
                </c:pt>
                <c:pt idx="96">
                  <c:v>0.20282406888448828</c:v>
                </c:pt>
                <c:pt idx="97">
                  <c:v>8.4985093062831016E-2</c:v>
                </c:pt>
                <c:pt idx="98">
                  <c:v>8.2967796483855077E-2</c:v>
                </c:pt>
                <c:pt idx="99">
                  <c:v>0.39083368907452298</c:v>
                </c:pt>
                <c:pt idx="100">
                  <c:v>3.3719125636587043E-2</c:v>
                </c:pt>
                <c:pt idx="101">
                  <c:v>0.97377665590568241</c:v>
                </c:pt>
                <c:pt idx="102">
                  <c:v>5.194679181525004E-2</c:v>
                </c:pt>
                <c:pt idx="103">
                  <c:v>0.16516651665166548</c:v>
                </c:pt>
                <c:pt idx="104">
                  <c:v>0.13309151881978612</c:v>
                </c:pt>
                <c:pt idx="105">
                  <c:v>0.7105561807208185</c:v>
                </c:pt>
                <c:pt idx="106">
                  <c:v>6.6986234021632257E-2</c:v>
                </c:pt>
                <c:pt idx="107">
                  <c:v>0.33629979531302323</c:v>
                </c:pt>
                <c:pt idx="108">
                  <c:v>0.96798742789383452</c:v>
                </c:pt>
                <c:pt idx="109">
                  <c:v>0.3100640234214242</c:v>
                </c:pt>
                <c:pt idx="110">
                  <c:v>8.87063148103686E-2</c:v>
                </c:pt>
                <c:pt idx="111">
                  <c:v>6.8498951756777934E-2</c:v>
                </c:pt>
                <c:pt idx="112">
                  <c:v>7.1861785161790051E-2</c:v>
                </c:pt>
                <c:pt idx="113">
                  <c:v>7.1642929076983344E-2</c:v>
                </c:pt>
                <c:pt idx="114">
                  <c:v>0.2777492370184288</c:v>
                </c:pt>
                <c:pt idx="115">
                  <c:v>0.5460153917764804</c:v>
                </c:pt>
                <c:pt idx="116">
                  <c:v>0.58066301936708442</c:v>
                </c:pt>
                <c:pt idx="117">
                  <c:v>0.9120442913921033</c:v>
                </c:pt>
                <c:pt idx="118">
                  <c:v>0.4320991012759432</c:v>
                </c:pt>
                <c:pt idx="119">
                  <c:v>0.3599610168214501</c:v>
                </c:pt>
                <c:pt idx="120">
                  <c:v>8.1859047046943828E-2</c:v>
                </c:pt>
                <c:pt idx="121">
                  <c:v>0.24392636727764419</c:v>
                </c:pt>
                <c:pt idx="122">
                  <c:v>1.4862878580589491E-2</c:v>
                </c:pt>
                <c:pt idx="123">
                  <c:v>0.26512183994840044</c:v>
                </c:pt>
                <c:pt idx="124">
                  <c:v>8.1048974847976865E-2</c:v>
                </c:pt>
                <c:pt idx="125">
                  <c:v>0.20696347367564402</c:v>
                </c:pt>
                <c:pt idx="126">
                  <c:v>0.43552905448748225</c:v>
                </c:pt>
                <c:pt idx="127">
                  <c:v>0.41364687753990448</c:v>
                </c:pt>
                <c:pt idx="128">
                  <c:v>0.31705364940028585</c:v>
                </c:pt>
                <c:pt idx="129">
                  <c:v>2.7670317250307788E-2</c:v>
                </c:pt>
                <c:pt idx="130">
                  <c:v>0.1687315501296518</c:v>
                </c:pt>
                <c:pt idx="131">
                  <c:v>0.19262056900188021</c:v>
                </c:pt>
                <c:pt idx="132">
                  <c:v>0.17414250272153606</c:v>
                </c:pt>
                <c:pt idx="133">
                  <c:v>0.11341583034269957</c:v>
                </c:pt>
                <c:pt idx="134">
                  <c:v>9.8046331166854919E-2</c:v>
                </c:pt>
                <c:pt idx="135">
                  <c:v>0.63712639543976957</c:v>
                </c:pt>
                <c:pt idx="136">
                  <c:v>1.7863319956717378E-2</c:v>
                </c:pt>
                <c:pt idx="137">
                  <c:v>0.15011632968215735</c:v>
                </c:pt>
                <c:pt idx="138">
                  <c:v>0.25257005141241717</c:v>
                </c:pt>
                <c:pt idx="139">
                  <c:v>0.18034973554238784</c:v>
                </c:pt>
                <c:pt idx="140">
                  <c:v>0.24956082663784473</c:v>
                </c:pt>
                <c:pt idx="141">
                  <c:v>8.5052162140638987E-2</c:v>
                </c:pt>
                <c:pt idx="142">
                  <c:v>4.0589742126191625E-2</c:v>
                </c:pt>
                <c:pt idx="143">
                  <c:v>0.1436649684524966</c:v>
                </c:pt>
                <c:pt idx="144">
                  <c:v>1.9677466980653237E-2</c:v>
                </c:pt>
                <c:pt idx="145">
                  <c:v>0.76492028992006589</c:v>
                </c:pt>
                <c:pt idx="146">
                  <c:v>9.1884002228829961E-2</c:v>
                </c:pt>
                <c:pt idx="147">
                  <c:v>0.14062821435749207</c:v>
                </c:pt>
                <c:pt idx="148">
                  <c:v>0.57947260497193398</c:v>
                </c:pt>
                <c:pt idx="149">
                  <c:v>2.5871661319582854E-2</c:v>
                </c:pt>
                <c:pt idx="150">
                  <c:v>0.65963954150377124</c:v>
                </c:pt>
                <c:pt idx="151">
                  <c:v>6.7989764232739197E-2</c:v>
                </c:pt>
                <c:pt idx="152">
                  <c:v>0.80613598472706982</c:v>
                </c:pt>
                <c:pt idx="153">
                  <c:v>0.19808360393361099</c:v>
                </c:pt>
                <c:pt idx="154">
                  <c:v>4.4111599003781268E-2</c:v>
                </c:pt>
                <c:pt idx="155">
                  <c:v>2.0681043501737571E-2</c:v>
                </c:pt>
                <c:pt idx="156">
                  <c:v>3.9416911974569334E-2</c:v>
                </c:pt>
                <c:pt idx="157">
                  <c:v>0.12604303908651698</c:v>
                </c:pt>
                <c:pt idx="158">
                  <c:v>0.51984233413371506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06-4B9E-A7F7-94ACDFC22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243984"/>
        <c:axId val="1108236496"/>
      </c:scatterChart>
      <c:valAx>
        <c:axId val="1108243984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V/C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36496"/>
        <c:crosses val="autoZero"/>
        <c:crossBetween val="midCat"/>
        <c:majorUnit val="0.2"/>
      </c:valAx>
      <c:valAx>
        <c:axId val="11082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4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All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alpha val="20000"/>
                </a:schemeClr>
              </a:solidFill>
              <a:ln w="9525">
                <a:solidFill>
                  <a:schemeClr val="accent1">
                    <a:alpha val="50000"/>
                  </a:schemeClr>
                </a:solidFill>
              </a:ln>
              <a:effectLst/>
            </c:spPr>
          </c:marker>
          <c:xVal>
            <c:numRef>
              <c:f>Data!$B$2:$B$505</c:f>
              <c:numCache>
                <c:formatCode>General</c:formatCode>
                <c:ptCount val="504"/>
                <c:pt idx="0">
                  <c:v>2.5838046183751767E-2</c:v>
                </c:pt>
                <c:pt idx="1">
                  <c:v>2.6163471812763097E-2</c:v>
                </c:pt>
                <c:pt idx="2">
                  <c:v>2.8516676355963215E-2</c:v>
                </c:pt>
                <c:pt idx="3">
                  <c:v>2.9511088528472101E-2</c:v>
                </c:pt>
                <c:pt idx="4">
                  <c:v>3.0188941883430687E-2</c:v>
                </c:pt>
                <c:pt idx="5">
                  <c:v>3.2749894000423996E-2</c:v>
                </c:pt>
                <c:pt idx="6">
                  <c:v>3.328927655419308E-2</c:v>
                </c:pt>
                <c:pt idx="7">
                  <c:v>3.3425146448384235E-2</c:v>
                </c:pt>
                <c:pt idx="8">
                  <c:v>3.3450816196735213E-2</c:v>
                </c:pt>
                <c:pt idx="9">
                  <c:v>3.3828439686241253E-2</c:v>
                </c:pt>
                <c:pt idx="10">
                  <c:v>3.4241865190770278E-2</c:v>
                </c:pt>
                <c:pt idx="11">
                  <c:v>3.4767525815037441E-2</c:v>
                </c:pt>
                <c:pt idx="12">
                  <c:v>3.5050382541171793E-2</c:v>
                </c:pt>
                <c:pt idx="13">
                  <c:v>3.5499258002967993E-2</c:v>
                </c:pt>
                <c:pt idx="14">
                  <c:v>3.6956325429202783E-2</c:v>
                </c:pt>
                <c:pt idx="15">
                  <c:v>3.7220499602308756E-2</c:v>
                </c:pt>
                <c:pt idx="16">
                  <c:v>3.8468998457719748E-2</c:v>
                </c:pt>
                <c:pt idx="17">
                  <c:v>3.8577220691117235E-2</c:v>
                </c:pt>
                <c:pt idx="18">
                  <c:v>3.9397333401993709E-2</c:v>
                </c:pt>
                <c:pt idx="19">
                  <c:v>3.9500777408917095E-2</c:v>
                </c:pt>
                <c:pt idx="20">
                  <c:v>3.9755235130957682E-2</c:v>
                </c:pt>
                <c:pt idx="21">
                  <c:v>3.9763090947636213E-2</c:v>
                </c:pt>
                <c:pt idx="22">
                  <c:v>4.000528920624126E-2</c:v>
                </c:pt>
                <c:pt idx="23">
                  <c:v>4.1407835581245986E-2</c:v>
                </c:pt>
                <c:pt idx="24">
                  <c:v>4.1593523814707781E-2</c:v>
                </c:pt>
                <c:pt idx="25">
                  <c:v>4.1894726072944928E-2</c:v>
                </c:pt>
                <c:pt idx="26">
                  <c:v>4.2291307727864852E-2</c:v>
                </c:pt>
                <c:pt idx="27">
                  <c:v>4.3337590869430141E-2</c:v>
                </c:pt>
                <c:pt idx="28">
                  <c:v>4.3422687266018362E-2</c:v>
                </c:pt>
                <c:pt idx="29">
                  <c:v>4.3478104560281665E-2</c:v>
                </c:pt>
                <c:pt idx="30">
                  <c:v>4.3599843129230792E-2</c:v>
                </c:pt>
                <c:pt idx="31">
                  <c:v>4.4104824137496321E-2</c:v>
                </c:pt>
                <c:pt idx="32">
                  <c:v>4.4106313045449409E-2</c:v>
                </c:pt>
                <c:pt idx="33">
                  <c:v>4.424647364513732E-2</c:v>
                </c:pt>
                <c:pt idx="34">
                  <c:v>4.4475526694305774E-2</c:v>
                </c:pt>
                <c:pt idx="35">
                  <c:v>4.4671682249486498E-2</c:v>
                </c:pt>
                <c:pt idx="36">
                  <c:v>4.4725555572749702E-2</c:v>
                </c:pt>
                <c:pt idx="37">
                  <c:v>4.4915910136802906E-2</c:v>
                </c:pt>
                <c:pt idx="38">
                  <c:v>4.4943475369584131E-2</c:v>
                </c:pt>
                <c:pt idx="39">
                  <c:v>4.4976782787746354E-2</c:v>
                </c:pt>
                <c:pt idx="40">
                  <c:v>4.5068462151295653E-2</c:v>
                </c:pt>
                <c:pt idx="41">
                  <c:v>4.5125684238718877E-2</c:v>
                </c:pt>
                <c:pt idx="42">
                  <c:v>4.6826637693449226E-2</c:v>
                </c:pt>
                <c:pt idx="43">
                  <c:v>4.6843177189409377E-2</c:v>
                </c:pt>
                <c:pt idx="44">
                  <c:v>4.8647136342718486E-2</c:v>
                </c:pt>
                <c:pt idx="45">
                  <c:v>4.8758772114132036E-2</c:v>
                </c:pt>
                <c:pt idx="46">
                  <c:v>4.8878272471319914E-2</c:v>
                </c:pt>
                <c:pt idx="47">
                  <c:v>4.9453781952056228E-2</c:v>
                </c:pt>
                <c:pt idx="48">
                  <c:v>4.9549797422327256E-2</c:v>
                </c:pt>
                <c:pt idx="49">
                  <c:v>5.2516853815328099E-2</c:v>
                </c:pt>
                <c:pt idx="50">
                  <c:v>5.2870564564257289E-2</c:v>
                </c:pt>
                <c:pt idx="51">
                  <c:v>5.3782290743320249E-2</c:v>
                </c:pt>
                <c:pt idx="52">
                  <c:v>5.4043009918402683E-2</c:v>
                </c:pt>
                <c:pt idx="53">
                  <c:v>5.4050508797964809E-2</c:v>
                </c:pt>
                <c:pt idx="54">
                  <c:v>5.4564889947038529E-2</c:v>
                </c:pt>
                <c:pt idx="55">
                  <c:v>5.4707095291214536E-2</c:v>
                </c:pt>
                <c:pt idx="56">
                  <c:v>5.5653099291852318E-2</c:v>
                </c:pt>
                <c:pt idx="57">
                  <c:v>5.5664649256181115E-2</c:v>
                </c:pt>
                <c:pt idx="58">
                  <c:v>5.5806650608982974E-2</c:v>
                </c:pt>
                <c:pt idx="59">
                  <c:v>5.7201763167511625E-2</c:v>
                </c:pt>
                <c:pt idx="60">
                  <c:v>5.9576949052382762E-2</c:v>
                </c:pt>
                <c:pt idx="61">
                  <c:v>6.1398404262197538E-2</c:v>
                </c:pt>
                <c:pt idx="62">
                  <c:v>6.1802936090048118E-2</c:v>
                </c:pt>
                <c:pt idx="63">
                  <c:v>6.1836070046208627E-2</c:v>
                </c:pt>
                <c:pt idx="64">
                  <c:v>6.2238850288021855E-2</c:v>
                </c:pt>
                <c:pt idx="65">
                  <c:v>6.4153162846386697E-2</c:v>
                </c:pt>
                <c:pt idx="66">
                  <c:v>6.4783471613881399E-2</c:v>
                </c:pt>
                <c:pt idx="67">
                  <c:v>6.545203823340516E-2</c:v>
                </c:pt>
                <c:pt idx="68">
                  <c:v>6.6046321813360911E-2</c:v>
                </c:pt>
                <c:pt idx="69">
                  <c:v>6.6081398196455601E-2</c:v>
                </c:pt>
                <c:pt idx="70">
                  <c:v>6.6171748082662712E-2</c:v>
                </c:pt>
                <c:pt idx="71">
                  <c:v>6.7823675253183183E-2</c:v>
                </c:pt>
                <c:pt idx="72">
                  <c:v>6.893693739880126E-2</c:v>
                </c:pt>
                <c:pt idx="73">
                  <c:v>6.9357326258496346E-2</c:v>
                </c:pt>
                <c:pt idx="74">
                  <c:v>6.9550631719867792E-2</c:v>
                </c:pt>
                <c:pt idx="75">
                  <c:v>7.5166061044945304E-2</c:v>
                </c:pt>
                <c:pt idx="76">
                  <c:v>7.5301538558946432E-2</c:v>
                </c:pt>
                <c:pt idx="77">
                  <c:v>7.854581573467824E-2</c:v>
                </c:pt>
                <c:pt idx="78">
                  <c:v>7.9294352285678105E-2</c:v>
                </c:pt>
                <c:pt idx="79">
                  <c:v>8.1651296068450882E-2</c:v>
                </c:pt>
                <c:pt idx="80">
                  <c:v>8.3583955932632653E-2</c:v>
                </c:pt>
                <c:pt idx="81">
                  <c:v>8.6028185808956992E-2</c:v>
                </c:pt>
                <c:pt idx="82">
                  <c:v>8.8038673405576945E-2</c:v>
                </c:pt>
                <c:pt idx="83">
                  <c:v>8.8421790155894214E-2</c:v>
                </c:pt>
                <c:pt idx="84">
                  <c:v>9.0727573447917154E-2</c:v>
                </c:pt>
                <c:pt idx="85">
                  <c:v>9.0837414995041971E-2</c:v>
                </c:pt>
                <c:pt idx="86">
                  <c:v>9.1939015014282519E-2</c:v>
                </c:pt>
                <c:pt idx="87">
                  <c:v>9.2974203820211487E-2</c:v>
                </c:pt>
                <c:pt idx="88">
                  <c:v>9.590430883080138E-2</c:v>
                </c:pt>
                <c:pt idx="89">
                  <c:v>9.6027440767325056E-2</c:v>
                </c:pt>
                <c:pt idx="90">
                  <c:v>9.6214252474828663E-2</c:v>
                </c:pt>
                <c:pt idx="91">
                  <c:v>9.7492021583684391E-2</c:v>
                </c:pt>
                <c:pt idx="92">
                  <c:v>9.9944320712694865E-2</c:v>
                </c:pt>
                <c:pt idx="93">
                  <c:v>0.10105079739478745</c:v>
                </c:pt>
                <c:pt idx="94">
                  <c:v>0.10179329327226121</c:v>
                </c:pt>
                <c:pt idx="95">
                  <c:v>0.10190081801238568</c:v>
                </c:pt>
                <c:pt idx="96">
                  <c:v>0.10487912735849056</c:v>
                </c:pt>
                <c:pt idx="97">
                  <c:v>0.1079101524614967</c:v>
                </c:pt>
                <c:pt idx="98">
                  <c:v>0.10844312759091131</c:v>
                </c:pt>
                <c:pt idx="99">
                  <c:v>0.11119069477860791</c:v>
                </c:pt>
                <c:pt idx="100">
                  <c:v>0.11486344515475928</c:v>
                </c:pt>
                <c:pt idx="101">
                  <c:v>0.1169842837332437</c:v>
                </c:pt>
                <c:pt idx="102">
                  <c:v>0.11758456569777324</c:v>
                </c:pt>
                <c:pt idx="103">
                  <c:v>0.11934829938612916</c:v>
                </c:pt>
                <c:pt idx="104">
                  <c:v>0.11967683991624598</c:v>
                </c:pt>
                <c:pt idx="105">
                  <c:v>0.12901285587938005</c:v>
                </c:pt>
                <c:pt idx="106">
                  <c:v>0.13502442884668317</c:v>
                </c:pt>
                <c:pt idx="107">
                  <c:v>0.14172244243974999</c:v>
                </c:pt>
                <c:pt idx="108">
                  <c:v>0.14368700279062019</c:v>
                </c:pt>
                <c:pt idx="109">
                  <c:v>0.14570585476022413</c:v>
                </c:pt>
                <c:pt idx="110">
                  <c:v>0.14716806304258406</c:v>
                </c:pt>
                <c:pt idx="111">
                  <c:v>0.14792322409430367</c:v>
                </c:pt>
                <c:pt idx="112">
                  <c:v>0.15336845874469288</c:v>
                </c:pt>
                <c:pt idx="113">
                  <c:v>0.1546445052277102</c:v>
                </c:pt>
                <c:pt idx="114">
                  <c:v>0.15746440087639504</c:v>
                </c:pt>
                <c:pt idx="115">
                  <c:v>0.15900677870798449</c:v>
                </c:pt>
                <c:pt idx="116">
                  <c:v>0.1611947602982215</c:v>
                </c:pt>
                <c:pt idx="117">
                  <c:v>0.16316797867466368</c:v>
                </c:pt>
                <c:pt idx="118">
                  <c:v>0.16319696304497211</c:v>
                </c:pt>
                <c:pt idx="119">
                  <c:v>0.17288718095856279</c:v>
                </c:pt>
                <c:pt idx="120">
                  <c:v>0.17452161625176615</c:v>
                </c:pt>
                <c:pt idx="121">
                  <c:v>0.17494551255053908</c:v>
                </c:pt>
                <c:pt idx="122">
                  <c:v>0.17695557734351311</c:v>
                </c:pt>
                <c:pt idx="123">
                  <c:v>0.17823619729011017</c:v>
                </c:pt>
                <c:pt idx="124">
                  <c:v>0.18200775042757264</c:v>
                </c:pt>
                <c:pt idx="125">
                  <c:v>0.18279113175067813</c:v>
                </c:pt>
                <c:pt idx="126">
                  <c:v>0.18282381864892183</c:v>
                </c:pt>
                <c:pt idx="127">
                  <c:v>0.18580875505833971</c:v>
                </c:pt>
                <c:pt idx="128">
                  <c:v>0.19009831460674156</c:v>
                </c:pt>
                <c:pt idx="129">
                  <c:v>0.19071146329118246</c:v>
                </c:pt>
                <c:pt idx="130">
                  <c:v>0.19456467165312769</c:v>
                </c:pt>
                <c:pt idx="131">
                  <c:v>0.20703239759168343</c:v>
                </c:pt>
                <c:pt idx="132">
                  <c:v>0.21534502686492565</c:v>
                </c:pt>
                <c:pt idx="133">
                  <c:v>0.2176650466357998</c:v>
                </c:pt>
                <c:pt idx="134">
                  <c:v>0.2194699459745364</c:v>
                </c:pt>
                <c:pt idx="135">
                  <c:v>0.22885528488852194</c:v>
                </c:pt>
                <c:pt idx="136">
                  <c:v>0.23611146069301117</c:v>
                </c:pt>
                <c:pt idx="137">
                  <c:v>0.24438742278438461</c:v>
                </c:pt>
                <c:pt idx="138">
                  <c:v>0.24985749428843185</c:v>
                </c:pt>
                <c:pt idx="139">
                  <c:v>0.25284282345013476</c:v>
                </c:pt>
                <c:pt idx="140">
                  <c:v>0.25332620032446523</c:v>
                </c:pt>
                <c:pt idx="141">
                  <c:v>0.26758997009770891</c:v>
                </c:pt>
                <c:pt idx="142">
                  <c:v>0.27067270390844733</c:v>
                </c:pt>
                <c:pt idx="143">
                  <c:v>0.27090074379123419</c:v>
                </c:pt>
                <c:pt idx="144">
                  <c:v>0.27173236623018032</c:v>
                </c:pt>
                <c:pt idx="145">
                  <c:v>0.27177582972859188</c:v>
                </c:pt>
                <c:pt idx="146">
                  <c:v>0.272447682480985</c:v>
                </c:pt>
                <c:pt idx="147">
                  <c:v>0.2725386541027689</c:v>
                </c:pt>
                <c:pt idx="148">
                  <c:v>0.27475893304391386</c:v>
                </c:pt>
                <c:pt idx="149">
                  <c:v>0.27739972475522123</c:v>
                </c:pt>
                <c:pt idx="150">
                  <c:v>0.27807045382418266</c:v>
                </c:pt>
                <c:pt idx="151">
                  <c:v>0.279629877071085</c:v>
                </c:pt>
                <c:pt idx="152">
                  <c:v>0.28022064214708353</c:v>
                </c:pt>
                <c:pt idx="153">
                  <c:v>0.28106838554782826</c:v>
                </c:pt>
                <c:pt idx="154">
                  <c:v>0.29221335264334525</c:v>
                </c:pt>
                <c:pt idx="155">
                  <c:v>0.29436712073779508</c:v>
                </c:pt>
                <c:pt idx="156">
                  <c:v>0.29748439104491103</c:v>
                </c:pt>
                <c:pt idx="157">
                  <c:v>0.29795864069587291</c:v>
                </c:pt>
                <c:pt idx="158">
                  <c:v>0.29908467113817488</c:v>
                </c:pt>
                <c:pt idx="159">
                  <c:v>0.30350468392617314</c:v>
                </c:pt>
                <c:pt idx="160">
                  <c:v>0.30504154966378166</c:v>
                </c:pt>
                <c:pt idx="161">
                  <c:v>0.3065092481238656</c:v>
                </c:pt>
                <c:pt idx="162">
                  <c:v>0.30806730121293802</c:v>
                </c:pt>
                <c:pt idx="163">
                  <c:v>0.31396079187969617</c:v>
                </c:pt>
                <c:pt idx="164">
                  <c:v>0.32147601090828443</c:v>
                </c:pt>
                <c:pt idx="165">
                  <c:v>0.32445660167247975</c:v>
                </c:pt>
                <c:pt idx="166">
                  <c:v>0.32505514362339732</c:v>
                </c:pt>
                <c:pt idx="167">
                  <c:v>0.33744603336249795</c:v>
                </c:pt>
                <c:pt idx="168">
                  <c:v>0.3411860121177423</c:v>
                </c:pt>
                <c:pt idx="169">
                  <c:v>0.3426993288172222</c:v>
                </c:pt>
                <c:pt idx="170">
                  <c:v>0.34382832881477315</c:v>
                </c:pt>
                <c:pt idx="171">
                  <c:v>0.35025160734546368</c:v>
                </c:pt>
                <c:pt idx="172">
                  <c:v>0.35409021715399919</c:v>
                </c:pt>
                <c:pt idx="173">
                  <c:v>0.35719286977762799</c:v>
                </c:pt>
                <c:pt idx="174">
                  <c:v>0.35822821425127876</c:v>
                </c:pt>
                <c:pt idx="175">
                  <c:v>0.36326268464996792</c:v>
                </c:pt>
                <c:pt idx="176">
                  <c:v>0.36360637205980428</c:v>
                </c:pt>
                <c:pt idx="177">
                  <c:v>0.36444056845079026</c:v>
                </c:pt>
                <c:pt idx="178">
                  <c:v>0.36649291219377955</c:v>
                </c:pt>
                <c:pt idx="179">
                  <c:v>0.36896221720323075</c:v>
                </c:pt>
                <c:pt idx="180">
                  <c:v>0.3698676223562648</c:v>
                </c:pt>
                <c:pt idx="181">
                  <c:v>0.37603898262821051</c:v>
                </c:pt>
                <c:pt idx="182">
                  <c:v>0.37737745632470227</c:v>
                </c:pt>
                <c:pt idx="183">
                  <c:v>0.37901177167317757</c:v>
                </c:pt>
                <c:pt idx="184">
                  <c:v>0.38017746076139591</c:v>
                </c:pt>
                <c:pt idx="185">
                  <c:v>0.38054776288834669</c:v>
                </c:pt>
                <c:pt idx="186">
                  <c:v>0.38857874773084194</c:v>
                </c:pt>
                <c:pt idx="187">
                  <c:v>0.39067748289446402</c:v>
                </c:pt>
                <c:pt idx="188">
                  <c:v>0.39892722520721396</c:v>
                </c:pt>
                <c:pt idx="189">
                  <c:v>0.40082138918872967</c:v>
                </c:pt>
                <c:pt idx="190">
                  <c:v>0.40768269109551625</c:v>
                </c:pt>
                <c:pt idx="191">
                  <c:v>0.40807571495050343</c:v>
                </c:pt>
                <c:pt idx="192">
                  <c:v>0.40891921944097825</c:v>
                </c:pt>
                <c:pt idx="193">
                  <c:v>0.40917958731513493</c:v>
                </c:pt>
                <c:pt idx="194">
                  <c:v>0.40961964743455059</c:v>
                </c:pt>
                <c:pt idx="195">
                  <c:v>0.41798701799427579</c:v>
                </c:pt>
                <c:pt idx="196">
                  <c:v>0.41815048523470366</c:v>
                </c:pt>
                <c:pt idx="197">
                  <c:v>0.42166034384861423</c:v>
                </c:pt>
                <c:pt idx="198">
                  <c:v>0.42723478799848724</c:v>
                </c:pt>
                <c:pt idx="199">
                  <c:v>0.4277248148767937</c:v>
                </c:pt>
                <c:pt idx="200">
                  <c:v>0.42787254737899005</c:v>
                </c:pt>
                <c:pt idx="201">
                  <c:v>0.42825017137369142</c:v>
                </c:pt>
                <c:pt idx="202">
                  <c:v>0.42856324711566496</c:v>
                </c:pt>
                <c:pt idx="203">
                  <c:v>0.42888281034957343</c:v>
                </c:pt>
                <c:pt idx="204">
                  <c:v>0.43115795789665756</c:v>
                </c:pt>
                <c:pt idx="205">
                  <c:v>0.43827237898061988</c:v>
                </c:pt>
                <c:pt idx="206">
                  <c:v>0.43861028658716533</c:v>
                </c:pt>
                <c:pt idx="207">
                  <c:v>0.44421856043174496</c:v>
                </c:pt>
                <c:pt idx="208">
                  <c:v>0.44457232314891287</c:v>
                </c:pt>
                <c:pt idx="209">
                  <c:v>0.44649840706614008</c:v>
                </c:pt>
                <c:pt idx="210">
                  <c:v>0.44705608900281552</c:v>
                </c:pt>
                <c:pt idx="211">
                  <c:v>0.44733519130195465</c:v>
                </c:pt>
                <c:pt idx="212">
                  <c:v>0.45006480281429384</c:v>
                </c:pt>
                <c:pt idx="213">
                  <c:v>0.4510635082549394</c:v>
                </c:pt>
                <c:pt idx="214">
                  <c:v>0.46224585299317278</c:v>
                </c:pt>
                <c:pt idx="215">
                  <c:v>0.46261981507686295</c:v>
                </c:pt>
                <c:pt idx="216">
                  <c:v>0.46296621249655939</c:v>
                </c:pt>
                <c:pt idx="217">
                  <c:v>0.46546402780096846</c:v>
                </c:pt>
                <c:pt idx="218">
                  <c:v>0.469122986381451</c:v>
                </c:pt>
                <c:pt idx="219">
                  <c:v>0.47125492432096205</c:v>
                </c:pt>
                <c:pt idx="220">
                  <c:v>0.47470594041136172</c:v>
                </c:pt>
                <c:pt idx="221">
                  <c:v>0.47718106530541915</c:v>
                </c:pt>
                <c:pt idx="222">
                  <c:v>0.48015603294452069</c:v>
                </c:pt>
                <c:pt idx="223">
                  <c:v>0.4809668224892123</c:v>
                </c:pt>
                <c:pt idx="224">
                  <c:v>0.48305644826871241</c:v>
                </c:pt>
                <c:pt idx="225">
                  <c:v>0.48537866801641882</c:v>
                </c:pt>
                <c:pt idx="226">
                  <c:v>0.48710944881981055</c:v>
                </c:pt>
                <c:pt idx="227">
                  <c:v>0.48831297638385607</c:v>
                </c:pt>
                <c:pt idx="228">
                  <c:v>0.48954768309200852</c:v>
                </c:pt>
                <c:pt idx="229">
                  <c:v>0.4902946035242291</c:v>
                </c:pt>
                <c:pt idx="230">
                  <c:v>0.49075403717048155</c:v>
                </c:pt>
                <c:pt idx="231">
                  <c:v>0.49239168368928293</c:v>
                </c:pt>
                <c:pt idx="232">
                  <c:v>0.4941001435881463</c:v>
                </c:pt>
                <c:pt idx="233">
                  <c:v>0.50236636971046766</c:v>
                </c:pt>
                <c:pt idx="234">
                  <c:v>0.50407051146459092</c:v>
                </c:pt>
                <c:pt idx="235">
                  <c:v>0.50419032170857003</c:v>
                </c:pt>
                <c:pt idx="236">
                  <c:v>0.50692921721823436</c:v>
                </c:pt>
                <c:pt idx="237">
                  <c:v>0.51153009780162717</c:v>
                </c:pt>
                <c:pt idx="238">
                  <c:v>0.51271644136034777</c:v>
                </c:pt>
                <c:pt idx="239">
                  <c:v>0.51355678918434811</c:v>
                </c:pt>
                <c:pt idx="240">
                  <c:v>0.5139980582429059</c:v>
                </c:pt>
                <c:pt idx="241">
                  <c:v>0.51405675859791089</c:v>
                </c:pt>
                <c:pt idx="242">
                  <c:v>0.51603067454328411</c:v>
                </c:pt>
                <c:pt idx="243">
                  <c:v>0.5165146403432046</c:v>
                </c:pt>
                <c:pt idx="244">
                  <c:v>0.51665617162195465</c:v>
                </c:pt>
                <c:pt idx="245">
                  <c:v>0.51667434746160701</c:v>
                </c:pt>
                <c:pt idx="246">
                  <c:v>0.51687983119092173</c:v>
                </c:pt>
                <c:pt idx="247">
                  <c:v>0.51690778369610468</c:v>
                </c:pt>
                <c:pt idx="248">
                  <c:v>0.52086826711104195</c:v>
                </c:pt>
                <c:pt idx="249">
                  <c:v>0.52117008232615203</c:v>
                </c:pt>
                <c:pt idx="250">
                  <c:v>0.52215442085252384</c:v>
                </c:pt>
                <c:pt idx="251">
                  <c:v>0.52274899124739727</c:v>
                </c:pt>
                <c:pt idx="252">
                  <c:v>0.52284345320306247</c:v>
                </c:pt>
                <c:pt idx="253">
                  <c:v>0.52410814694489571</c:v>
                </c:pt>
                <c:pt idx="254">
                  <c:v>0.52452418940008239</c:v>
                </c:pt>
                <c:pt idx="255">
                  <c:v>0.52577300499907442</c:v>
                </c:pt>
                <c:pt idx="256">
                  <c:v>0.52729205796977718</c:v>
                </c:pt>
                <c:pt idx="257">
                  <c:v>0.52932775237572871</c:v>
                </c:pt>
                <c:pt idx="258">
                  <c:v>0.53185900082576354</c:v>
                </c:pt>
                <c:pt idx="259">
                  <c:v>0.53514587276416525</c:v>
                </c:pt>
                <c:pt idx="260">
                  <c:v>0.53675403397933918</c:v>
                </c:pt>
                <c:pt idx="261">
                  <c:v>0.54419383573846425</c:v>
                </c:pt>
                <c:pt idx="262">
                  <c:v>0.54687694381090601</c:v>
                </c:pt>
                <c:pt idx="263">
                  <c:v>0.54802044649336268</c:v>
                </c:pt>
                <c:pt idx="264">
                  <c:v>0.54898022084048026</c:v>
                </c:pt>
                <c:pt idx="265">
                  <c:v>0.54929234541951266</c:v>
                </c:pt>
                <c:pt idx="266">
                  <c:v>0.54999352063031304</c:v>
                </c:pt>
                <c:pt idx="267">
                  <c:v>0.55048292902066487</c:v>
                </c:pt>
                <c:pt idx="268">
                  <c:v>0.55310349573355344</c:v>
                </c:pt>
                <c:pt idx="269">
                  <c:v>0.55736864494595273</c:v>
                </c:pt>
                <c:pt idx="270">
                  <c:v>0.56142259862778732</c:v>
                </c:pt>
                <c:pt idx="271">
                  <c:v>0.56825250958540807</c:v>
                </c:pt>
                <c:pt idx="272">
                  <c:v>0.57352300291904779</c:v>
                </c:pt>
                <c:pt idx="273">
                  <c:v>0.57443461913086391</c:v>
                </c:pt>
                <c:pt idx="274">
                  <c:v>0.57536569853720587</c:v>
                </c:pt>
                <c:pt idx="275">
                  <c:v>0.57591240875912375</c:v>
                </c:pt>
                <c:pt idx="276">
                  <c:v>0.57872726691937471</c:v>
                </c:pt>
                <c:pt idx="277">
                  <c:v>0.58230541109726219</c:v>
                </c:pt>
                <c:pt idx="278">
                  <c:v>0.58275816020908444</c:v>
                </c:pt>
                <c:pt idx="279">
                  <c:v>0.58292461689503483</c:v>
                </c:pt>
                <c:pt idx="280">
                  <c:v>0.58381763474067183</c:v>
                </c:pt>
                <c:pt idx="281">
                  <c:v>0.58387315376077864</c:v>
                </c:pt>
                <c:pt idx="282">
                  <c:v>0.58431074964040952</c:v>
                </c:pt>
                <c:pt idx="283">
                  <c:v>0.58841469777926192</c:v>
                </c:pt>
                <c:pt idx="284">
                  <c:v>0.5901111859838275</c:v>
                </c:pt>
                <c:pt idx="285">
                  <c:v>0.59336710073469467</c:v>
                </c:pt>
                <c:pt idx="286">
                  <c:v>0.59602444932980447</c:v>
                </c:pt>
                <c:pt idx="287">
                  <c:v>0.59656633118859226</c:v>
                </c:pt>
                <c:pt idx="288">
                  <c:v>0.59750394114555971</c:v>
                </c:pt>
                <c:pt idx="289">
                  <c:v>0.59785639412997904</c:v>
                </c:pt>
                <c:pt idx="290">
                  <c:v>0.59894048527326205</c:v>
                </c:pt>
                <c:pt idx="291">
                  <c:v>0.60183962264150948</c:v>
                </c:pt>
                <c:pt idx="292">
                  <c:v>0.60216769132923476</c:v>
                </c:pt>
                <c:pt idx="293">
                  <c:v>0.60366731077580893</c:v>
                </c:pt>
                <c:pt idx="294">
                  <c:v>0.60380330066180732</c:v>
                </c:pt>
                <c:pt idx="295">
                  <c:v>0.60494569584489044</c:v>
                </c:pt>
                <c:pt idx="296">
                  <c:v>0.61237384668924477</c:v>
                </c:pt>
                <c:pt idx="297">
                  <c:v>0.61525628206242933</c:v>
                </c:pt>
                <c:pt idx="298">
                  <c:v>0.6161503364708889</c:v>
                </c:pt>
                <c:pt idx="299">
                  <c:v>0.61770914215051864</c:v>
                </c:pt>
                <c:pt idx="300">
                  <c:v>0.620821184374307</c:v>
                </c:pt>
                <c:pt idx="301">
                  <c:v>0.62159771982632306</c:v>
                </c:pt>
                <c:pt idx="302">
                  <c:v>0.6232834609344674</c:v>
                </c:pt>
                <c:pt idx="303">
                  <c:v>0.62364734676873368</c:v>
                </c:pt>
                <c:pt idx="304">
                  <c:v>0.6295566672714864</c:v>
                </c:pt>
                <c:pt idx="305">
                  <c:v>0.63404948249697346</c:v>
                </c:pt>
                <c:pt idx="306">
                  <c:v>0.63407836422716535</c:v>
                </c:pt>
                <c:pt idx="307">
                  <c:v>0.63442910574634426</c:v>
                </c:pt>
                <c:pt idx="308">
                  <c:v>0.63838150289017359</c:v>
                </c:pt>
                <c:pt idx="309">
                  <c:v>0.63981190026517043</c:v>
                </c:pt>
                <c:pt idx="310">
                  <c:v>0.64066845291575758</c:v>
                </c:pt>
                <c:pt idx="311">
                  <c:v>0.6409596618807879</c:v>
                </c:pt>
                <c:pt idx="312">
                  <c:v>0.6417556875030036</c:v>
                </c:pt>
                <c:pt idx="313">
                  <c:v>0.64230998533700712</c:v>
                </c:pt>
                <c:pt idx="314">
                  <c:v>0.64551980905161732</c:v>
                </c:pt>
                <c:pt idx="315">
                  <c:v>0.64674432687404382</c:v>
                </c:pt>
                <c:pt idx="316">
                  <c:v>0.64707658110200261</c:v>
                </c:pt>
                <c:pt idx="317">
                  <c:v>0.64750096339113672</c:v>
                </c:pt>
                <c:pt idx="318">
                  <c:v>0.65130568356374829</c:v>
                </c:pt>
                <c:pt idx="319">
                  <c:v>0.6514993261455525</c:v>
                </c:pt>
                <c:pt idx="320">
                  <c:v>0.65197589686098656</c:v>
                </c:pt>
                <c:pt idx="321">
                  <c:v>0.65221365708496903</c:v>
                </c:pt>
                <c:pt idx="322">
                  <c:v>0.66269574356279548</c:v>
                </c:pt>
                <c:pt idx="323">
                  <c:v>0.66835160454454834</c:v>
                </c:pt>
                <c:pt idx="324">
                  <c:v>0.67119600017075043</c:v>
                </c:pt>
                <c:pt idx="325">
                  <c:v>0.67369433112357635</c:v>
                </c:pt>
                <c:pt idx="326">
                  <c:v>0.67392672364354467</c:v>
                </c:pt>
                <c:pt idx="327">
                  <c:v>0.67453179190751444</c:v>
                </c:pt>
                <c:pt idx="328">
                  <c:v>0.67675959236652894</c:v>
                </c:pt>
                <c:pt idx="329">
                  <c:v>0.67952290802944415</c:v>
                </c:pt>
                <c:pt idx="330">
                  <c:v>0.68990741691178126</c:v>
                </c:pt>
                <c:pt idx="331">
                  <c:v>0.69061139332365751</c:v>
                </c:pt>
                <c:pt idx="332">
                  <c:v>0.69061356525428252</c:v>
                </c:pt>
                <c:pt idx="333">
                  <c:v>0.69184270845566076</c:v>
                </c:pt>
                <c:pt idx="334">
                  <c:v>0.69242279396483641</c:v>
                </c:pt>
                <c:pt idx="335">
                  <c:v>0.6926650423904912</c:v>
                </c:pt>
                <c:pt idx="336">
                  <c:v>0.69324545532868098</c:v>
                </c:pt>
                <c:pt idx="337">
                  <c:v>0.69483326635079112</c:v>
                </c:pt>
                <c:pt idx="338">
                  <c:v>0.69621760488812512</c:v>
                </c:pt>
                <c:pt idx="339">
                  <c:v>0.69641836713490146</c:v>
                </c:pt>
                <c:pt idx="340">
                  <c:v>0.69753965969893283</c:v>
                </c:pt>
                <c:pt idx="341">
                  <c:v>0.69766001518547149</c:v>
                </c:pt>
                <c:pt idx="342">
                  <c:v>0.69781284357370787</c:v>
                </c:pt>
                <c:pt idx="343">
                  <c:v>0.69791880765086534</c:v>
                </c:pt>
                <c:pt idx="344">
                  <c:v>0.70198920763273864</c:v>
                </c:pt>
                <c:pt idx="345">
                  <c:v>0.70254297106011121</c:v>
                </c:pt>
                <c:pt idx="346">
                  <c:v>0.70477529545925766</c:v>
                </c:pt>
                <c:pt idx="347">
                  <c:v>0.70647588930074223</c:v>
                </c:pt>
                <c:pt idx="348">
                  <c:v>0.70845510809300727</c:v>
                </c:pt>
                <c:pt idx="349">
                  <c:v>0.70945858386896121</c:v>
                </c:pt>
                <c:pt idx="350">
                  <c:v>0.71135131772546301</c:v>
                </c:pt>
                <c:pt idx="351">
                  <c:v>0.71151016912866594</c:v>
                </c:pt>
                <c:pt idx="352">
                  <c:v>0.71646339360071765</c:v>
                </c:pt>
                <c:pt idx="353">
                  <c:v>0.71651308505764677</c:v>
                </c:pt>
                <c:pt idx="354">
                  <c:v>0.72220256065793209</c:v>
                </c:pt>
                <c:pt idx="355">
                  <c:v>0.72536299201761611</c:v>
                </c:pt>
                <c:pt idx="356">
                  <c:v>0.72873984382507717</c:v>
                </c:pt>
                <c:pt idx="357">
                  <c:v>0.72887188254769508</c:v>
                </c:pt>
                <c:pt idx="358">
                  <c:v>0.72999440271303839</c:v>
                </c:pt>
                <c:pt idx="359">
                  <c:v>0.73153732872326727</c:v>
                </c:pt>
                <c:pt idx="360">
                  <c:v>0.73207047043463613</c:v>
                </c:pt>
                <c:pt idx="361">
                  <c:v>0.73282767984643138</c:v>
                </c:pt>
                <c:pt idx="362">
                  <c:v>0.73468539632386098</c:v>
                </c:pt>
                <c:pt idx="363">
                  <c:v>0.73479254941436178</c:v>
                </c:pt>
                <c:pt idx="364">
                  <c:v>0.73662410356014685</c:v>
                </c:pt>
                <c:pt idx="365">
                  <c:v>0.73798864135944897</c:v>
                </c:pt>
                <c:pt idx="366">
                  <c:v>0.73857489102487306</c:v>
                </c:pt>
                <c:pt idx="367">
                  <c:v>0.73907332869291598</c:v>
                </c:pt>
                <c:pt idx="368">
                  <c:v>0.74098719676549873</c:v>
                </c:pt>
                <c:pt idx="369">
                  <c:v>0.74244009794839028</c:v>
                </c:pt>
                <c:pt idx="370">
                  <c:v>0.74342690755765128</c:v>
                </c:pt>
                <c:pt idx="371">
                  <c:v>0.74431452607746984</c:v>
                </c:pt>
                <c:pt idx="372">
                  <c:v>0.74718441665224156</c:v>
                </c:pt>
                <c:pt idx="373">
                  <c:v>0.75527031930333821</c:v>
                </c:pt>
                <c:pt idx="374">
                  <c:v>0.76096698113207539</c:v>
                </c:pt>
                <c:pt idx="375">
                  <c:v>0.76220912639661642</c:v>
                </c:pt>
                <c:pt idx="376">
                  <c:v>0.76240519792822792</c:v>
                </c:pt>
                <c:pt idx="377">
                  <c:v>0.76558176673783651</c:v>
                </c:pt>
                <c:pt idx="378">
                  <c:v>0.76792426507749334</c:v>
                </c:pt>
                <c:pt idx="379">
                  <c:v>0.77009339864160742</c:v>
                </c:pt>
                <c:pt idx="380">
                  <c:v>0.77020647050043101</c:v>
                </c:pt>
                <c:pt idx="381">
                  <c:v>0.77104117966271501</c:v>
                </c:pt>
                <c:pt idx="382">
                  <c:v>0.77451217376072901</c:v>
                </c:pt>
                <c:pt idx="383">
                  <c:v>0.7811393793226985</c:v>
                </c:pt>
                <c:pt idx="384">
                  <c:v>0.78376199819695602</c:v>
                </c:pt>
                <c:pt idx="385">
                  <c:v>0.78622745179348952</c:v>
                </c:pt>
                <c:pt idx="386">
                  <c:v>0.78855463924409874</c:v>
                </c:pt>
                <c:pt idx="387">
                  <c:v>0.79130700065744974</c:v>
                </c:pt>
                <c:pt idx="388">
                  <c:v>0.7915892598663713</c:v>
                </c:pt>
                <c:pt idx="389">
                  <c:v>0.79210309293309888</c:v>
                </c:pt>
                <c:pt idx="390">
                  <c:v>0.79264519680704659</c:v>
                </c:pt>
                <c:pt idx="391">
                  <c:v>0.79314827754134132</c:v>
                </c:pt>
                <c:pt idx="392">
                  <c:v>0.79383330547164344</c:v>
                </c:pt>
                <c:pt idx="393">
                  <c:v>0.79410029498525103</c:v>
                </c:pt>
                <c:pt idx="394">
                  <c:v>0.79465599671994314</c:v>
                </c:pt>
                <c:pt idx="395">
                  <c:v>0.79528152429886556</c:v>
                </c:pt>
                <c:pt idx="396">
                  <c:v>0.79611624524023439</c:v>
                </c:pt>
                <c:pt idx="397">
                  <c:v>0.7961311905820575</c:v>
                </c:pt>
                <c:pt idx="398">
                  <c:v>0.7968136896810819</c:v>
                </c:pt>
                <c:pt idx="399">
                  <c:v>0.79984620302928222</c:v>
                </c:pt>
                <c:pt idx="400">
                  <c:v>0.80008973271419392</c:v>
                </c:pt>
                <c:pt idx="401">
                  <c:v>0.80013508941399136</c:v>
                </c:pt>
                <c:pt idx="402">
                  <c:v>0.80266817290031722</c:v>
                </c:pt>
                <c:pt idx="403">
                  <c:v>0.80288446767702071</c:v>
                </c:pt>
                <c:pt idx="404">
                  <c:v>0.8056270410649915</c:v>
                </c:pt>
                <c:pt idx="405">
                  <c:v>0.8077086638003006</c:v>
                </c:pt>
                <c:pt idx="406">
                  <c:v>0.80963101801346671</c:v>
                </c:pt>
                <c:pt idx="407">
                  <c:v>0.81343798059076222</c:v>
                </c:pt>
                <c:pt idx="408">
                  <c:v>0.81344643136903771</c:v>
                </c:pt>
                <c:pt idx="409">
                  <c:v>0.81352493073964205</c:v>
                </c:pt>
                <c:pt idx="410">
                  <c:v>0.81705128158514428</c:v>
                </c:pt>
                <c:pt idx="411">
                  <c:v>0.81852862223384881</c:v>
                </c:pt>
                <c:pt idx="412">
                  <c:v>0.8185979056192707</c:v>
                </c:pt>
                <c:pt idx="413">
                  <c:v>0.82227528462516897</c:v>
                </c:pt>
                <c:pt idx="414">
                  <c:v>0.82481345244350945</c:v>
                </c:pt>
                <c:pt idx="415">
                  <c:v>0.82489739578991761</c:v>
                </c:pt>
                <c:pt idx="416">
                  <c:v>0.82620677832266654</c:v>
                </c:pt>
                <c:pt idx="417">
                  <c:v>0.83223875181422358</c:v>
                </c:pt>
                <c:pt idx="418">
                  <c:v>0.83246972199284408</c:v>
                </c:pt>
                <c:pt idx="419">
                  <c:v>0.83419685351425443</c:v>
                </c:pt>
                <c:pt idx="420">
                  <c:v>0.83455712788259961</c:v>
                </c:pt>
                <c:pt idx="421">
                  <c:v>0.83581481764271714</c:v>
                </c:pt>
                <c:pt idx="422">
                  <c:v>0.83694422116930367</c:v>
                </c:pt>
                <c:pt idx="423">
                  <c:v>0.83919860479377928</c:v>
                </c:pt>
                <c:pt idx="424">
                  <c:v>0.83929263067064874</c:v>
                </c:pt>
                <c:pt idx="425">
                  <c:v>0.84043039808782471</c:v>
                </c:pt>
                <c:pt idx="426">
                  <c:v>0.84140965166908566</c:v>
                </c:pt>
                <c:pt idx="427">
                  <c:v>0.84301231068618332</c:v>
                </c:pt>
                <c:pt idx="428">
                  <c:v>0.84422635559177828</c:v>
                </c:pt>
                <c:pt idx="429">
                  <c:v>0.84879555938824702</c:v>
                </c:pt>
                <c:pt idx="430">
                  <c:v>0.85165598698468825</c:v>
                </c:pt>
                <c:pt idx="431">
                  <c:v>0.85773839831248144</c:v>
                </c:pt>
                <c:pt idx="432">
                  <c:v>0.86497921229005359</c:v>
                </c:pt>
                <c:pt idx="433">
                  <c:v>0.87111810115534871</c:v>
                </c:pt>
                <c:pt idx="434">
                  <c:v>0.87555956477891905</c:v>
                </c:pt>
                <c:pt idx="435">
                  <c:v>0.87889980732177309</c:v>
                </c:pt>
                <c:pt idx="436">
                  <c:v>0.8812235059429806</c:v>
                </c:pt>
                <c:pt idx="437">
                  <c:v>0.8866810367612078</c:v>
                </c:pt>
                <c:pt idx="438">
                  <c:v>0.88685569140168008</c:v>
                </c:pt>
                <c:pt idx="439">
                  <c:v>0.88845894671366366</c:v>
                </c:pt>
                <c:pt idx="440">
                  <c:v>0.88947568246838304</c:v>
                </c:pt>
                <c:pt idx="441">
                  <c:v>0.89029839087642504</c:v>
                </c:pt>
                <c:pt idx="442">
                  <c:v>0.89166857989647685</c:v>
                </c:pt>
                <c:pt idx="443">
                  <c:v>0.89290020306286477</c:v>
                </c:pt>
                <c:pt idx="444">
                  <c:v>0.8931610103355726</c:v>
                </c:pt>
                <c:pt idx="445">
                  <c:v>0.89440701864327099</c:v>
                </c:pt>
                <c:pt idx="446">
                  <c:v>0.8969587744386579</c:v>
                </c:pt>
                <c:pt idx="447">
                  <c:v>0.90429928385511005</c:v>
                </c:pt>
                <c:pt idx="448">
                  <c:v>0.9078861277685436</c:v>
                </c:pt>
                <c:pt idx="449">
                  <c:v>0.90889196941560091</c:v>
                </c:pt>
                <c:pt idx="450">
                  <c:v>0.91206120934162793</c:v>
                </c:pt>
                <c:pt idx="451">
                  <c:v>0.91905359213424509</c:v>
                </c:pt>
                <c:pt idx="452">
                  <c:v>0.91947785936225224</c:v>
                </c:pt>
                <c:pt idx="453">
                  <c:v>0.92330121441575641</c:v>
                </c:pt>
                <c:pt idx="454">
                  <c:v>0.92715319075868641</c:v>
                </c:pt>
                <c:pt idx="455">
                  <c:v>0.92753707910208449</c:v>
                </c:pt>
                <c:pt idx="456">
                  <c:v>0.93386804284755232</c:v>
                </c:pt>
                <c:pt idx="457">
                  <c:v>0.94416690260260239</c:v>
                </c:pt>
                <c:pt idx="458">
                  <c:v>0.9446973270440252</c:v>
                </c:pt>
                <c:pt idx="459">
                  <c:v>0.95541129390840374</c:v>
                </c:pt>
                <c:pt idx="460">
                  <c:v>0.95579117574359407</c:v>
                </c:pt>
                <c:pt idx="461">
                  <c:v>0.96154516879548457</c:v>
                </c:pt>
                <c:pt idx="462">
                  <c:v>0.96298506410745854</c:v>
                </c:pt>
                <c:pt idx="463">
                  <c:v>0.96500524109014674</c:v>
                </c:pt>
                <c:pt idx="464">
                  <c:v>0.96511389332001241</c:v>
                </c:pt>
                <c:pt idx="465">
                  <c:v>0.97353049468495756</c:v>
                </c:pt>
                <c:pt idx="466">
                  <c:v>0.97422887344854203</c:v>
                </c:pt>
                <c:pt idx="467">
                  <c:v>0.97429131779437228</c:v>
                </c:pt>
                <c:pt idx="468">
                  <c:v>0.97837171680537527</c:v>
                </c:pt>
                <c:pt idx="469">
                  <c:v>0.97868217518748524</c:v>
                </c:pt>
                <c:pt idx="470">
                  <c:v>0.98331662118123386</c:v>
                </c:pt>
                <c:pt idx="471">
                  <c:v>0.98729153765919431</c:v>
                </c:pt>
                <c:pt idx="472">
                  <c:v>0.99473003639477531</c:v>
                </c:pt>
                <c:pt idx="473">
                  <c:v>0.99630623958526232</c:v>
                </c:pt>
                <c:pt idx="474">
                  <c:v>0.9998863537806798</c:v>
                </c:pt>
                <c:pt idx="475">
                  <c:v>1.0015212264150943</c:v>
                </c:pt>
                <c:pt idx="476">
                  <c:v>1.0283189963780324</c:v>
                </c:pt>
                <c:pt idx="477">
                  <c:v>1.0284054019809596</c:v>
                </c:pt>
                <c:pt idx="478">
                  <c:v>1.031036531924332</c:v>
                </c:pt>
                <c:pt idx="479">
                  <c:v>1.0340037757001437</c:v>
                </c:pt>
                <c:pt idx="480">
                  <c:v>1.0341810844408146</c:v>
                </c:pt>
                <c:pt idx="481">
                  <c:v>1.0400890475304732</c:v>
                </c:pt>
                <c:pt idx="482">
                  <c:v>1.0468088162235087</c:v>
                </c:pt>
                <c:pt idx="483">
                  <c:v>1.0477895702306079</c:v>
                </c:pt>
                <c:pt idx="484">
                  <c:v>1.0513267796819643</c:v>
                </c:pt>
                <c:pt idx="485">
                  <c:v>1.0519484802721806</c:v>
                </c:pt>
                <c:pt idx="486">
                  <c:v>1.0537064930437459</c:v>
                </c:pt>
                <c:pt idx="487">
                  <c:v>1.0677421356035735</c:v>
                </c:pt>
                <c:pt idx="488">
                  <c:v>1.0718547197150761</c:v>
                </c:pt>
                <c:pt idx="489">
                  <c:v>1.0771089925762332</c:v>
                </c:pt>
                <c:pt idx="490">
                  <c:v>1.1005848190425289</c:v>
                </c:pt>
                <c:pt idx="491">
                  <c:v>1.1102789247097105</c:v>
                </c:pt>
                <c:pt idx="492">
                  <c:v>1.1195818643300026</c:v>
                </c:pt>
                <c:pt idx="493">
                  <c:v>1.124735887934349</c:v>
                </c:pt>
                <c:pt idx="494">
                  <c:v>1.1626312233393503</c:v>
                </c:pt>
                <c:pt idx="495">
                  <c:v>1.1690207256963003</c:v>
                </c:pt>
                <c:pt idx="496">
                  <c:v>1.2038502651811043</c:v>
                </c:pt>
                <c:pt idx="497">
                  <c:v>1.2063256076967412</c:v>
                </c:pt>
                <c:pt idx="498">
                  <c:v>1.2183604161037236</c:v>
                </c:pt>
                <c:pt idx="499">
                  <c:v>1.2397706411358724</c:v>
                </c:pt>
                <c:pt idx="500">
                  <c:v>1.2612349346715996</c:v>
                </c:pt>
                <c:pt idx="501">
                  <c:v>1.3018725437072187</c:v>
                </c:pt>
                <c:pt idx="502">
                  <c:v>1.3504487734753683</c:v>
                </c:pt>
                <c:pt idx="503">
                  <c:v>1.3542101938681308</c:v>
                </c:pt>
              </c:numCache>
            </c:numRef>
          </c:xVal>
          <c:yVal>
            <c:numRef>
              <c:f>Data!$C$2:$C$505</c:f>
              <c:numCache>
                <c:formatCode>General</c:formatCode>
                <c:ptCount val="504"/>
                <c:pt idx="0">
                  <c:v>2.3848377012760099E-2</c:v>
                </c:pt>
                <c:pt idx="1">
                  <c:v>1.9541676960182424E-2</c:v>
                </c:pt>
                <c:pt idx="2">
                  <c:v>0.11335712633422564</c:v>
                </c:pt>
                <c:pt idx="3">
                  <c:v>2.2363039318179526E-2</c:v>
                </c:pt>
                <c:pt idx="4">
                  <c:v>3.6251314550630492E-2</c:v>
                </c:pt>
                <c:pt idx="5">
                  <c:v>7.2696751804517915E-2</c:v>
                </c:pt>
                <c:pt idx="6">
                  <c:v>0.13893653516294965</c:v>
                </c:pt>
                <c:pt idx="7">
                  <c:v>0.3025342685387018</c:v>
                </c:pt>
                <c:pt idx="8">
                  <c:v>3.2382954236684407E-2</c:v>
                </c:pt>
                <c:pt idx="9">
                  <c:v>5.8632389956440323E-2</c:v>
                </c:pt>
                <c:pt idx="10">
                  <c:v>0.10271130049702273</c:v>
                </c:pt>
                <c:pt idx="11">
                  <c:v>1.5495129801914975E-2</c:v>
                </c:pt>
                <c:pt idx="12">
                  <c:v>4.3931535718020526E-2</c:v>
                </c:pt>
                <c:pt idx="13">
                  <c:v>2.4777357475399102E-2</c:v>
                </c:pt>
                <c:pt idx="14">
                  <c:v>6.4393838329438235E-2</c:v>
                </c:pt>
                <c:pt idx="15">
                  <c:v>1.6873005003569454E-2</c:v>
                </c:pt>
                <c:pt idx="16">
                  <c:v>1.8337115918714397E-2</c:v>
                </c:pt>
                <c:pt idx="17">
                  <c:v>2.0963032247466384E-2</c:v>
                </c:pt>
                <c:pt idx="18">
                  <c:v>0.30913315506633082</c:v>
                </c:pt>
                <c:pt idx="19">
                  <c:v>7.0602581472342232E-2</c:v>
                </c:pt>
                <c:pt idx="20">
                  <c:v>1.6834760652762001E-2</c:v>
                </c:pt>
                <c:pt idx="21">
                  <c:v>8.1499939770841329E-2</c:v>
                </c:pt>
                <c:pt idx="22">
                  <c:v>1.5741260377117809E-2</c:v>
                </c:pt>
                <c:pt idx="23">
                  <c:v>0.29022006900497765</c:v>
                </c:pt>
                <c:pt idx="24">
                  <c:v>3.3938057875510144E-2</c:v>
                </c:pt>
                <c:pt idx="25">
                  <c:v>1.8797448114633523E-2</c:v>
                </c:pt>
                <c:pt idx="26">
                  <c:v>3.3928877124701634E-2</c:v>
                </c:pt>
                <c:pt idx="27">
                  <c:v>1.9766655865988258E-2</c:v>
                </c:pt>
                <c:pt idx="28">
                  <c:v>2.6899427340543312E-2</c:v>
                </c:pt>
                <c:pt idx="29">
                  <c:v>0.11935725807814435</c:v>
                </c:pt>
                <c:pt idx="30">
                  <c:v>1.6913291281522493E-2</c:v>
                </c:pt>
                <c:pt idx="31">
                  <c:v>1.8428084928437755E-2</c:v>
                </c:pt>
                <c:pt idx="32">
                  <c:v>1.5466279076575501E-2</c:v>
                </c:pt>
                <c:pt idx="33">
                  <c:v>0.10946339799153375</c:v>
                </c:pt>
                <c:pt idx="34">
                  <c:v>9.0407561698688368E-2</c:v>
                </c:pt>
                <c:pt idx="35">
                  <c:v>2.5668323624646147E-2</c:v>
                </c:pt>
                <c:pt idx="36">
                  <c:v>2.1665884710692914E-2</c:v>
                </c:pt>
                <c:pt idx="37">
                  <c:v>1.5197469716364344E-2</c:v>
                </c:pt>
                <c:pt idx="38">
                  <c:v>1.6714122185737531E-2</c:v>
                </c:pt>
                <c:pt idx="39">
                  <c:v>1.6413828516183369E-2</c:v>
                </c:pt>
                <c:pt idx="40">
                  <c:v>0.1844669827396539</c:v>
                </c:pt>
                <c:pt idx="41">
                  <c:v>1.6894348500084349E-2</c:v>
                </c:pt>
                <c:pt idx="42">
                  <c:v>3.6207747912383056E-2</c:v>
                </c:pt>
                <c:pt idx="43">
                  <c:v>4.567151054965933E-2</c:v>
                </c:pt>
                <c:pt idx="44">
                  <c:v>1.7594122546759176E-2</c:v>
                </c:pt>
                <c:pt idx="45">
                  <c:v>6.1328980100564451E-2</c:v>
                </c:pt>
                <c:pt idx="46">
                  <c:v>3.2602732483631491E-2</c:v>
                </c:pt>
                <c:pt idx="47">
                  <c:v>2.7774158872137938E-2</c:v>
                </c:pt>
                <c:pt idx="48">
                  <c:v>0.11350337302333288</c:v>
                </c:pt>
                <c:pt idx="49">
                  <c:v>5.8734413465302643E-2</c:v>
                </c:pt>
                <c:pt idx="50">
                  <c:v>1.7948380128651777E-2</c:v>
                </c:pt>
                <c:pt idx="51">
                  <c:v>7.909486617541156E-2</c:v>
                </c:pt>
                <c:pt idx="52">
                  <c:v>6.6827678247639508E-2</c:v>
                </c:pt>
                <c:pt idx="53">
                  <c:v>4.9500256283758641E-2</c:v>
                </c:pt>
                <c:pt idx="54">
                  <c:v>0.12870872153031715</c:v>
                </c:pt>
                <c:pt idx="55">
                  <c:v>1.3425878499124445E-2</c:v>
                </c:pt>
                <c:pt idx="56">
                  <c:v>3.2731874424170443E-2</c:v>
                </c:pt>
                <c:pt idx="57">
                  <c:v>2.2253199211342618E-2</c:v>
                </c:pt>
                <c:pt idx="58">
                  <c:v>0.12827218702421228</c:v>
                </c:pt>
                <c:pt idx="59">
                  <c:v>0.12239411316699547</c:v>
                </c:pt>
                <c:pt idx="60">
                  <c:v>8.8158068491430777E-2</c:v>
                </c:pt>
                <c:pt idx="61">
                  <c:v>0.18755175000622593</c:v>
                </c:pt>
                <c:pt idx="62">
                  <c:v>4.8794563327163309E-2</c:v>
                </c:pt>
                <c:pt idx="63">
                  <c:v>1.9497545301060182E-2</c:v>
                </c:pt>
                <c:pt idx="64">
                  <c:v>2.8405267917218931E-2</c:v>
                </c:pt>
                <c:pt idx="65">
                  <c:v>2.1158950389464647E-2</c:v>
                </c:pt>
                <c:pt idx="66">
                  <c:v>5.7004626133902711E-2</c:v>
                </c:pt>
                <c:pt idx="67">
                  <c:v>1.7338148277062312E-2</c:v>
                </c:pt>
                <c:pt idx="68">
                  <c:v>2.3535915056739899E-2</c:v>
                </c:pt>
                <c:pt idx="69">
                  <c:v>0.118323814976123</c:v>
                </c:pt>
                <c:pt idx="70">
                  <c:v>2.1086924621099186E-2</c:v>
                </c:pt>
                <c:pt idx="71">
                  <c:v>3.046235235478267E-2</c:v>
                </c:pt>
                <c:pt idx="72">
                  <c:v>6.2681671455415547E-2</c:v>
                </c:pt>
                <c:pt idx="73">
                  <c:v>1.8154938463421869E-2</c:v>
                </c:pt>
                <c:pt idx="74">
                  <c:v>3.21986295383681E-2</c:v>
                </c:pt>
                <c:pt idx="75">
                  <c:v>0.20916558177955016</c:v>
                </c:pt>
                <c:pt idx="76">
                  <c:v>2.2728947919044243E-2</c:v>
                </c:pt>
                <c:pt idx="77">
                  <c:v>3.5041794776466448E-2</c:v>
                </c:pt>
                <c:pt idx="78">
                  <c:v>2.5406245821687042E-2</c:v>
                </c:pt>
                <c:pt idx="79">
                  <c:v>1.8555926783103849E-2</c:v>
                </c:pt>
                <c:pt idx="80">
                  <c:v>6.7965083473359889E-2</c:v>
                </c:pt>
                <c:pt idx="81">
                  <c:v>2.9170930884436331E-2</c:v>
                </c:pt>
                <c:pt idx="82">
                  <c:v>0.1237086490786551</c:v>
                </c:pt>
                <c:pt idx="83">
                  <c:v>1.8657639828853018E-2</c:v>
                </c:pt>
                <c:pt idx="84">
                  <c:v>1.4379868554051427E-2</c:v>
                </c:pt>
                <c:pt idx="85">
                  <c:v>2.1981371938563608E-2</c:v>
                </c:pt>
                <c:pt idx="86">
                  <c:v>2.7362777757955377E-2</c:v>
                </c:pt>
                <c:pt idx="87">
                  <c:v>2.5947014492635354E-2</c:v>
                </c:pt>
                <c:pt idx="88">
                  <c:v>1.6318449368984651E-2</c:v>
                </c:pt>
                <c:pt idx="89">
                  <c:v>1.7271781509637374E-2</c:v>
                </c:pt>
                <c:pt idx="90">
                  <c:v>8.4126589044335495E-2</c:v>
                </c:pt>
                <c:pt idx="91">
                  <c:v>1.72102552898881E-2</c:v>
                </c:pt>
                <c:pt idx="92">
                  <c:v>1.6633489955545484E-2</c:v>
                </c:pt>
                <c:pt idx="93">
                  <c:v>9.7509188407543704E-2</c:v>
                </c:pt>
                <c:pt idx="94">
                  <c:v>2.1058982587384558E-2</c:v>
                </c:pt>
                <c:pt idx="95">
                  <c:v>7.4679301450955235E-2</c:v>
                </c:pt>
                <c:pt idx="96">
                  <c:v>7.3533707961712255E-2</c:v>
                </c:pt>
                <c:pt idx="97">
                  <c:v>5.1600963077638215E-2</c:v>
                </c:pt>
                <c:pt idx="98">
                  <c:v>3.0350018174229498E-2</c:v>
                </c:pt>
                <c:pt idx="99">
                  <c:v>3.0405379149268684E-2</c:v>
                </c:pt>
                <c:pt idx="100">
                  <c:v>0.19287908594290198</c:v>
                </c:pt>
                <c:pt idx="101">
                  <c:v>4.9501404162638415E-2</c:v>
                </c:pt>
                <c:pt idx="102">
                  <c:v>3.6324588559255688E-2</c:v>
                </c:pt>
                <c:pt idx="103">
                  <c:v>0.14436909764764871</c:v>
                </c:pt>
                <c:pt idx="104">
                  <c:v>2.6161574894189819E-2</c:v>
                </c:pt>
                <c:pt idx="105">
                  <c:v>2.5604788774398476E-2</c:v>
                </c:pt>
                <c:pt idx="106">
                  <c:v>3.6997805468406711E-2</c:v>
                </c:pt>
                <c:pt idx="107">
                  <c:v>1.9101335732765169E-2</c:v>
                </c:pt>
                <c:pt idx="108">
                  <c:v>2.1584183219854176E-2</c:v>
                </c:pt>
                <c:pt idx="109">
                  <c:v>3.5706835447034041E-2</c:v>
                </c:pt>
                <c:pt idx="110">
                  <c:v>1.6179653106543027E-2</c:v>
                </c:pt>
                <c:pt idx="111">
                  <c:v>8.8134149448823904E-2</c:v>
                </c:pt>
                <c:pt idx="112">
                  <c:v>1.4404782313091707E-2</c:v>
                </c:pt>
                <c:pt idx="113">
                  <c:v>1.7755054937822552E-2</c:v>
                </c:pt>
                <c:pt idx="114">
                  <c:v>2.0522702866878895E-2</c:v>
                </c:pt>
                <c:pt idx="115">
                  <c:v>3.0685224765700382E-2</c:v>
                </c:pt>
                <c:pt idx="116">
                  <c:v>1.6665368075433278E-2</c:v>
                </c:pt>
                <c:pt idx="117">
                  <c:v>8.4243676931804456E-2</c:v>
                </c:pt>
                <c:pt idx="118">
                  <c:v>1.4456967223692998E-2</c:v>
                </c:pt>
                <c:pt idx="119">
                  <c:v>9.445756165467914E-2</c:v>
                </c:pt>
                <c:pt idx="120">
                  <c:v>9.4496016113266523E-2</c:v>
                </c:pt>
                <c:pt idx="121">
                  <c:v>2.6513434632879453E-2</c:v>
                </c:pt>
                <c:pt idx="122">
                  <c:v>0.12800661299807761</c:v>
                </c:pt>
                <c:pt idx="123">
                  <c:v>7.3838193693588391E-2</c:v>
                </c:pt>
                <c:pt idx="124">
                  <c:v>1.5504479364748826E-2</c:v>
                </c:pt>
                <c:pt idx="125">
                  <c:v>2.4345113157592083E-2</c:v>
                </c:pt>
                <c:pt idx="126">
                  <c:v>3.4615771047820688E-2</c:v>
                </c:pt>
                <c:pt idx="127">
                  <c:v>1.254078755110781E-2</c:v>
                </c:pt>
                <c:pt idx="128">
                  <c:v>8.2514844677636215E-2</c:v>
                </c:pt>
                <c:pt idx="129">
                  <c:v>4.4788817023749601E-2</c:v>
                </c:pt>
                <c:pt idx="130">
                  <c:v>0.17425849050505729</c:v>
                </c:pt>
                <c:pt idx="131">
                  <c:v>3.1668778734839767E-2</c:v>
                </c:pt>
                <c:pt idx="132">
                  <c:v>3.5497169513694957E-2</c:v>
                </c:pt>
                <c:pt idx="133">
                  <c:v>1.8916672689166695E-2</c:v>
                </c:pt>
                <c:pt idx="134">
                  <c:v>1.592029984097755E-2</c:v>
                </c:pt>
                <c:pt idx="135">
                  <c:v>0.1266291259385183</c:v>
                </c:pt>
                <c:pt idx="136">
                  <c:v>8.0342683792537298E-2</c:v>
                </c:pt>
                <c:pt idx="137">
                  <c:v>2.2359437987128791E-2</c:v>
                </c:pt>
                <c:pt idx="138">
                  <c:v>4.7770402071974832E-2</c:v>
                </c:pt>
                <c:pt idx="139">
                  <c:v>3.0878586776401637E-2</c:v>
                </c:pt>
                <c:pt idx="140">
                  <c:v>1.2844988759465121E-2</c:v>
                </c:pt>
                <c:pt idx="141">
                  <c:v>1.7423311132448532E-2</c:v>
                </c:pt>
                <c:pt idx="142">
                  <c:v>3.2322023056779052E-2</c:v>
                </c:pt>
                <c:pt idx="143">
                  <c:v>7.4071346244294775E-2</c:v>
                </c:pt>
                <c:pt idx="144">
                  <c:v>5.9353967822408399E-2</c:v>
                </c:pt>
                <c:pt idx="145">
                  <c:v>0.13414585064337464</c:v>
                </c:pt>
                <c:pt idx="146">
                  <c:v>3.9175806376972704E-2</c:v>
                </c:pt>
                <c:pt idx="147">
                  <c:v>2.6492174059671282E-2</c:v>
                </c:pt>
                <c:pt idx="148">
                  <c:v>2.885765034546962E-2</c:v>
                </c:pt>
                <c:pt idx="149">
                  <c:v>1.9224634788531654E-2</c:v>
                </c:pt>
                <c:pt idx="150">
                  <c:v>2.8726925188750047E-2</c:v>
                </c:pt>
                <c:pt idx="151">
                  <c:v>1.9756407013876758E-2</c:v>
                </c:pt>
                <c:pt idx="152">
                  <c:v>1.4694483109262397E-2</c:v>
                </c:pt>
                <c:pt idx="153">
                  <c:v>2.4187673443582219E-2</c:v>
                </c:pt>
                <c:pt idx="154">
                  <c:v>1.4398587283334376E-2</c:v>
                </c:pt>
                <c:pt idx="155">
                  <c:v>8.861365472770133E-2</c:v>
                </c:pt>
                <c:pt idx="156">
                  <c:v>9.8862365101372446E-2</c:v>
                </c:pt>
                <c:pt idx="157">
                  <c:v>2.9735264745267321E-2</c:v>
                </c:pt>
                <c:pt idx="158">
                  <c:v>1.482363301316012E-2</c:v>
                </c:pt>
                <c:pt idx="159">
                  <c:v>0.13077860875303748</c:v>
                </c:pt>
                <c:pt idx="160">
                  <c:v>0.12808594153496528</c:v>
                </c:pt>
                <c:pt idx="161">
                  <c:v>1.8892454684406857E-2</c:v>
                </c:pt>
                <c:pt idx="162">
                  <c:v>1.2302817710850657E-2</c:v>
                </c:pt>
                <c:pt idx="163">
                  <c:v>2.6481815847842625E-2</c:v>
                </c:pt>
                <c:pt idx="164">
                  <c:v>1.6843084263383545E-2</c:v>
                </c:pt>
                <c:pt idx="165">
                  <c:v>3.493959265139799E-2</c:v>
                </c:pt>
                <c:pt idx="166">
                  <c:v>3.20892468365825E-2</c:v>
                </c:pt>
                <c:pt idx="167">
                  <c:v>2.0389081367873121E-2</c:v>
                </c:pt>
                <c:pt idx="168">
                  <c:v>4.0817146876839246E-2</c:v>
                </c:pt>
                <c:pt idx="169">
                  <c:v>1.7077209117317055E-2</c:v>
                </c:pt>
                <c:pt idx="170">
                  <c:v>1.4243107919922756E-2</c:v>
                </c:pt>
                <c:pt idx="171">
                  <c:v>3.5213281334960857E-2</c:v>
                </c:pt>
                <c:pt idx="172">
                  <c:v>5.3488245999754623E-2</c:v>
                </c:pt>
                <c:pt idx="173">
                  <c:v>2.4432098988354533E-2</c:v>
                </c:pt>
                <c:pt idx="174">
                  <c:v>3.4028170322820211E-2</c:v>
                </c:pt>
                <c:pt idx="175">
                  <c:v>2.2236074946918125E-2</c:v>
                </c:pt>
                <c:pt idx="176">
                  <c:v>1.9432056999333095E-2</c:v>
                </c:pt>
                <c:pt idx="177">
                  <c:v>0.12479557388558855</c:v>
                </c:pt>
                <c:pt idx="178">
                  <c:v>2.7064655763846732E-2</c:v>
                </c:pt>
                <c:pt idx="179">
                  <c:v>0.12749227274584113</c:v>
                </c:pt>
                <c:pt idx="180">
                  <c:v>2.3023721361131545E-2</c:v>
                </c:pt>
                <c:pt idx="181">
                  <c:v>3.1722633599996344E-2</c:v>
                </c:pt>
                <c:pt idx="182">
                  <c:v>6.4509278529469805E-2</c:v>
                </c:pt>
                <c:pt idx="183">
                  <c:v>2.8337334636985959E-2</c:v>
                </c:pt>
                <c:pt idx="184">
                  <c:v>3.7719298245614249E-2</c:v>
                </c:pt>
                <c:pt idx="185">
                  <c:v>3.4355517825398682E-2</c:v>
                </c:pt>
                <c:pt idx="186">
                  <c:v>3.0961087276040019E-2</c:v>
                </c:pt>
                <c:pt idx="187">
                  <c:v>6.6439532581303098E-2</c:v>
                </c:pt>
                <c:pt idx="188">
                  <c:v>3.3725972754913611E-2</c:v>
                </c:pt>
                <c:pt idx="189">
                  <c:v>1.2839027157912963E-2</c:v>
                </c:pt>
                <c:pt idx="190">
                  <c:v>2.7823548305388031E-2</c:v>
                </c:pt>
                <c:pt idx="191">
                  <c:v>2.6454709514491657E-2</c:v>
                </c:pt>
                <c:pt idx="192">
                  <c:v>3.4694611785296148E-2</c:v>
                </c:pt>
                <c:pt idx="193">
                  <c:v>1.9564054731901728E-2</c:v>
                </c:pt>
                <c:pt idx="194">
                  <c:v>3.7058550053172934E-2</c:v>
                </c:pt>
                <c:pt idx="195">
                  <c:v>5.1250860562262829E-2</c:v>
                </c:pt>
                <c:pt idx="196">
                  <c:v>7.9574040262150023E-2</c:v>
                </c:pt>
                <c:pt idx="197">
                  <c:v>2.6578698452773598E-2</c:v>
                </c:pt>
                <c:pt idx="198">
                  <c:v>2.5888068751300501E-2</c:v>
                </c:pt>
                <c:pt idx="199">
                  <c:v>2.1716233359142495E-2</c:v>
                </c:pt>
                <c:pt idx="200">
                  <c:v>3.5010267929152683E-2</c:v>
                </c:pt>
                <c:pt idx="201">
                  <c:v>0.12625972095527083</c:v>
                </c:pt>
                <c:pt idx="202">
                  <c:v>3.2842960287189714E-2</c:v>
                </c:pt>
                <c:pt idx="203">
                  <c:v>9.9609609250013928E-3</c:v>
                </c:pt>
                <c:pt idx="204">
                  <c:v>2.5666241646546312E-2</c:v>
                </c:pt>
                <c:pt idx="205">
                  <c:v>2.5432393667596941E-2</c:v>
                </c:pt>
                <c:pt idx="206">
                  <c:v>5.9716470515998335E-2</c:v>
                </c:pt>
                <c:pt idx="207">
                  <c:v>1.9085018871988393E-2</c:v>
                </c:pt>
                <c:pt idx="208">
                  <c:v>1.8238226829268601E-2</c:v>
                </c:pt>
                <c:pt idx="209">
                  <c:v>2.5665177137183293E-2</c:v>
                </c:pt>
                <c:pt idx="210">
                  <c:v>4.0056621983287501E-2</c:v>
                </c:pt>
                <c:pt idx="211">
                  <c:v>4.5877059789216537E-2</c:v>
                </c:pt>
                <c:pt idx="212">
                  <c:v>1.9679202717108133E-2</c:v>
                </c:pt>
                <c:pt idx="213">
                  <c:v>2.351856235451931E-2</c:v>
                </c:pt>
                <c:pt idx="214">
                  <c:v>1.39236273271875E-2</c:v>
                </c:pt>
                <c:pt idx="215">
                  <c:v>2.8843851441986489E-2</c:v>
                </c:pt>
                <c:pt idx="216">
                  <c:v>1.5089733107690321E-2</c:v>
                </c:pt>
                <c:pt idx="217">
                  <c:v>3.6270349110342791E-2</c:v>
                </c:pt>
                <c:pt idx="218">
                  <c:v>1.0419271726930296E-2</c:v>
                </c:pt>
                <c:pt idx="219">
                  <c:v>2.9535966313227555E-2</c:v>
                </c:pt>
                <c:pt idx="220">
                  <c:v>3.0070029423486539E-2</c:v>
                </c:pt>
                <c:pt idx="221">
                  <c:v>3.5548921115281171E-2</c:v>
                </c:pt>
                <c:pt idx="222">
                  <c:v>9.0441195072357719E-2</c:v>
                </c:pt>
                <c:pt idx="223">
                  <c:v>2.4345761084603703E-2</c:v>
                </c:pt>
                <c:pt idx="224">
                  <c:v>2.64159585864648E-2</c:v>
                </c:pt>
                <c:pt idx="225">
                  <c:v>1.5116270470424057E-2</c:v>
                </c:pt>
                <c:pt idx="226">
                  <c:v>1.4240381870702866E-2</c:v>
                </c:pt>
                <c:pt idx="227">
                  <c:v>6.3653563655784826E-2</c:v>
                </c:pt>
                <c:pt idx="228">
                  <c:v>4.6622383757362988E-2</c:v>
                </c:pt>
                <c:pt idx="229">
                  <c:v>3.6407229618007964E-2</c:v>
                </c:pt>
                <c:pt idx="230">
                  <c:v>1.4211460265338604E-2</c:v>
                </c:pt>
                <c:pt idx="231">
                  <c:v>1.4386985759125641E-2</c:v>
                </c:pt>
                <c:pt idx="232">
                  <c:v>5.2474073705574532E-2</c:v>
                </c:pt>
                <c:pt idx="233">
                  <c:v>3.9806091959880788E-2</c:v>
                </c:pt>
                <c:pt idx="234">
                  <c:v>2.6365969930326912E-2</c:v>
                </c:pt>
                <c:pt idx="235">
                  <c:v>3.113363195950156E-2</c:v>
                </c:pt>
                <c:pt idx="236">
                  <c:v>0.14466549248507116</c:v>
                </c:pt>
                <c:pt idx="237">
                  <c:v>2.7576110566258673E-2</c:v>
                </c:pt>
                <c:pt idx="238">
                  <c:v>2.7514220979991569E-2</c:v>
                </c:pt>
                <c:pt idx="239">
                  <c:v>3.0074549670055798E-2</c:v>
                </c:pt>
                <c:pt idx="240">
                  <c:v>1.6936749860785638E-2</c:v>
                </c:pt>
                <c:pt idx="241">
                  <c:v>6.4835835082772436E-2</c:v>
                </c:pt>
                <c:pt idx="242">
                  <c:v>3.0899264978546809E-2</c:v>
                </c:pt>
                <c:pt idx="243">
                  <c:v>3.6384201654713608E-2</c:v>
                </c:pt>
                <c:pt idx="244">
                  <c:v>2.9174408615651914E-2</c:v>
                </c:pt>
                <c:pt idx="245">
                  <c:v>0.13931398142742901</c:v>
                </c:pt>
                <c:pt idx="246">
                  <c:v>3.3340398304862476E-2</c:v>
                </c:pt>
                <c:pt idx="247">
                  <c:v>2.6057730429991884E-2</c:v>
                </c:pt>
                <c:pt idx="248">
                  <c:v>1.2420490664065401E-2</c:v>
                </c:pt>
                <c:pt idx="249">
                  <c:v>0.13143400430405114</c:v>
                </c:pt>
                <c:pt idx="250">
                  <c:v>3.2745660368492878E-2</c:v>
                </c:pt>
                <c:pt idx="251">
                  <c:v>0.11075001129893002</c:v>
                </c:pt>
                <c:pt idx="252">
                  <c:v>5.2864609042417979E-2</c:v>
                </c:pt>
                <c:pt idx="253">
                  <c:v>7.0156530372339709E-2</c:v>
                </c:pt>
                <c:pt idx="254">
                  <c:v>0.11582962702663623</c:v>
                </c:pt>
                <c:pt idx="255">
                  <c:v>6.8127718093164105E-2</c:v>
                </c:pt>
                <c:pt idx="256">
                  <c:v>2.4370525644797421E-2</c:v>
                </c:pt>
                <c:pt idx="257">
                  <c:v>5.144107643015268E-2</c:v>
                </c:pt>
                <c:pt idx="258">
                  <c:v>6.4038513615362322E-2</c:v>
                </c:pt>
                <c:pt idx="259">
                  <c:v>0.11919979924479449</c:v>
                </c:pt>
                <c:pt idx="260">
                  <c:v>2.7018502104144901E-2</c:v>
                </c:pt>
                <c:pt idx="261">
                  <c:v>2.9625422414486225E-2</c:v>
                </c:pt>
                <c:pt idx="262">
                  <c:v>4.390587800198803E-2</c:v>
                </c:pt>
                <c:pt idx="263">
                  <c:v>3.6268881454952287E-2</c:v>
                </c:pt>
                <c:pt idx="264">
                  <c:v>3.5717614606799848E-2</c:v>
                </c:pt>
                <c:pt idx="265">
                  <c:v>0.13928460766665632</c:v>
                </c:pt>
                <c:pt idx="266">
                  <c:v>2.8519042554400041E-2</c:v>
                </c:pt>
                <c:pt idx="267">
                  <c:v>2.9177189430465461E-2</c:v>
                </c:pt>
                <c:pt idx="268">
                  <c:v>1.0703585330451449E-2</c:v>
                </c:pt>
                <c:pt idx="269">
                  <c:v>1.5737324254715041E-2</c:v>
                </c:pt>
                <c:pt idx="270">
                  <c:v>3.2128151622921514E-2</c:v>
                </c:pt>
                <c:pt idx="271">
                  <c:v>2.7582641486482193E-2</c:v>
                </c:pt>
                <c:pt idx="272">
                  <c:v>2.5064856641906993E-2</c:v>
                </c:pt>
                <c:pt idx="273">
                  <c:v>6.6431878229907926E-2</c:v>
                </c:pt>
                <c:pt idx="274">
                  <c:v>3.2535438286026369E-2</c:v>
                </c:pt>
                <c:pt idx="275">
                  <c:v>2.5990102697440134E-2</c:v>
                </c:pt>
                <c:pt idx="276">
                  <c:v>3.5769034474023437E-2</c:v>
                </c:pt>
                <c:pt idx="277">
                  <c:v>3.6821239997633419E-2</c:v>
                </c:pt>
                <c:pt idx="278">
                  <c:v>5.7191541747047769E-2</c:v>
                </c:pt>
                <c:pt idx="279">
                  <c:v>3.3439287537181339E-2</c:v>
                </c:pt>
                <c:pt idx="280">
                  <c:v>2.259661691704154E-2</c:v>
                </c:pt>
                <c:pt idx="281">
                  <c:v>3.7672292972328242E-2</c:v>
                </c:pt>
                <c:pt idx="282">
                  <c:v>2.9806582810661186E-2</c:v>
                </c:pt>
                <c:pt idx="283">
                  <c:v>2.3345820698658093E-2</c:v>
                </c:pt>
                <c:pt idx="284">
                  <c:v>5.4451327327924501E-2</c:v>
                </c:pt>
                <c:pt idx="285">
                  <c:v>8.7768656363550662E-2</c:v>
                </c:pt>
                <c:pt idx="286">
                  <c:v>5.9241047465684891E-2</c:v>
                </c:pt>
                <c:pt idx="287">
                  <c:v>1.3943537424034194E-2</c:v>
                </c:pt>
                <c:pt idx="288">
                  <c:v>1.4803729350909327E-2</c:v>
                </c:pt>
                <c:pt idx="289">
                  <c:v>5.8321611911950594E-2</c:v>
                </c:pt>
                <c:pt idx="290">
                  <c:v>0.14335029861940932</c:v>
                </c:pt>
                <c:pt idx="291">
                  <c:v>4.1673729711404053E-2</c:v>
                </c:pt>
                <c:pt idx="292">
                  <c:v>2.454503316849373E-2</c:v>
                </c:pt>
                <c:pt idx="293">
                  <c:v>3.0735826746161689E-2</c:v>
                </c:pt>
                <c:pt idx="294">
                  <c:v>1.4510579970305691E-2</c:v>
                </c:pt>
                <c:pt idx="295">
                  <c:v>3.4321581196581213E-2</c:v>
                </c:pt>
                <c:pt idx="296">
                  <c:v>8.530510988437226E-2</c:v>
                </c:pt>
                <c:pt idx="297">
                  <c:v>1.6570701783776547E-2</c:v>
                </c:pt>
                <c:pt idx="298">
                  <c:v>2.8798046259795627E-2</c:v>
                </c:pt>
                <c:pt idx="299">
                  <c:v>1.687090098406531E-2</c:v>
                </c:pt>
                <c:pt idx="300">
                  <c:v>0.23111906157651987</c:v>
                </c:pt>
                <c:pt idx="301">
                  <c:v>1.5006663154811081E-2</c:v>
                </c:pt>
                <c:pt idx="302">
                  <c:v>5.4661243403241681E-2</c:v>
                </c:pt>
                <c:pt idx="303">
                  <c:v>1.5584941317233904E-2</c:v>
                </c:pt>
                <c:pt idx="304">
                  <c:v>0.13309940897085082</c:v>
                </c:pt>
                <c:pt idx="305">
                  <c:v>1.8400784740712901E-2</c:v>
                </c:pt>
                <c:pt idx="306">
                  <c:v>4.6873357029072471E-2</c:v>
                </c:pt>
                <c:pt idx="307">
                  <c:v>2.3422972374191064E-2</c:v>
                </c:pt>
                <c:pt idx="308">
                  <c:v>1.1235688841365176E-2</c:v>
                </c:pt>
                <c:pt idx="309">
                  <c:v>2.2114464886922664E-2</c:v>
                </c:pt>
                <c:pt idx="310">
                  <c:v>2.3957584388768771E-2</c:v>
                </c:pt>
                <c:pt idx="311">
                  <c:v>1.7931480379787038E-2</c:v>
                </c:pt>
                <c:pt idx="312">
                  <c:v>2.1174682236884627E-2</c:v>
                </c:pt>
                <c:pt idx="313">
                  <c:v>3.6861586234109865E-2</c:v>
                </c:pt>
                <c:pt idx="314">
                  <c:v>2.2509182475192378E-2</c:v>
                </c:pt>
                <c:pt idx="315">
                  <c:v>4.18171252487686E-2</c:v>
                </c:pt>
                <c:pt idx="316">
                  <c:v>1.7612664350135535E-2</c:v>
                </c:pt>
                <c:pt idx="317">
                  <c:v>2.16447550353281E-2</c:v>
                </c:pt>
                <c:pt idx="318">
                  <c:v>1.6716468524624661E-2</c:v>
                </c:pt>
                <c:pt idx="319">
                  <c:v>3.6829928709329357E-2</c:v>
                </c:pt>
                <c:pt idx="320">
                  <c:v>3.4368294681872157E-2</c:v>
                </c:pt>
                <c:pt idx="321">
                  <c:v>5.5329533762213175E-2</c:v>
                </c:pt>
                <c:pt idx="322">
                  <c:v>1.8488544777873015E-2</c:v>
                </c:pt>
                <c:pt idx="323">
                  <c:v>2.8920380717085133E-2</c:v>
                </c:pt>
                <c:pt idx="324">
                  <c:v>1.8614229035576243E-2</c:v>
                </c:pt>
                <c:pt idx="325">
                  <c:v>2.7171136631622399E-2</c:v>
                </c:pt>
                <c:pt idx="326">
                  <c:v>2.3057241420906375E-2</c:v>
                </c:pt>
                <c:pt idx="327">
                  <c:v>1.9134538699449321E-2</c:v>
                </c:pt>
                <c:pt idx="328">
                  <c:v>1.550215985786396E-2</c:v>
                </c:pt>
                <c:pt idx="329">
                  <c:v>4.5948702411092168E-2</c:v>
                </c:pt>
                <c:pt idx="330">
                  <c:v>5.0174915134651284E-2</c:v>
                </c:pt>
                <c:pt idx="331">
                  <c:v>3.5564446009912452E-2</c:v>
                </c:pt>
                <c:pt idx="332">
                  <c:v>2.5136552547761072E-2</c:v>
                </c:pt>
                <c:pt idx="333">
                  <c:v>1.436351205674702E-2</c:v>
                </c:pt>
                <c:pt idx="334">
                  <c:v>2.7635453304299475E-2</c:v>
                </c:pt>
                <c:pt idx="335">
                  <c:v>8.2300002258647587E-2</c:v>
                </c:pt>
                <c:pt idx="336">
                  <c:v>2.053408761711864E-2</c:v>
                </c:pt>
                <c:pt idx="337">
                  <c:v>4.1660768693116419E-2</c:v>
                </c:pt>
                <c:pt idx="338">
                  <c:v>1.6921258410620203E-2</c:v>
                </c:pt>
                <c:pt idx="339">
                  <c:v>4.7722622085931823E-2</c:v>
                </c:pt>
                <c:pt idx="340">
                  <c:v>0.72086951986152092</c:v>
                </c:pt>
                <c:pt idx="341">
                  <c:v>1.7933899549305611E-2</c:v>
                </c:pt>
                <c:pt idx="342">
                  <c:v>4.5792656955447278E-2</c:v>
                </c:pt>
                <c:pt idx="343">
                  <c:v>3.3379983510182024E-2</c:v>
                </c:pt>
                <c:pt idx="344">
                  <c:v>2.5242216626050515E-2</c:v>
                </c:pt>
                <c:pt idx="345">
                  <c:v>2.4964726678822324E-2</c:v>
                </c:pt>
                <c:pt idx="346">
                  <c:v>8.0099349508615178E-2</c:v>
                </c:pt>
                <c:pt idx="347">
                  <c:v>2.456983776069992E-2</c:v>
                </c:pt>
                <c:pt idx="348">
                  <c:v>3.2641605032098356E-2</c:v>
                </c:pt>
                <c:pt idx="349">
                  <c:v>0.77117282576303414</c:v>
                </c:pt>
                <c:pt idx="350">
                  <c:v>3.0169242089771627E-2</c:v>
                </c:pt>
                <c:pt idx="351">
                  <c:v>0.2669145493974534</c:v>
                </c:pt>
                <c:pt idx="352">
                  <c:v>1.8127422498347381E-2</c:v>
                </c:pt>
                <c:pt idx="353">
                  <c:v>6.3362024551599866E-2</c:v>
                </c:pt>
                <c:pt idx="354">
                  <c:v>2.4772561758007652E-2</c:v>
                </c:pt>
                <c:pt idx="355">
                  <c:v>3.3004137161781182E-2</c:v>
                </c:pt>
                <c:pt idx="356">
                  <c:v>3.8568980015871175E-2</c:v>
                </c:pt>
                <c:pt idx="357">
                  <c:v>2.0274630152870628E-2</c:v>
                </c:pt>
                <c:pt idx="358">
                  <c:v>1.890708599435895E-2</c:v>
                </c:pt>
                <c:pt idx="359">
                  <c:v>3.2319479792663773E-2</c:v>
                </c:pt>
                <c:pt idx="360">
                  <c:v>8.7221839888994679E-2</c:v>
                </c:pt>
                <c:pt idx="361">
                  <c:v>2.0476113447643402E-2</c:v>
                </c:pt>
                <c:pt idx="362">
                  <c:v>2.738044915935979E-2</c:v>
                </c:pt>
                <c:pt idx="363">
                  <c:v>2.1430285941388301E-2</c:v>
                </c:pt>
                <c:pt idx="364">
                  <c:v>2.8743095457487978E-2</c:v>
                </c:pt>
                <c:pt idx="365">
                  <c:v>0.14337135220750277</c:v>
                </c:pt>
                <c:pt idx="366">
                  <c:v>3.1017154340251103E-2</c:v>
                </c:pt>
                <c:pt idx="367">
                  <c:v>3.2578623294543092E-2</c:v>
                </c:pt>
                <c:pt idx="368">
                  <c:v>0.24411744001233829</c:v>
                </c:pt>
                <c:pt idx="369">
                  <c:v>2.6240975447952664E-2</c:v>
                </c:pt>
                <c:pt idx="370">
                  <c:v>0.55963265111634575</c:v>
                </c:pt>
                <c:pt idx="371">
                  <c:v>2.729174878761223E-2</c:v>
                </c:pt>
                <c:pt idx="372">
                  <c:v>3.5334195703217823E-2</c:v>
                </c:pt>
                <c:pt idx="373">
                  <c:v>0.3494371560595631</c:v>
                </c:pt>
                <c:pt idx="374">
                  <c:v>3.1756295672639816E-2</c:v>
                </c:pt>
                <c:pt idx="375">
                  <c:v>2.6980439202464613E-2</c:v>
                </c:pt>
                <c:pt idx="376">
                  <c:v>0.45125116562037637</c:v>
                </c:pt>
                <c:pt idx="377">
                  <c:v>3.5712164192926124E-2</c:v>
                </c:pt>
                <c:pt idx="378">
                  <c:v>0.112558671512292</c:v>
                </c:pt>
                <c:pt idx="379">
                  <c:v>2.10379478363905E-2</c:v>
                </c:pt>
                <c:pt idx="380">
                  <c:v>8.6836517652534001E-2</c:v>
                </c:pt>
                <c:pt idx="381">
                  <c:v>5.1989703888892874E-2</c:v>
                </c:pt>
                <c:pt idx="382">
                  <c:v>3.0595567773760761E-2</c:v>
                </c:pt>
                <c:pt idx="383">
                  <c:v>3.8570393360587943E-2</c:v>
                </c:pt>
                <c:pt idx="384">
                  <c:v>1.8789104853813011E-2</c:v>
                </c:pt>
                <c:pt idx="385">
                  <c:v>0.1815721349035877</c:v>
                </c:pt>
                <c:pt idx="386">
                  <c:v>4.6483180428134575E-2</c:v>
                </c:pt>
                <c:pt idx="387">
                  <c:v>0.10001325650203167</c:v>
                </c:pt>
                <c:pt idx="388">
                  <c:v>0.38909960647806041</c:v>
                </c:pt>
                <c:pt idx="389">
                  <c:v>3.0567690404111468E-2</c:v>
                </c:pt>
                <c:pt idx="390">
                  <c:v>9.4740086837137041E-2</c:v>
                </c:pt>
                <c:pt idx="391">
                  <c:v>4.0119849386500296E-2</c:v>
                </c:pt>
                <c:pt idx="392">
                  <c:v>0.10515204530927316</c:v>
                </c:pt>
                <c:pt idx="393">
                  <c:v>4.3075272221929632E-2</c:v>
                </c:pt>
                <c:pt idx="394">
                  <c:v>7.3535457980969443E-2</c:v>
                </c:pt>
                <c:pt idx="395">
                  <c:v>7.3755733932470785E-2</c:v>
                </c:pt>
                <c:pt idx="396">
                  <c:v>4.4084780481563252E-2</c:v>
                </c:pt>
                <c:pt idx="397">
                  <c:v>1.0064228661926118</c:v>
                </c:pt>
                <c:pt idx="398">
                  <c:v>0.7209149723345164</c:v>
                </c:pt>
                <c:pt idx="399">
                  <c:v>1.8688485047842075E-2</c:v>
                </c:pt>
                <c:pt idx="400">
                  <c:v>7.3188266170722382E-2</c:v>
                </c:pt>
                <c:pt idx="401">
                  <c:v>4.0690161548383549E-2</c:v>
                </c:pt>
                <c:pt idx="402">
                  <c:v>5.9099843719927297E-2</c:v>
                </c:pt>
                <c:pt idx="403">
                  <c:v>3.2905844445593829E-2</c:v>
                </c:pt>
                <c:pt idx="404">
                  <c:v>0.86310966155355251</c:v>
                </c:pt>
                <c:pt idx="405">
                  <c:v>8.9071592308919201E-2</c:v>
                </c:pt>
                <c:pt idx="406">
                  <c:v>2.2320481895775769E-2</c:v>
                </c:pt>
                <c:pt idx="407">
                  <c:v>2.0405669619906659E-2</c:v>
                </c:pt>
                <c:pt idx="408">
                  <c:v>7.345454427651861E-2</c:v>
                </c:pt>
                <c:pt idx="409">
                  <c:v>0.59752461282183467</c:v>
                </c:pt>
                <c:pt idx="410">
                  <c:v>8.288733365914798E-2</c:v>
                </c:pt>
                <c:pt idx="411">
                  <c:v>3.0417370785446218E-2</c:v>
                </c:pt>
                <c:pt idx="412">
                  <c:v>0.21585018487053131</c:v>
                </c:pt>
                <c:pt idx="413">
                  <c:v>2.3500377862843695E-2</c:v>
                </c:pt>
                <c:pt idx="414">
                  <c:v>8.9211689518890414E-2</c:v>
                </c:pt>
                <c:pt idx="415">
                  <c:v>4.239300974245467E-2</c:v>
                </c:pt>
                <c:pt idx="416">
                  <c:v>0.770360050084686</c:v>
                </c:pt>
                <c:pt idx="417">
                  <c:v>0.54650410855046794</c:v>
                </c:pt>
                <c:pt idx="418">
                  <c:v>1.3222917044287359</c:v>
                </c:pt>
                <c:pt idx="419">
                  <c:v>5.5204806909198108E-2</c:v>
                </c:pt>
                <c:pt idx="420">
                  <c:v>0.15748902609708393</c:v>
                </c:pt>
                <c:pt idx="421">
                  <c:v>1.7822537600687499E-2</c:v>
                </c:pt>
                <c:pt idx="422">
                  <c:v>0.28040646152732435</c:v>
                </c:pt>
                <c:pt idx="423">
                  <c:v>2.8644901332585126E-2</c:v>
                </c:pt>
                <c:pt idx="424">
                  <c:v>0.12269714735046029</c:v>
                </c:pt>
                <c:pt idx="425">
                  <c:v>6.8539246276252908E-2</c:v>
                </c:pt>
                <c:pt idx="426">
                  <c:v>4.0608171412565293E-2</c:v>
                </c:pt>
                <c:pt idx="427">
                  <c:v>0.45957989763404383</c:v>
                </c:pt>
                <c:pt idx="428">
                  <c:v>6.6585309093267556E-2</c:v>
                </c:pt>
                <c:pt idx="429">
                  <c:v>0.67048122289915413</c:v>
                </c:pt>
                <c:pt idx="430">
                  <c:v>0.11456603646998383</c:v>
                </c:pt>
                <c:pt idx="431">
                  <c:v>5.3588180112570258E-2</c:v>
                </c:pt>
                <c:pt idx="432">
                  <c:v>2.4072340358606052E-2</c:v>
                </c:pt>
                <c:pt idx="433">
                  <c:v>1.1613671418732199</c:v>
                </c:pt>
                <c:pt idx="434">
                  <c:v>7.3053996930405138E-2</c:v>
                </c:pt>
                <c:pt idx="435">
                  <c:v>0.36281171369732101</c:v>
                </c:pt>
                <c:pt idx="436">
                  <c:v>1.8499131658785699</c:v>
                </c:pt>
                <c:pt idx="437">
                  <c:v>0.11787727459496107</c:v>
                </c:pt>
                <c:pt idx="438">
                  <c:v>0.35387047257620707</c:v>
                </c:pt>
                <c:pt idx="439">
                  <c:v>0.81781312979421428</c:v>
                </c:pt>
                <c:pt idx="440">
                  <c:v>0.20282406888448828</c:v>
                </c:pt>
                <c:pt idx="441">
                  <c:v>8.4985093062831016E-2</c:v>
                </c:pt>
                <c:pt idx="442">
                  <c:v>8.2967796483855077E-2</c:v>
                </c:pt>
                <c:pt idx="443">
                  <c:v>0.39083368907452298</c:v>
                </c:pt>
                <c:pt idx="444">
                  <c:v>3.3719125636587043E-2</c:v>
                </c:pt>
                <c:pt idx="445">
                  <c:v>0.97377665590568241</c:v>
                </c:pt>
                <c:pt idx="446">
                  <c:v>5.194679181525004E-2</c:v>
                </c:pt>
                <c:pt idx="447">
                  <c:v>0.16516651665166548</c:v>
                </c:pt>
                <c:pt idx="448">
                  <c:v>0.13309151881978612</c:v>
                </c:pt>
                <c:pt idx="449">
                  <c:v>0.7105561807208185</c:v>
                </c:pt>
                <c:pt idx="450">
                  <c:v>6.6986234021632257E-2</c:v>
                </c:pt>
                <c:pt idx="451">
                  <c:v>0.33629979531302323</c:v>
                </c:pt>
                <c:pt idx="452">
                  <c:v>0.96798742789383452</c:v>
                </c:pt>
                <c:pt idx="453">
                  <c:v>0.3100640234214242</c:v>
                </c:pt>
                <c:pt idx="454">
                  <c:v>8.87063148103686E-2</c:v>
                </c:pt>
                <c:pt idx="455">
                  <c:v>6.8498951756777934E-2</c:v>
                </c:pt>
                <c:pt idx="456">
                  <c:v>7.1861785161790051E-2</c:v>
                </c:pt>
                <c:pt idx="457">
                  <c:v>7.1642929076983344E-2</c:v>
                </c:pt>
                <c:pt idx="458">
                  <c:v>0.2777492370184288</c:v>
                </c:pt>
                <c:pt idx="459">
                  <c:v>0.5460153917764804</c:v>
                </c:pt>
                <c:pt idx="460">
                  <c:v>0.58066301936708442</c:v>
                </c:pt>
                <c:pt idx="461">
                  <c:v>0.9120442913921033</c:v>
                </c:pt>
                <c:pt idx="462">
                  <c:v>0.4320991012759432</c:v>
                </c:pt>
                <c:pt idx="463">
                  <c:v>0.3599610168214501</c:v>
                </c:pt>
                <c:pt idx="464">
                  <c:v>8.1859047046943828E-2</c:v>
                </c:pt>
                <c:pt idx="465">
                  <c:v>0.24392636727764419</c:v>
                </c:pt>
                <c:pt idx="466">
                  <c:v>1.4862878580589491E-2</c:v>
                </c:pt>
                <c:pt idx="467">
                  <c:v>0.26512183994840044</c:v>
                </c:pt>
                <c:pt idx="468">
                  <c:v>8.1048974847976865E-2</c:v>
                </c:pt>
                <c:pt idx="469">
                  <c:v>0.20696347367564402</c:v>
                </c:pt>
                <c:pt idx="470">
                  <c:v>0.43552905448748225</c:v>
                </c:pt>
                <c:pt idx="471">
                  <c:v>0.41364687753990448</c:v>
                </c:pt>
                <c:pt idx="472">
                  <c:v>0.31705364940028585</c:v>
                </c:pt>
                <c:pt idx="473">
                  <c:v>2.7670317250307788E-2</c:v>
                </c:pt>
                <c:pt idx="474">
                  <c:v>0.1687315501296518</c:v>
                </c:pt>
                <c:pt idx="475">
                  <c:v>0.19262056900188021</c:v>
                </c:pt>
                <c:pt idx="476">
                  <c:v>0.17414250272153606</c:v>
                </c:pt>
                <c:pt idx="477">
                  <c:v>0.11341583034269957</c:v>
                </c:pt>
                <c:pt idx="478">
                  <c:v>9.8046331166854919E-2</c:v>
                </c:pt>
                <c:pt idx="479">
                  <c:v>0.63712639543976957</c:v>
                </c:pt>
                <c:pt idx="480">
                  <c:v>1.7863319956717378E-2</c:v>
                </c:pt>
                <c:pt idx="481">
                  <c:v>0.15011632968215735</c:v>
                </c:pt>
                <c:pt idx="482">
                  <c:v>0.25257005141241717</c:v>
                </c:pt>
                <c:pt idx="483">
                  <c:v>0.18034973554238784</c:v>
                </c:pt>
                <c:pt idx="484">
                  <c:v>0.24956082663784473</c:v>
                </c:pt>
                <c:pt idx="485">
                  <c:v>8.5052162140638987E-2</c:v>
                </c:pt>
                <c:pt idx="486">
                  <c:v>4.0589742126191625E-2</c:v>
                </c:pt>
                <c:pt idx="487">
                  <c:v>0.1436649684524966</c:v>
                </c:pt>
                <c:pt idx="488">
                  <c:v>1.9677466980653237E-2</c:v>
                </c:pt>
                <c:pt idx="489">
                  <c:v>0.76492028992006589</c:v>
                </c:pt>
                <c:pt idx="490">
                  <c:v>9.1884002228829961E-2</c:v>
                </c:pt>
                <c:pt idx="491">
                  <c:v>0.14062821435749207</c:v>
                </c:pt>
                <c:pt idx="492">
                  <c:v>0.57947260497193398</c:v>
                </c:pt>
                <c:pt idx="493">
                  <c:v>2.5871661319582854E-2</c:v>
                </c:pt>
                <c:pt idx="494">
                  <c:v>0.65963954150377124</c:v>
                </c:pt>
                <c:pt idx="495">
                  <c:v>6.7989764232739197E-2</c:v>
                </c:pt>
                <c:pt idx="496">
                  <c:v>0.80613598472706982</c:v>
                </c:pt>
                <c:pt idx="497">
                  <c:v>0.19808360393361099</c:v>
                </c:pt>
                <c:pt idx="498">
                  <c:v>4.4111599003781268E-2</c:v>
                </c:pt>
                <c:pt idx="499">
                  <c:v>2.0681043501737571E-2</c:v>
                </c:pt>
                <c:pt idx="500">
                  <c:v>3.9416911974569334E-2</c:v>
                </c:pt>
                <c:pt idx="501">
                  <c:v>0.12604303908651698</c:v>
                </c:pt>
                <c:pt idx="502">
                  <c:v>0.51984233413371506</c:v>
                </c:pt>
                <c:pt idx="503">
                  <c:v>0.18936215939081602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E4-4FA3-B144-8A8310291DF5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'Eqtn Simplified'!$B$8:$B$48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xVal>
          <c:yVal>
            <c:numRef>
              <c:f>'Eqtn Simplified'!$F$8:$F$48</c:f>
              <c:numCache>
                <c:formatCode>0%</c:formatCode>
                <c:ptCount val="4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8.0000000000000016E-2</c:v>
                </c:pt>
                <c:pt idx="14">
                  <c:v>0.11999999999999997</c:v>
                </c:pt>
                <c:pt idx="15">
                  <c:v>0.15999999999999998</c:v>
                </c:pt>
                <c:pt idx="16">
                  <c:v>0.2</c:v>
                </c:pt>
                <c:pt idx="17">
                  <c:v>0.21666666666666665</c:v>
                </c:pt>
                <c:pt idx="18">
                  <c:v>0.23333333333333334</c:v>
                </c:pt>
                <c:pt idx="19">
                  <c:v>0.24999999999999997</c:v>
                </c:pt>
                <c:pt idx="20">
                  <c:v>0.26666666666666666</c:v>
                </c:pt>
                <c:pt idx="21">
                  <c:v>0.28333333333333333</c:v>
                </c:pt>
                <c:pt idx="22">
                  <c:v>0.30000000000000004</c:v>
                </c:pt>
                <c:pt idx="23">
                  <c:v>0.31666666666666665</c:v>
                </c:pt>
                <c:pt idx="24">
                  <c:v>0.33333333333333331</c:v>
                </c:pt>
                <c:pt idx="25">
                  <c:v>0.35</c:v>
                </c:pt>
                <c:pt idx="26">
                  <c:v>0.3666666666666667</c:v>
                </c:pt>
                <c:pt idx="27">
                  <c:v>0.38333333333333336</c:v>
                </c:pt>
                <c:pt idx="28">
                  <c:v>0.39999999999999997</c:v>
                </c:pt>
                <c:pt idx="29">
                  <c:v>0.41666666666666663</c:v>
                </c:pt>
                <c:pt idx="30">
                  <c:v>0.43333333333333335</c:v>
                </c:pt>
                <c:pt idx="31">
                  <c:v>0.45</c:v>
                </c:pt>
                <c:pt idx="32">
                  <c:v>0.46666666666666667</c:v>
                </c:pt>
                <c:pt idx="33">
                  <c:v>0.48333333333333328</c:v>
                </c:pt>
                <c:pt idx="34">
                  <c:v>0.49999999999999994</c:v>
                </c:pt>
                <c:pt idx="35">
                  <c:v>0.51666666666666661</c:v>
                </c:pt>
                <c:pt idx="36">
                  <c:v>0.53333333333333333</c:v>
                </c:pt>
                <c:pt idx="37">
                  <c:v>0.55000000000000004</c:v>
                </c:pt>
                <c:pt idx="38">
                  <c:v>0.56666666666666665</c:v>
                </c:pt>
                <c:pt idx="39">
                  <c:v>0.58333333333333326</c:v>
                </c:pt>
                <c:pt idx="4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E4-4FA3-B144-8A8310291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387503"/>
        <c:axId val="1445383759"/>
      </c:scatterChart>
      <c:valAx>
        <c:axId val="1445387503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V/C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83759"/>
        <c:crosses val="autoZero"/>
        <c:crossBetween val="midCat"/>
        <c:majorUnit val="0.2"/>
        <c:minorUnit val="0.1"/>
      </c:valAx>
      <c:valAx>
        <c:axId val="1445383759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BTI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87503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Low Speed (&lt;55)</c:v>
          </c:tx>
          <c:spPr>
            <a:ln>
              <a:noFill/>
            </a:ln>
          </c:spPr>
          <c:xVal>
            <c:numRef>
              <c:f>'Sort by Ave Sp'!$B$35:$B$154</c:f>
              <c:numCache>
                <c:formatCode>General</c:formatCode>
                <c:ptCount val="120"/>
                <c:pt idx="0">
                  <c:v>0.11119069477860791</c:v>
                </c:pt>
                <c:pt idx="1">
                  <c:v>6.9550631719867792E-2</c:v>
                </c:pt>
                <c:pt idx="2">
                  <c:v>4.6826637693449226E-2</c:v>
                </c:pt>
                <c:pt idx="3">
                  <c:v>4.2291307727864852E-2</c:v>
                </c:pt>
                <c:pt idx="4">
                  <c:v>6.7823675253183183E-2</c:v>
                </c:pt>
                <c:pt idx="5">
                  <c:v>0.18282381864892183</c:v>
                </c:pt>
                <c:pt idx="6">
                  <c:v>0.46546402780096846</c:v>
                </c:pt>
                <c:pt idx="7">
                  <c:v>0.76096698113207539</c:v>
                </c:pt>
                <c:pt idx="8">
                  <c:v>0.84140965166908566</c:v>
                </c:pt>
                <c:pt idx="9">
                  <c:v>0.69061139332365751</c:v>
                </c:pt>
                <c:pt idx="10">
                  <c:v>0.65197589686098656</c:v>
                </c:pt>
                <c:pt idx="11">
                  <c:v>0.70845510809300727</c:v>
                </c:pt>
                <c:pt idx="12">
                  <c:v>0.74718441665224156</c:v>
                </c:pt>
                <c:pt idx="13">
                  <c:v>0.79611624524023439</c:v>
                </c:pt>
                <c:pt idx="14">
                  <c:v>0.8969587744386579</c:v>
                </c:pt>
                <c:pt idx="15">
                  <c:v>1.0283189963780324</c:v>
                </c:pt>
                <c:pt idx="16">
                  <c:v>1.0340037757001437</c:v>
                </c:pt>
                <c:pt idx="17">
                  <c:v>0.87111810115534871</c:v>
                </c:pt>
                <c:pt idx="18">
                  <c:v>0.7968136896810819</c:v>
                </c:pt>
                <c:pt idx="19">
                  <c:v>0.59785639412997904</c:v>
                </c:pt>
                <c:pt idx="20">
                  <c:v>0.50236636971046766</c:v>
                </c:pt>
                <c:pt idx="21">
                  <c:v>0.4902946035242291</c:v>
                </c:pt>
                <c:pt idx="22">
                  <c:v>0.35025160734546368</c:v>
                </c:pt>
                <c:pt idx="23">
                  <c:v>0.21534502686492565</c:v>
                </c:pt>
                <c:pt idx="24">
                  <c:v>8.1651296068450882E-2</c:v>
                </c:pt>
                <c:pt idx="25">
                  <c:v>4.5125684238718877E-2</c:v>
                </c:pt>
                <c:pt idx="26">
                  <c:v>2.9511088528472101E-2</c:v>
                </c:pt>
                <c:pt idx="27">
                  <c:v>2.5838046183751767E-2</c:v>
                </c:pt>
                <c:pt idx="28">
                  <c:v>4.3337590869430141E-2</c:v>
                </c:pt>
                <c:pt idx="29">
                  <c:v>0.16319696304497211</c:v>
                </c:pt>
                <c:pt idx="30">
                  <c:v>0.36360637205980428</c:v>
                </c:pt>
                <c:pt idx="31">
                  <c:v>0.54419383573846425</c:v>
                </c:pt>
                <c:pt idx="32">
                  <c:v>0.57352300291904779</c:v>
                </c:pt>
                <c:pt idx="33">
                  <c:v>0.48537866801641882</c:v>
                </c:pt>
                <c:pt idx="34">
                  <c:v>0.46224585299317278</c:v>
                </c:pt>
                <c:pt idx="35">
                  <c:v>0.49239168368928293</c:v>
                </c:pt>
                <c:pt idx="36">
                  <c:v>0.5139980582429059</c:v>
                </c:pt>
                <c:pt idx="37">
                  <c:v>0.55736864494595273</c:v>
                </c:pt>
                <c:pt idx="38">
                  <c:v>0.60366731077580893</c:v>
                </c:pt>
                <c:pt idx="39">
                  <c:v>0.71651308505764677</c:v>
                </c:pt>
                <c:pt idx="40">
                  <c:v>0.81352493073964205</c:v>
                </c:pt>
                <c:pt idx="41">
                  <c:v>0.8056270410649915</c:v>
                </c:pt>
                <c:pt idx="42">
                  <c:v>0.69753965969893283</c:v>
                </c:pt>
                <c:pt idx="43">
                  <c:v>0.4941001435881463</c:v>
                </c:pt>
                <c:pt idx="44">
                  <c:v>0.42166034384861423</c:v>
                </c:pt>
                <c:pt idx="45">
                  <c:v>0.38857874773084194</c:v>
                </c:pt>
                <c:pt idx="46">
                  <c:v>0.2725386541027689</c:v>
                </c:pt>
                <c:pt idx="47">
                  <c:v>0.15746440087639504</c:v>
                </c:pt>
                <c:pt idx="48">
                  <c:v>0.1546445052277102</c:v>
                </c:pt>
                <c:pt idx="49">
                  <c:v>9.0837414995041971E-2</c:v>
                </c:pt>
                <c:pt idx="50">
                  <c:v>6.4153162846386697E-2</c:v>
                </c:pt>
                <c:pt idx="51">
                  <c:v>6.6046321813360911E-2</c:v>
                </c:pt>
                <c:pt idx="52">
                  <c:v>0.14172244243974999</c:v>
                </c:pt>
                <c:pt idx="53">
                  <c:v>0.40082138918872967</c:v>
                </c:pt>
                <c:pt idx="54">
                  <c:v>0.83581481764271714</c:v>
                </c:pt>
                <c:pt idx="55">
                  <c:v>1.2397706411358724</c:v>
                </c:pt>
                <c:pt idx="56">
                  <c:v>1.2612349346715996</c:v>
                </c:pt>
                <c:pt idx="57">
                  <c:v>1.0537064930437459</c:v>
                </c:pt>
                <c:pt idx="58">
                  <c:v>0.97422887344854203</c:v>
                </c:pt>
                <c:pt idx="59">
                  <c:v>1.0341810844408146</c:v>
                </c:pt>
                <c:pt idx="60">
                  <c:v>1.0718547197150761</c:v>
                </c:pt>
                <c:pt idx="61">
                  <c:v>1.124735887934349</c:v>
                </c:pt>
                <c:pt idx="62">
                  <c:v>1.2183604161037236</c:v>
                </c:pt>
                <c:pt idx="63">
                  <c:v>1.3542101938681308</c:v>
                </c:pt>
                <c:pt idx="64">
                  <c:v>1.3504487734753683</c:v>
                </c:pt>
                <c:pt idx="65">
                  <c:v>1.2038502651811043</c:v>
                </c:pt>
                <c:pt idx="66">
                  <c:v>1.1626312233393503</c:v>
                </c:pt>
                <c:pt idx="67">
                  <c:v>0.91206120934162793</c:v>
                </c:pt>
                <c:pt idx="68">
                  <c:v>0.76220912639661642</c:v>
                </c:pt>
                <c:pt idx="69">
                  <c:v>0.69766001518547149</c:v>
                </c:pt>
                <c:pt idx="70">
                  <c:v>0.48710944881981055</c:v>
                </c:pt>
                <c:pt idx="71">
                  <c:v>0.29221335264334525</c:v>
                </c:pt>
                <c:pt idx="72">
                  <c:v>8.6028185808956992E-2</c:v>
                </c:pt>
                <c:pt idx="73">
                  <c:v>4.9453781952056228E-2</c:v>
                </c:pt>
                <c:pt idx="74">
                  <c:v>3.3450816196735213E-2</c:v>
                </c:pt>
                <c:pt idx="75">
                  <c:v>3.0188941883430687E-2</c:v>
                </c:pt>
                <c:pt idx="76">
                  <c:v>4.8878272471319914E-2</c:v>
                </c:pt>
                <c:pt idx="77">
                  <c:v>0.17494551255053908</c:v>
                </c:pt>
                <c:pt idx="78">
                  <c:v>0.38017746076139591</c:v>
                </c:pt>
                <c:pt idx="79">
                  <c:v>0.60183962264150948</c:v>
                </c:pt>
                <c:pt idx="80">
                  <c:v>0.6514993261455525</c:v>
                </c:pt>
                <c:pt idx="81">
                  <c:v>0.54999352063031304</c:v>
                </c:pt>
                <c:pt idx="82">
                  <c:v>0.50407051146459092</c:v>
                </c:pt>
                <c:pt idx="83">
                  <c:v>0.53675403397933918</c:v>
                </c:pt>
                <c:pt idx="84">
                  <c:v>0.54898022084048026</c:v>
                </c:pt>
                <c:pt idx="85">
                  <c:v>0.57536569853720587</c:v>
                </c:pt>
                <c:pt idx="86">
                  <c:v>0.6161503364708889</c:v>
                </c:pt>
                <c:pt idx="87">
                  <c:v>0.73207047043463613</c:v>
                </c:pt>
                <c:pt idx="88">
                  <c:v>0.84301231068618332</c:v>
                </c:pt>
                <c:pt idx="89">
                  <c:v>0.82620677832266654</c:v>
                </c:pt>
                <c:pt idx="90">
                  <c:v>0.70945858386896121</c:v>
                </c:pt>
                <c:pt idx="91">
                  <c:v>0.48831297638385607</c:v>
                </c:pt>
                <c:pt idx="92">
                  <c:v>0.40961964743455059</c:v>
                </c:pt>
                <c:pt idx="93">
                  <c:v>0.37603898262821051</c:v>
                </c:pt>
                <c:pt idx="94">
                  <c:v>0.272447682480985</c:v>
                </c:pt>
                <c:pt idx="95">
                  <c:v>0.15900677870798449</c:v>
                </c:pt>
                <c:pt idx="96">
                  <c:v>7.5301538558946432E-2</c:v>
                </c:pt>
                <c:pt idx="97">
                  <c:v>4.4915910136802906E-2</c:v>
                </c:pt>
                <c:pt idx="98">
                  <c:v>3.5499258002967993E-2</c:v>
                </c:pt>
                <c:pt idx="99">
                  <c:v>4.4104824137496321E-2</c:v>
                </c:pt>
                <c:pt idx="100">
                  <c:v>9.9944320712694865E-2</c:v>
                </c:pt>
                <c:pt idx="101">
                  <c:v>0.30806730121293802</c:v>
                </c:pt>
                <c:pt idx="102">
                  <c:v>0.77104117966271501</c:v>
                </c:pt>
                <c:pt idx="103">
                  <c:v>0.96500524109014674</c:v>
                </c:pt>
                <c:pt idx="104">
                  <c:v>0.88845894671366366</c:v>
                </c:pt>
                <c:pt idx="105">
                  <c:v>0.78622745179348952</c:v>
                </c:pt>
                <c:pt idx="106">
                  <c:v>0.67369433112357635</c:v>
                </c:pt>
                <c:pt idx="107">
                  <c:v>0.69324545532868098</c:v>
                </c:pt>
                <c:pt idx="108">
                  <c:v>0.71135131772546301</c:v>
                </c:pt>
                <c:pt idx="109">
                  <c:v>0.70198920763273864</c:v>
                </c:pt>
                <c:pt idx="110">
                  <c:v>0.73662410356014685</c:v>
                </c:pt>
                <c:pt idx="111">
                  <c:v>0.84043039808782471</c:v>
                </c:pt>
                <c:pt idx="112">
                  <c:v>0.89290020306286477</c:v>
                </c:pt>
                <c:pt idx="113">
                  <c:v>0.8812235059429806</c:v>
                </c:pt>
                <c:pt idx="114">
                  <c:v>0.75527031930333821</c:v>
                </c:pt>
                <c:pt idx="115">
                  <c:v>0.5165146403432046</c:v>
                </c:pt>
                <c:pt idx="116">
                  <c:v>0.40768269109551625</c:v>
                </c:pt>
                <c:pt idx="117">
                  <c:v>0.3426993288172222</c:v>
                </c:pt>
                <c:pt idx="118">
                  <c:v>0.24438742278438461</c:v>
                </c:pt>
                <c:pt idx="119">
                  <c:v>0.14368700279062019</c:v>
                </c:pt>
              </c:numCache>
            </c:numRef>
          </c:xVal>
          <c:yVal>
            <c:numRef>
              <c:f>'Sort by Ave Sp'!$C$35:$C$154</c:f>
              <c:numCache>
                <c:formatCode>General</c:formatCode>
                <c:ptCount val="120"/>
                <c:pt idx="0">
                  <c:v>3.0405379149268684E-2</c:v>
                </c:pt>
                <c:pt idx="1">
                  <c:v>3.21986295383681E-2</c:v>
                </c:pt>
                <c:pt idx="2">
                  <c:v>3.6207747912383056E-2</c:v>
                </c:pt>
                <c:pt idx="3">
                  <c:v>3.3928877124701634E-2</c:v>
                </c:pt>
                <c:pt idx="4">
                  <c:v>3.046235235478267E-2</c:v>
                </c:pt>
                <c:pt idx="5">
                  <c:v>3.4615771047820688E-2</c:v>
                </c:pt>
                <c:pt idx="6">
                  <c:v>3.6270349110342791E-2</c:v>
                </c:pt>
                <c:pt idx="7">
                  <c:v>3.1756295672639816E-2</c:v>
                </c:pt>
                <c:pt idx="8">
                  <c:v>4.0608171412565293E-2</c:v>
                </c:pt>
                <c:pt idx="9">
                  <c:v>3.5564446009912452E-2</c:v>
                </c:pt>
                <c:pt idx="10">
                  <c:v>3.4368294681872157E-2</c:v>
                </c:pt>
                <c:pt idx="11">
                  <c:v>3.2641605032098356E-2</c:v>
                </c:pt>
                <c:pt idx="12">
                  <c:v>3.5334195703217823E-2</c:v>
                </c:pt>
                <c:pt idx="13">
                  <c:v>4.4084780481563252E-2</c:v>
                </c:pt>
                <c:pt idx="14">
                  <c:v>5.194679181525004E-2</c:v>
                </c:pt>
                <c:pt idx="15">
                  <c:v>0.17414250272153606</c:v>
                </c:pt>
                <c:pt idx="16">
                  <c:v>0.63712639543976957</c:v>
                </c:pt>
                <c:pt idx="17">
                  <c:v>1.1613671418732199</c:v>
                </c:pt>
                <c:pt idx="18">
                  <c:v>0.7209149723345164</c:v>
                </c:pt>
                <c:pt idx="19">
                  <c:v>5.8321611911950594E-2</c:v>
                </c:pt>
                <c:pt idx="20">
                  <c:v>3.9806091959880788E-2</c:v>
                </c:pt>
                <c:pt idx="21">
                  <c:v>3.6407229618007964E-2</c:v>
                </c:pt>
                <c:pt idx="22">
                  <c:v>3.5213281334960857E-2</c:v>
                </c:pt>
                <c:pt idx="23">
                  <c:v>3.5497169513694957E-2</c:v>
                </c:pt>
                <c:pt idx="24">
                  <c:v>1.8555926783103849E-2</c:v>
                </c:pt>
                <c:pt idx="25">
                  <c:v>1.6894348500084349E-2</c:v>
                </c:pt>
                <c:pt idx="26">
                  <c:v>2.2363039318179526E-2</c:v>
                </c:pt>
                <c:pt idx="27">
                  <c:v>2.3848377012760099E-2</c:v>
                </c:pt>
                <c:pt idx="28">
                  <c:v>1.9766655865988258E-2</c:v>
                </c:pt>
                <c:pt idx="29">
                  <c:v>1.4456967223692998E-2</c:v>
                </c:pt>
                <c:pt idx="30">
                  <c:v>1.9432056999333095E-2</c:v>
                </c:pt>
                <c:pt idx="31">
                  <c:v>2.9625422414486225E-2</c:v>
                </c:pt>
                <c:pt idx="32">
                  <c:v>2.5064856641906993E-2</c:v>
                </c:pt>
                <c:pt idx="33">
                  <c:v>1.5116270470424057E-2</c:v>
                </c:pt>
                <c:pt idx="34">
                  <c:v>1.39236273271875E-2</c:v>
                </c:pt>
                <c:pt idx="35">
                  <c:v>1.4386985759125641E-2</c:v>
                </c:pt>
                <c:pt idx="36">
                  <c:v>1.6936749860785638E-2</c:v>
                </c:pt>
                <c:pt idx="37">
                  <c:v>1.5737324254715041E-2</c:v>
                </c:pt>
                <c:pt idx="38">
                  <c:v>3.0735826746161689E-2</c:v>
                </c:pt>
                <c:pt idx="39">
                  <c:v>6.3362024551599866E-2</c:v>
                </c:pt>
                <c:pt idx="40">
                  <c:v>0.59752461282183467</c:v>
                </c:pt>
                <c:pt idx="41">
                  <c:v>0.86310966155355251</c:v>
                </c:pt>
                <c:pt idx="42">
                  <c:v>0.72086951986152092</c:v>
                </c:pt>
                <c:pt idx="43">
                  <c:v>5.2474073705574532E-2</c:v>
                </c:pt>
                <c:pt idx="44">
                  <c:v>2.6578698452773598E-2</c:v>
                </c:pt>
                <c:pt idx="45">
                  <c:v>3.0961087276040019E-2</c:v>
                </c:pt>
                <c:pt idx="46">
                  <c:v>2.6492174059671282E-2</c:v>
                </c:pt>
                <c:pt idx="47">
                  <c:v>2.0522702866878895E-2</c:v>
                </c:pt>
                <c:pt idx="48">
                  <c:v>1.7755054937822552E-2</c:v>
                </c:pt>
                <c:pt idx="49">
                  <c:v>2.1981371938563608E-2</c:v>
                </c:pt>
                <c:pt idx="50">
                  <c:v>2.1158950389464647E-2</c:v>
                </c:pt>
                <c:pt idx="51">
                  <c:v>2.3535915056739899E-2</c:v>
                </c:pt>
                <c:pt idx="52">
                  <c:v>1.9101335732765169E-2</c:v>
                </c:pt>
                <c:pt idx="53">
                  <c:v>1.2839027157912963E-2</c:v>
                </c:pt>
                <c:pt idx="54">
                  <c:v>1.7822537600687499E-2</c:v>
                </c:pt>
                <c:pt idx="55">
                  <c:v>2.0681043501737571E-2</c:v>
                </c:pt>
                <c:pt idx="56">
                  <c:v>3.9416911974569334E-2</c:v>
                </c:pt>
                <c:pt idx="57">
                  <c:v>4.0589742126191625E-2</c:v>
                </c:pt>
                <c:pt idx="58">
                  <c:v>1.4862878580589491E-2</c:v>
                </c:pt>
                <c:pt idx="59">
                  <c:v>1.7863319956717378E-2</c:v>
                </c:pt>
                <c:pt idx="60">
                  <c:v>1.9677466980653237E-2</c:v>
                </c:pt>
                <c:pt idx="61">
                  <c:v>2.5871661319582854E-2</c:v>
                </c:pt>
                <c:pt idx="62">
                  <c:v>4.4111599003781268E-2</c:v>
                </c:pt>
                <c:pt idx="63">
                  <c:v>0.18936215939081602</c:v>
                </c:pt>
                <c:pt idx="64">
                  <c:v>0.51984233413371506</c:v>
                </c:pt>
                <c:pt idx="65">
                  <c:v>0.80613598472706982</c:v>
                </c:pt>
                <c:pt idx="66">
                  <c:v>0.65963954150377124</c:v>
                </c:pt>
                <c:pt idx="67">
                  <c:v>6.6986234021632257E-2</c:v>
                </c:pt>
                <c:pt idx="68">
                  <c:v>2.6980439202464613E-2</c:v>
                </c:pt>
                <c:pt idx="69">
                  <c:v>1.7933899549305611E-2</c:v>
                </c:pt>
                <c:pt idx="70">
                  <c:v>1.4240381870702866E-2</c:v>
                </c:pt>
                <c:pt idx="71">
                  <c:v>1.4398587283334376E-2</c:v>
                </c:pt>
                <c:pt idx="72">
                  <c:v>2.9170930884436331E-2</c:v>
                </c:pt>
                <c:pt idx="73">
                  <c:v>2.7774158872137938E-2</c:v>
                </c:pt>
                <c:pt idx="74">
                  <c:v>3.2382954236684407E-2</c:v>
                </c:pt>
                <c:pt idx="75">
                  <c:v>3.6251314550630492E-2</c:v>
                </c:pt>
                <c:pt idx="76">
                  <c:v>3.2602732483631491E-2</c:v>
                </c:pt>
                <c:pt idx="77">
                  <c:v>2.6513434632879453E-2</c:v>
                </c:pt>
                <c:pt idx="78">
                  <c:v>3.7719298245614249E-2</c:v>
                </c:pt>
                <c:pt idx="79">
                  <c:v>4.1673729711404053E-2</c:v>
                </c:pt>
                <c:pt idx="80">
                  <c:v>3.6829928709329357E-2</c:v>
                </c:pt>
                <c:pt idx="81">
                  <c:v>2.8519042554400041E-2</c:v>
                </c:pt>
                <c:pt idx="82">
                  <c:v>2.6365969930326912E-2</c:v>
                </c:pt>
                <c:pt idx="83">
                  <c:v>2.7018502104144901E-2</c:v>
                </c:pt>
                <c:pt idx="84">
                  <c:v>3.5717614606799848E-2</c:v>
                </c:pt>
                <c:pt idx="85">
                  <c:v>3.2535438286026369E-2</c:v>
                </c:pt>
                <c:pt idx="86">
                  <c:v>2.8798046259795627E-2</c:v>
                </c:pt>
                <c:pt idx="87">
                  <c:v>8.7221839888994679E-2</c:v>
                </c:pt>
                <c:pt idx="88">
                  <c:v>0.45957989763404383</c:v>
                </c:pt>
                <c:pt idx="89">
                  <c:v>0.770360050084686</c:v>
                </c:pt>
                <c:pt idx="90">
                  <c:v>0.77117282576303414</c:v>
                </c:pt>
                <c:pt idx="91">
                  <c:v>6.3653563655784826E-2</c:v>
                </c:pt>
                <c:pt idx="92">
                  <c:v>3.7058550053172934E-2</c:v>
                </c:pt>
                <c:pt idx="93">
                  <c:v>3.1722633599996344E-2</c:v>
                </c:pt>
                <c:pt idx="94">
                  <c:v>3.9175806376972704E-2</c:v>
                </c:pt>
                <c:pt idx="95">
                  <c:v>3.0685224765700382E-2</c:v>
                </c:pt>
                <c:pt idx="96">
                  <c:v>2.2728947919044243E-2</c:v>
                </c:pt>
                <c:pt idx="97">
                  <c:v>1.5197469716364344E-2</c:v>
                </c:pt>
                <c:pt idx="98">
                  <c:v>2.4777357475399102E-2</c:v>
                </c:pt>
                <c:pt idx="99">
                  <c:v>1.8428084928437755E-2</c:v>
                </c:pt>
                <c:pt idx="100">
                  <c:v>1.6633489955545484E-2</c:v>
                </c:pt>
                <c:pt idx="101">
                  <c:v>1.2302817710850657E-2</c:v>
                </c:pt>
                <c:pt idx="102">
                  <c:v>5.1989703888892874E-2</c:v>
                </c:pt>
                <c:pt idx="103">
                  <c:v>0.3599610168214501</c:v>
                </c:pt>
                <c:pt idx="104">
                  <c:v>0.81781312979421428</c:v>
                </c:pt>
                <c:pt idx="105">
                  <c:v>0.1815721349035877</c:v>
                </c:pt>
                <c:pt idx="106">
                  <c:v>2.7171136631622399E-2</c:v>
                </c:pt>
                <c:pt idx="107">
                  <c:v>2.053408761711864E-2</c:v>
                </c:pt>
                <c:pt idx="108">
                  <c:v>3.0169242089771627E-2</c:v>
                </c:pt>
                <c:pt idx="109">
                  <c:v>2.5242216626050515E-2</c:v>
                </c:pt>
                <c:pt idx="110">
                  <c:v>2.8743095457487978E-2</c:v>
                </c:pt>
                <c:pt idx="111">
                  <c:v>6.8539246276252908E-2</c:v>
                </c:pt>
                <c:pt idx="112">
                  <c:v>0.39083368907452298</c:v>
                </c:pt>
                <c:pt idx="113">
                  <c:v>1.8499131658785699</c:v>
                </c:pt>
                <c:pt idx="114">
                  <c:v>0.3494371560595631</c:v>
                </c:pt>
                <c:pt idx="115">
                  <c:v>3.6384201654713608E-2</c:v>
                </c:pt>
                <c:pt idx="116">
                  <c:v>2.7823548305388031E-2</c:v>
                </c:pt>
                <c:pt idx="117">
                  <c:v>1.7077209117317055E-2</c:v>
                </c:pt>
                <c:pt idx="118">
                  <c:v>2.2359437987128791E-2</c:v>
                </c:pt>
                <c:pt idx="119">
                  <c:v>2.1584183219854176E-2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77-466E-A519-FA6B83B8F19C}"/>
            </c:ext>
          </c:extLst>
        </c:ser>
        <c:ser>
          <c:idx val="0"/>
          <c:order val="1"/>
          <c:tx>
            <c:v>Med Speed 55-59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 by Ave Sp'!$B$155:$B$322</c:f>
              <c:numCache>
                <c:formatCode>General</c:formatCode>
                <c:ptCount val="168"/>
                <c:pt idx="0">
                  <c:v>0.10844312759091131</c:v>
                </c:pt>
                <c:pt idx="1">
                  <c:v>6.2238850288021855E-2</c:v>
                </c:pt>
                <c:pt idx="2">
                  <c:v>4.3422687266018362E-2</c:v>
                </c:pt>
                <c:pt idx="3">
                  <c:v>4.4725555572749702E-2</c:v>
                </c:pt>
                <c:pt idx="4">
                  <c:v>9.7492021583684391E-2</c:v>
                </c:pt>
                <c:pt idx="5">
                  <c:v>0.279629877071085</c:v>
                </c:pt>
                <c:pt idx="6">
                  <c:v>0.63407836422716535</c:v>
                </c:pt>
                <c:pt idx="7">
                  <c:v>0.97353049468495756</c:v>
                </c:pt>
                <c:pt idx="8">
                  <c:v>0.98331662118123386</c:v>
                </c:pt>
                <c:pt idx="9">
                  <c:v>0.79383330547164344</c:v>
                </c:pt>
                <c:pt idx="10">
                  <c:v>0.72220256065793209</c:v>
                </c:pt>
                <c:pt idx="11">
                  <c:v>0.77009339864160742</c:v>
                </c:pt>
                <c:pt idx="12">
                  <c:v>0.80013508941399136</c:v>
                </c:pt>
                <c:pt idx="13">
                  <c:v>0.83919860479377928</c:v>
                </c:pt>
                <c:pt idx="14">
                  <c:v>0.92715319075868641</c:v>
                </c:pt>
                <c:pt idx="15">
                  <c:v>1.0677421356035735</c:v>
                </c:pt>
                <c:pt idx="16">
                  <c:v>1.1195818643300026</c:v>
                </c:pt>
                <c:pt idx="17">
                  <c:v>1.0771089925762332</c:v>
                </c:pt>
                <c:pt idx="18">
                  <c:v>0.96298506410745854</c:v>
                </c:pt>
                <c:pt idx="19">
                  <c:v>0.68990741691178126</c:v>
                </c:pt>
                <c:pt idx="20">
                  <c:v>0.56825250958540807</c:v>
                </c:pt>
                <c:pt idx="21">
                  <c:v>0.51603067454328411</c:v>
                </c:pt>
                <c:pt idx="22">
                  <c:v>0.35822821425127876</c:v>
                </c:pt>
                <c:pt idx="23">
                  <c:v>0.20703239759168343</c:v>
                </c:pt>
                <c:pt idx="24">
                  <c:v>9.6027440767325056E-2</c:v>
                </c:pt>
                <c:pt idx="25">
                  <c:v>5.4707095291214536E-2</c:v>
                </c:pt>
                <c:pt idx="26">
                  <c:v>3.9755235130957682E-2</c:v>
                </c:pt>
                <c:pt idx="27">
                  <c:v>3.7220499602308756E-2</c:v>
                </c:pt>
                <c:pt idx="28">
                  <c:v>6.1836070046208627E-2</c:v>
                </c:pt>
                <c:pt idx="29">
                  <c:v>0.15336845874469288</c:v>
                </c:pt>
                <c:pt idx="30">
                  <c:v>0.34382832881477315</c:v>
                </c:pt>
                <c:pt idx="31">
                  <c:v>0.42888281034957343</c:v>
                </c:pt>
                <c:pt idx="32">
                  <c:v>0.46296621249655939</c:v>
                </c:pt>
                <c:pt idx="33">
                  <c:v>0.469122986381451</c:v>
                </c:pt>
                <c:pt idx="34">
                  <c:v>0.49075403717048155</c:v>
                </c:pt>
                <c:pt idx="35">
                  <c:v>0.52086826711104195</c:v>
                </c:pt>
                <c:pt idx="36">
                  <c:v>0.55310349573355344</c:v>
                </c:pt>
                <c:pt idx="37">
                  <c:v>0.59750394114555971</c:v>
                </c:pt>
                <c:pt idx="38">
                  <c:v>0.67675959236652894</c:v>
                </c:pt>
                <c:pt idx="39">
                  <c:v>0.82481345244350945</c:v>
                </c:pt>
                <c:pt idx="40">
                  <c:v>0.91905359213424509</c:v>
                </c:pt>
                <c:pt idx="41">
                  <c:v>0.83246972199284408</c:v>
                </c:pt>
                <c:pt idx="42">
                  <c:v>0.71151016912866594</c:v>
                </c:pt>
                <c:pt idx="43">
                  <c:v>0.52284345320306247</c:v>
                </c:pt>
                <c:pt idx="44">
                  <c:v>0.44457232314891287</c:v>
                </c:pt>
                <c:pt idx="45">
                  <c:v>0.40917958731513493</c:v>
                </c:pt>
                <c:pt idx="46">
                  <c:v>0.3065092481238656</c:v>
                </c:pt>
                <c:pt idx="47">
                  <c:v>0.18580875505833971</c:v>
                </c:pt>
                <c:pt idx="48">
                  <c:v>9.6214252474828663E-2</c:v>
                </c:pt>
                <c:pt idx="49">
                  <c:v>5.9576949052382762E-2</c:v>
                </c:pt>
                <c:pt idx="50">
                  <c:v>4.4475526694305774E-2</c:v>
                </c:pt>
                <c:pt idx="51">
                  <c:v>3.9763090947636213E-2</c:v>
                </c:pt>
                <c:pt idx="52">
                  <c:v>6.4783471613881399E-2</c:v>
                </c:pt>
                <c:pt idx="53">
                  <c:v>0.12901285587938005</c:v>
                </c:pt>
                <c:pt idx="54">
                  <c:v>0.27475893304391386</c:v>
                </c:pt>
                <c:pt idx="55">
                  <c:v>0.4277248148767937</c:v>
                </c:pt>
                <c:pt idx="56">
                  <c:v>0.48305644826871241</c:v>
                </c:pt>
                <c:pt idx="57">
                  <c:v>0.47125492432096205</c:v>
                </c:pt>
                <c:pt idx="58">
                  <c:v>0.4809668224892123</c:v>
                </c:pt>
                <c:pt idx="59">
                  <c:v>0.52729205796977718</c:v>
                </c:pt>
                <c:pt idx="60">
                  <c:v>0.56142259862778732</c:v>
                </c:pt>
                <c:pt idx="61">
                  <c:v>0.60216769132923476</c:v>
                </c:pt>
                <c:pt idx="62">
                  <c:v>0.69483326635079112</c:v>
                </c:pt>
                <c:pt idx="63">
                  <c:v>0.89166857989647685</c:v>
                </c:pt>
                <c:pt idx="64">
                  <c:v>1.0477895702306079</c:v>
                </c:pt>
                <c:pt idx="65">
                  <c:v>1.0513267796819643</c:v>
                </c:pt>
                <c:pt idx="66">
                  <c:v>0.8185979056192707</c:v>
                </c:pt>
                <c:pt idx="67">
                  <c:v>0.54687694381090601</c:v>
                </c:pt>
                <c:pt idx="68">
                  <c:v>0.44705608900281552</c:v>
                </c:pt>
                <c:pt idx="69">
                  <c:v>0.41815048523470366</c:v>
                </c:pt>
                <c:pt idx="70">
                  <c:v>0.29436712073779508</c:v>
                </c:pt>
                <c:pt idx="71">
                  <c:v>0.17823619729011017</c:v>
                </c:pt>
                <c:pt idx="72">
                  <c:v>8.8421790155894214E-2</c:v>
                </c:pt>
                <c:pt idx="73">
                  <c:v>5.2870564564257289E-2</c:v>
                </c:pt>
                <c:pt idx="74">
                  <c:v>3.8468998457719748E-2</c:v>
                </c:pt>
                <c:pt idx="75">
                  <c:v>4.1894726072944928E-2</c:v>
                </c:pt>
                <c:pt idx="76">
                  <c:v>9.590430883080138E-2</c:v>
                </c:pt>
                <c:pt idx="77">
                  <c:v>0.28022064214708353</c:v>
                </c:pt>
                <c:pt idx="78">
                  <c:v>0.63404948249697346</c:v>
                </c:pt>
                <c:pt idx="79">
                  <c:v>0.79984620302928222</c:v>
                </c:pt>
                <c:pt idx="80">
                  <c:v>0.76558176673783651</c:v>
                </c:pt>
                <c:pt idx="81">
                  <c:v>0.65130568356374829</c:v>
                </c:pt>
                <c:pt idx="82">
                  <c:v>0.60380330066180732</c:v>
                </c:pt>
                <c:pt idx="83">
                  <c:v>0.6409596618807879</c:v>
                </c:pt>
                <c:pt idx="84">
                  <c:v>0.66269574356279548</c:v>
                </c:pt>
                <c:pt idx="85">
                  <c:v>0.69061356525428252</c:v>
                </c:pt>
                <c:pt idx="86">
                  <c:v>0.72887188254769508</c:v>
                </c:pt>
                <c:pt idx="87">
                  <c:v>0.81343798059076222</c:v>
                </c:pt>
                <c:pt idx="88">
                  <c:v>0.88685569140168008</c:v>
                </c:pt>
                <c:pt idx="89">
                  <c:v>0.91947785936225224</c:v>
                </c:pt>
                <c:pt idx="90">
                  <c:v>0.74342690755765128</c:v>
                </c:pt>
                <c:pt idx="91">
                  <c:v>0.53185900082576354</c:v>
                </c:pt>
                <c:pt idx="92">
                  <c:v>0.43861028658716533</c:v>
                </c:pt>
                <c:pt idx="93">
                  <c:v>0.38054776288834669</c:v>
                </c:pt>
                <c:pt idx="94">
                  <c:v>0.28106838554782826</c:v>
                </c:pt>
                <c:pt idx="95">
                  <c:v>0.18200775042757264</c:v>
                </c:pt>
                <c:pt idx="96">
                  <c:v>2.6163471812763097E-2</c:v>
                </c:pt>
                <c:pt idx="97">
                  <c:v>6.545203823340516E-2</c:v>
                </c:pt>
                <c:pt idx="98">
                  <c:v>4.4106313045449409E-2</c:v>
                </c:pt>
                <c:pt idx="99">
                  <c:v>4.000528920624126E-2</c:v>
                </c:pt>
                <c:pt idx="100">
                  <c:v>6.6171748082662712E-2</c:v>
                </c:pt>
                <c:pt idx="101">
                  <c:v>0.2194699459745364</c:v>
                </c:pt>
                <c:pt idx="102">
                  <c:v>0.4510635082549394</c:v>
                </c:pt>
                <c:pt idx="103">
                  <c:v>0.63981190026517043</c:v>
                </c:pt>
                <c:pt idx="104">
                  <c:v>0.70254297106011121</c:v>
                </c:pt>
                <c:pt idx="105">
                  <c:v>0.64750096339113672</c:v>
                </c:pt>
                <c:pt idx="106">
                  <c:v>0.61770914215051864</c:v>
                </c:pt>
                <c:pt idx="107">
                  <c:v>0.64707658110200261</c:v>
                </c:pt>
                <c:pt idx="108">
                  <c:v>0.67453179190751444</c:v>
                </c:pt>
                <c:pt idx="109">
                  <c:v>0.71646339360071765</c:v>
                </c:pt>
                <c:pt idx="110">
                  <c:v>0.73907332869291598</c:v>
                </c:pt>
                <c:pt idx="111">
                  <c:v>0.83929263067064874</c:v>
                </c:pt>
                <c:pt idx="112">
                  <c:v>0.90429928385511005</c:v>
                </c:pt>
                <c:pt idx="113">
                  <c:v>0.87889980732177309</c:v>
                </c:pt>
                <c:pt idx="114">
                  <c:v>0.7915892598663713</c:v>
                </c:pt>
                <c:pt idx="115">
                  <c:v>0.58275816020908444</c:v>
                </c:pt>
                <c:pt idx="116">
                  <c:v>0.48954768309200852</c:v>
                </c:pt>
                <c:pt idx="117">
                  <c:v>0.44649840706614008</c:v>
                </c:pt>
                <c:pt idx="118">
                  <c:v>0.33744603336249795</c:v>
                </c:pt>
                <c:pt idx="119">
                  <c:v>0.2176650466357998</c:v>
                </c:pt>
                <c:pt idx="120">
                  <c:v>8.3583955932632653E-2</c:v>
                </c:pt>
                <c:pt idx="121">
                  <c:v>5.2516853815328099E-2</c:v>
                </c:pt>
                <c:pt idx="122">
                  <c:v>3.6956325429202783E-2</c:v>
                </c:pt>
                <c:pt idx="123">
                  <c:v>3.3828439686241253E-2</c:v>
                </c:pt>
                <c:pt idx="124">
                  <c:v>5.4050508797964809E-2</c:v>
                </c:pt>
                <c:pt idx="125">
                  <c:v>0.11758456569777324</c:v>
                </c:pt>
                <c:pt idx="126">
                  <c:v>0.25284282345013476</c:v>
                </c:pt>
                <c:pt idx="127">
                  <c:v>0.40807571495050343</c:v>
                </c:pt>
                <c:pt idx="128">
                  <c:v>0.44421856043174496</c:v>
                </c:pt>
                <c:pt idx="129">
                  <c:v>0.42787254737899005</c:v>
                </c:pt>
                <c:pt idx="130">
                  <c:v>0.43827237898061988</c:v>
                </c:pt>
                <c:pt idx="131">
                  <c:v>0.47718106530541915</c:v>
                </c:pt>
                <c:pt idx="132">
                  <c:v>0.51153009780162717</c:v>
                </c:pt>
                <c:pt idx="133">
                  <c:v>0.55048292902066487</c:v>
                </c:pt>
                <c:pt idx="134">
                  <c:v>0.64674432687404382</c:v>
                </c:pt>
                <c:pt idx="135">
                  <c:v>0.8077086638003006</c:v>
                </c:pt>
                <c:pt idx="136">
                  <c:v>0.9446973270440252</c:v>
                </c:pt>
                <c:pt idx="137">
                  <c:v>0.95579117574359407</c:v>
                </c:pt>
                <c:pt idx="138">
                  <c:v>0.76240519792822792</c:v>
                </c:pt>
                <c:pt idx="139">
                  <c:v>0.51405675859791089</c:v>
                </c:pt>
                <c:pt idx="140">
                  <c:v>0.42856324711566496</c:v>
                </c:pt>
                <c:pt idx="141">
                  <c:v>0.39067748289446402</c:v>
                </c:pt>
                <c:pt idx="142">
                  <c:v>0.27090074379123419</c:v>
                </c:pt>
                <c:pt idx="143">
                  <c:v>0.16316797867466368</c:v>
                </c:pt>
                <c:pt idx="144">
                  <c:v>0.1079101524614967</c:v>
                </c:pt>
                <c:pt idx="145">
                  <c:v>6.893693739880126E-2</c:v>
                </c:pt>
                <c:pt idx="146">
                  <c:v>5.4043009918402683E-2</c:v>
                </c:pt>
                <c:pt idx="147">
                  <c:v>6.1802936090048118E-2</c:v>
                </c:pt>
                <c:pt idx="148">
                  <c:v>0.13502442884668317</c:v>
                </c:pt>
                <c:pt idx="149">
                  <c:v>0.36649291219377955</c:v>
                </c:pt>
                <c:pt idx="150">
                  <c:v>0.79410029498525103</c:v>
                </c:pt>
                <c:pt idx="151">
                  <c:v>0.99473003639477531</c:v>
                </c:pt>
                <c:pt idx="152">
                  <c:v>0.95541129390840374</c:v>
                </c:pt>
                <c:pt idx="153">
                  <c:v>0.79314827754134132</c:v>
                </c:pt>
                <c:pt idx="154">
                  <c:v>0.70647588930074223</c:v>
                </c:pt>
                <c:pt idx="155">
                  <c:v>0.74244009794839028</c:v>
                </c:pt>
                <c:pt idx="156">
                  <c:v>0.77451217376072901</c:v>
                </c:pt>
                <c:pt idx="157">
                  <c:v>0.7811393793226985</c:v>
                </c:pt>
                <c:pt idx="158">
                  <c:v>0.80288446767702071</c:v>
                </c:pt>
                <c:pt idx="159">
                  <c:v>0.89029839087642504</c:v>
                </c:pt>
                <c:pt idx="160">
                  <c:v>0.90889196941560091</c:v>
                </c:pt>
                <c:pt idx="161">
                  <c:v>0.96154516879548457</c:v>
                </c:pt>
                <c:pt idx="162">
                  <c:v>0.7961311905820575</c:v>
                </c:pt>
                <c:pt idx="163">
                  <c:v>0.57443461913086391</c:v>
                </c:pt>
                <c:pt idx="164">
                  <c:v>0.47470594041136172</c:v>
                </c:pt>
                <c:pt idx="165">
                  <c:v>0.40891921944097825</c:v>
                </c:pt>
                <c:pt idx="166">
                  <c:v>0.29795864069587291</c:v>
                </c:pt>
                <c:pt idx="167">
                  <c:v>0.19071146329118246</c:v>
                </c:pt>
              </c:numCache>
            </c:numRef>
          </c:xVal>
          <c:yVal>
            <c:numRef>
              <c:f>'Sort by Ave Sp'!$C$155:$C$322</c:f>
              <c:numCache>
                <c:formatCode>General</c:formatCode>
                <c:ptCount val="168"/>
                <c:pt idx="0">
                  <c:v>3.0350018174229498E-2</c:v>
                </c:pt>
                <c:pt idx="1">
                  <c:v>2.8405267917218931E-2</c:v>
                </c:pt>
                <c:pt idx="2">
                  <c:v>2.6899427340543312E-2</c:v>
                </c:pt>
                <c:pt idx="3">
                  <c:v>2.1665884710692914E-2</c:v>
                </c:pt>
                <c:pt idx="4">
                  <c:v>1.72102552898881E-2</c:v>
                </c:pt>
                <c:pt idx="5">
                  <c:v>1.9756407013876758E-2</c:v>
                </c:pt>
                <c:pt idx="6">
                  <c:v>4.6873357029072471E-2</c:v>
                </c:pt>
                <c:pt idx="7">
                  <c:v>0.24392636727764419</c:v>
                </c:pt>
                <c:pt idx="8">
                  <c:v>0.43552905448748225</c:v>
                </c:pt>
                <c:pt idx="9">
                  <c:v>0.10515204530927316</c:v>
                </c:pt>
                <c:pt idx="10">
                  <c:v>2.4772561758007652E-2</c:v>
                </c:pt>
                <c:pt idx="11">
                  <c:v>2.10379478363905E-2</c:v>
                </c:pt>
                <c:pt idx="12">
                  <c:v>4.0690161548383549E-2</c:v>
                </c:pt>
                <c:pt idx="13">
                  <c:v>2.8644901332585126E-2</c:v>
                </c:pt>
                <c:pt idx="14">
                  <c:v>8.87063148103686E-2</c:v>
                </c:pt>
                <c:pt idx="15">
                  <c:v>0.1436649684524966</c:v>
                </c:pt>
                <c:pt idx="16">
                  <c:v>0.57947260497193398</c:v>
                </c:pt>
                <c:pt idx="17">
                  <c:v>0.76492028992006589</c:v>
                </c:pt>
                <c:pt idx="18">
                  <c:v>0.4320991012759432</c:v>
                </c:pt>
                <c:pt idx="19">
                  <c:v>5.0174915134651284E-2</c:v>
                </c:pt>
                <c:pt idx="20">
                  <c:v>2.7582641486482193E-2</c:v>
                </c:pt>
                <c:pt idx="21">
                  <c:v>3.0899264978546809E-2</c:v>
                </c:pt>
                <c:pt idx="22">
                  <c:v>3.4028170322820211E-2</c:v>
                </c:pt>
                <c:pt idx="23">
                  <c:v>3.1668778734839767E-2</c:v>
                </c:pt>
                <c:pt idx="24">
                  <c:v>1.7271781509637374E-2</c:v>
                </c:pt>
                <c:pt idx="25">
                  <c:v>1.3425878499124445E-2</c:v>
                </c:pt>
                <c:pt idx="26">
                  <c:v>1.6834760652762001E-2</c:v>
                </c:pt>
                <c:pt idx="27">
                  <c:v>1.6873005003569454E-2</c:v>
                </c:pt>
                <c:pt idx="28">
                  <c:v>1.9497545301060182E-2</c:v>
                </c:pt>
                <c:pt idx="29">
                  <c:v>1.4404782313091707E-2</c:v>
                </c:pt>
                <c:pt idx="30">
                  <c:v>1.4243107919922756E-2</c:v>
                </c:pt>
                <c:pt idx="31">
                  <c:v>9.9609609250013928E-3</c:v>
                </c:pt>
                <c:pt idx="32">
                  <c:v>1.5089733107690321E-2</c:v>
                </c:pt>
                <c:pt idx="33">
                  <c:v>1.0419271726930296E-2</c:v>
                </c:pt>
                <c:pt idx="34">
                  <c:v>1.4211460265338604E-2</c:v>
                </c:pt>
                <c:pt idx="35">
                  <c:v>1.2420490664065401E-2</c:v>
                </c:pt>
                <c:pt idx="36">
                  <c:v>1.0703585330451449E-2</c:v>
                </c:pt>
                <c:pt idx="37">
                  <c:v>1.4803729350909327E-2</c:v>
                </c:pt>
                <c:pt idx="38">
                  <c:v>1.550215985786396E-2</c:v>
                </c:pt>
                <c:pt idx="39">
                  <c:v>8.9211689518890414E-2</c:v>
                </c:pt>
                <c:pt idx="40">
                  <c:v>0.33629979531302323</c:v>
                </c:pt>
                <c:pt idx="41">
                  <c:v>1.3222917044287359</c:v>
                </c:pt>
                <c:pt idx="42">
                  <c:v>0.2669145493974534</c:v>
                </c:pt>
                <c:pt idx="43">
                  <c:v>5.2864609042417979E-2</c:v>
                </c:pt>
                <c:pt idx="44">
                  <c:v>1.8238226829268601E-2</c:v>
                </c:pt>
                <c:pt idx="45">
                  <c:v>1.9564054731901728E-2</c:v>
                </c:pt>
                <c:pt idx="46">
                  <c:v>1.8892454684406857E-2</c:v>
                </c:pt>
                <c:pt idx="47">
                  <c:v>1.254078755110781E-2</c:v>
                </c:pt>
                <c:pt idx="48">
                  <c:v>8.4126589044335495E-2</c:v>
                </c:pt>
                <c:pt idx="49">
                  <c:v>8.8158068491430777E-2</c:v>
                </c:pt>
                <c:pt idx="50">
                  <c:v>9.0407561698688368E-2</c:v>
                </c:pt>
                <c:pt idx="51">
                  <c:v>8.1499939770841329E-2</c:v>
                </c:pt>
                <c:pt idx="52">
                  <c:v>5.7004626133902711E-2</c:v>
                </c:pt>
                <c:pt idx="53">
                  <c:v>2.5604788774398476E-2</c:v>
                </c:pt>
                <c:pt idx="54">
                  <c:v>2.885765034546962E-2</c:v>
                </c:pt>
                <c:pt idx="55">
                  <c:v>2.1716233359142495E-2</c:v>
                </c:pt>
                <c:pt idx="56">
                  <c:v>2.64159585864648E-2</c:v>
                </c:pt>
                <c:pt idx="57">
                  <c:v>2.9535966313227555E-2</c:v>
                </c:pt>
                <c:pt idx="58">
                  <c:v>2.4345761084603703E-2</c:v>
                </c:pt>
                <c:pt idx="59">
                  <c:v>2.4370525644797421E-2</c:v>
                </c:pt>
                <c:pt idx="60">
                  <c:v>3.2128151622921514E-2</c:v>
                </c:pt>
                <c:pt idx="61">
                  <c:v>2.454503316849373E-2</c:v>
                </c:pt>
                <c:pt idx="62">
                  <c:v>4.1660768693116419E-2</c:v>
                </c:pt>
                <c:pt idx="63">
                  <c:v>8.2967796483855077E-2</c:v>
                </c:pt>
                <c:pt idx="64">
                  <c:v>0.18034973554238784</c:v>
                </c:pt>
                <c:pt idx="65">
                  <c:v>0.24956082663784473</c:v>
                </c:pt>
                <c:pt idx="66">
                  <c:v>0.21585018487053131</c:v>
                </c:pt>
                <c:pt idx="67">
                  <c:v>4.390587800198803E-2</c:v>
                </c:pt>
                <c:pt idx="68">
                  <c:v>4.0056621983287501E-2</c:v>
                </c:pt>
                <c:pt idx="69">
                  <c:v>7.9574040262150023E-2</c:v>
                </c:pt>
                <c:pt idx="70">
                  <c:v>8.861365472770133E-2</c:v>
                </c:pt>
                <c:pt idx="71">
                  <c:v>7.3838193693588391E-2</c:v>
                </c:pt>
                <c:pt idx="72">
                  <c:v>1.8657639828853018E-2</c:v>
                </c:pt>
                <c:pt idx="73">
                  <c:v>1.7948380128651777E-2</c:v>
                </c:pt>
                <c:pt idx="74">
                  <c:v>1.8337115918714397E-2</c:v>
                </c:pt>
                <c:pt idx="75">
                  <c:v>1.8797448114633523E-2</c:v>
                </c:pt>
                <c:pt idx="76">
                  <c:v>1.6318449368984651E-2</c:v>
                </c:pt>
                <c:pt idx="77">
                  <c:v>1.4694483109262397E-2</c:v>
                </c:pt>
                <c:pt idx="78">
                  <c:v>1.8400784740712901E-2</c:v>
                </c:pt>
                <c:pt idx="79">
                  <c:v>1.8688485047842075E-2</c:v>
                </c:pt>
                <c:pt idx="80">
                  <c:v>3.5712164192926124E-2</c:v>
                </c:pt>
                <c:pt idx="81">
                  <c:v>1.6716468524624661E-2</c:v>
                </c:pt>
                <c:pt idx="82">
                  <c:v>1.4510579970305691E-2</c:v>
                </c:pt>
                <c:pt idx="83">
                  <c:v>1.7931480379787038E-2</c:v>
                </c:pt>
                <c:pt idx="84">
                  <c:v>1.8488544777873015E-2</c:v>
                </c:pt>
                <c:pt idx="85">
                  <c:v>2.5136552547761072E-2</c:v>
                </c:pt>
                <c:pt idx="86">
                  <c:v>2.0274630152870628E-2</c:v>
                </c:pt>
                <c:pt idx="87">
                  <c:v>2.0405669619906659E-2</c:v>
                </c:pt>
                <c:pt idx="88">
                  <c:v>0.35387047257620707</c:v>
                </c:pt>
                <c:pt idx="89">
                  <c:v>0.96798742789383452</c:v>
                </c:pt>
                <c:pt idx="90">
                  <c:v>0.55963265111634575</c:v>
                </c:pt>
                <c:pt idx="91">
                  <c:v>6.4038513615362322E-2</c:v>
                </c:pt>
                <c:pt idx="92">
                  <c:v>5.9716470515998335E-2</c:v>
                </c:pt>
                <c:pt idx="93">
                  <c:v>3.4355517825398682E-2</c:v>
                </c:pt>
                <c:pt idx="94">
                  <c:v>2.4187673443582219E-2</c:v>
                </c:pt>
                <c:pt idx="95">
                  <c:v>1.5504479364748826E-2</c:v>
                </c:pt>
                <c:pt idx="96">
                  <c:v>1.9541676960182424E-2</c:v>
                </c:pt>
                <c:pt idx="97">
                  <c:v>1.7338148277062312E-2</c:v>
                </c:pt>
                <c:pt idx="98">
                  <c:v>1.5466279076575501E-2</c:v>
                </c:pt>
                <c:pt idx="99">
                  <c:v>1.5741260377117809E-2</c:v>
                </c:pt>
                <c:pt idx="100">
                  <c:v>2.1086924621099186E-2</c:v>
                </c:pt>
                <c:pt idx="101">
                  <c:v>1.592029984097755E-2</c:v>
                </c:pt>
                <c:pt idx="102">
                  <c:v>2.351856235451931E-2</c:v>
                </c:pt>
                <c:pt idx="103">
                  <c:v>2.2114464886922664E-2</c:v>
                </c:pt>
                <c:pt idx="104">
                  <c:v>2.4964726678822324E-2</c:v>
                </c:pt>
                <c:pt idx="105">
                  <c:v>2.16447550353281E-2</c:v>
                </c:pt>
                <c:pt idx="106">
                  <c:v>1.687090098406531E-2</c:v>
                </c:pt>
                <c:pt idx="107">
                  <c:v>1.7612664350135535E-2</c:v>
                </c:pt>
                <c:pt idx="108">
                  <c:v>1.9134538699449321E-2</c:v>
                </c:pt>
                <c:pt idx="109">
                  <c:v>1.8127422498347381E-2</c:v>
                </c:pt>
                <c:pt idx="110">
                  <c:v>3.2578623294543092E-2</c:v>
                </c:pt>
                <c:pt idx="111">
                  <c:v>0.12269714735046029</c:v>
                </c:pt>
                <c:pt idx="112">
                  <c:v>0.16516651665166548</c:v>
                </c:pt>
                <c:pt idx="113">
                  <c:v>0.36281171369732101</c:v>
                </c:pt>
                <c:pt idx="114">
                  <c:v>0.38909960647806041</c:v>
                </c:pt>
                <c:pt idx="115">
                  <c:v>5.7191541747047769E-2</c:v>
                </c:pt>
                <c:pt idx="116">
                  <c:v>4.6622383757362988E-2</c:v>
                </c:pt>
                <c:pt idx="117">
                  <c:v>2.5665177137183293E-2</c:v>
                </c:pt>
                <c:pt idx="118">
                  <c:v>2.0389081367873121E-2</c:v>
                </c:pt>
                <c:pt idx="119">
                  <c:v>1.8916672689166695E-2</c:v>
                </c:pt>
                <c:pt idx="120">
                  <c:v>6.7965083473359889E-2</c:v>
                </c:pt>
                <c:pt idx="121">
                  <c:v>5.8734413465302643E-2</c:v>
                </c:pt>
                <c:pt idx="122">
                  <c:v>6.4393838329438235E-2</c:v>
                </c:pt>
                <c:pt idx="123">
                  <c:v>5.8632389956440323E-2</c:v>
                </c:pt>
                <c:pt idx="124">
                  <c:v>4.9500256283758641E-2</c:v>
                </c:pt>
                <c:pt idx="125">
                  <c:v>3.6324588559255688E-2</c:v>
                </c:pt>
                <c:pt idx="126">
                  <c:v>3.0878586776401637E-2</c:v>
                </c:pt>
                <c:pt idx="127">
                  <c:v>2.6454709514491657E-2</c:v>
                </c:pt>
                <c:pt idx="128">
                  <c:v>1.9085018871988393E-2</c:v>
                </c:pt>
                <c:pt idx="129">
                  <c:v>3.5010267929152683E-2</c:v>
                </c:pt>
                <c:pt idx="130">
                  <c:v>2.5432393667596941E-2</c:v>
                </c:pt>
                <c:pt idx="131">
                  <c:v>3.5548921115281171E-2</c:v>
                </c:pt>
                <c:pt idx="132">
                  <c:v>2.7576110566258673E-2</c:v>
                </c:pt>
                <c:pt idx="133">
                  <c:v>2.9177189430465461E-2</c:v>
                </c:pt>
                <c:pt idx="134">
                  <c:v>4.18171252487686E-2</c:v>
                </c:pt>
                <c:pt idx="135">
                  <c:v>8.9071592308919201E-2</c:v>
                </c:pt>
                <c:pt idx="136">
                  <c:v>0.2777492370184288</c:v>
                </c:pt>
                <c:pt idx="137">
                  <c:v>0.58066301936708442</c:v>
                </c:pt>
                <c:pt idx="138">
                  <c:v>0.45125116562037637</c:v>
                </c:pt>
                <c:pt idx="139">
                  <c:v>6.4835835082772436E-2</c:v>
                </c:pt>
                <c:pt idx="140">
                  <c:v>3.2842960287189714E-2</c:v>
                </c:pt>
                <c:pt idx="141">
                  <c:v>6.6439532581303098E-2</c:v>
                </c:pt>
                <c:pt idx="142">
                  <c:v>7.4071346244294775E-2</c:v>
                </c:pt>
                <c:pt idx="143">
                  <c:v>8.4243676931804456E-2</c:v>
                </c:pt>
                <c:pt idx="144">
                  <c:v>5.1600963077638215E-2</c:v>
                </c:pt>
                <c:pt idx="145">
                  <c:v>6.2681671455415547E-2</c:v>
                </c:pt>
                <c:pt idx="146">
                  <c:v>6.6827678247639508E-2</c:v>
                </c:pt>
                <c:pt idx="147">
                  <c:v>4.8794563327163309E-2</c:v>
                </c:pt>
                <c:pt idx="148">
                  <c:v>3.6997805468406711E-2</c:v>
                </c:pt>
                <c:pt idx="149">
                  <c:v>2.7064655763846732E-2</c:v>
                </c:pt>
                <c:pt idx="150">
                  <c:v>4.3075272221929632E-2</c:v>
                </c:pt>
                <c:pt idx="151">
                  <c:v>0.31705364940028585</c:v>
                </c:pt>
                <c:pt idx="152">
                  <c:v>0.5460153917764804</c:v>
                </c:pt>
                <c:pt idx="153">
                  <c:v>4.0119849386500296E-2</c:v>
                </c:pt>
                <c:pt idx="154">
                  <c:v>2.456983776069992E-2</c:v>
                </c:pt>
                <c:pt idx="155">
                  <c:v>2.6240975447952664E-2</c:v>
                </c:pt>
                <c:pt idx="156">
                  <c:v>3.0595567773760761E-2</c:v>
                </c:pt>
                <c:pt idx="157">
                  <c:v>3.8570393360587943E-2</c:v>
                </c:pt>
                <c:pt idx="158">
                  <c:v>3.2905844445593829E-2</c:v>
                </c:pt>
                <c:pt idx="159">
                  <c:v>8.4985093062831016E-2</c:v>
                </c:pt>
                <c:pt idx="160">
                  <c:v>0.7105561807208185</c:v>
                </c:pt>
                <c:pt idx="161">
                  <c:v>0.9120442913921033</c:v>
                </c:pt>
                <c:pt idx="162">
                  <c:v>1.0064228661926118</c:v>
                </c:pt>
                <c:pt idx="163">
                  <c:v>6.6431878229907926E-2</c:v>
                </c:pt>
                <c:pt idx="164">
                  <c:v>3.0070029423486539E-2</c:v>
                </c:pt>
                <c:pt idx="165">
                  <c:v>3.4694611785296148E-2</c:v>
                </c:pt>
                <c:pt idx="166">
                  <c:v>2.9735264745267321E-2</c:v>
                </c:pt>
                <c:pt idx="167">
                  <c:v>4.4788817023749601E-2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7-466E-A519-FA6B83B8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243984"/>
        <c:axId val="1108236496"/>
      </c:scatterChart>
      <c:valAx>
        <c:axId val="11082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36496"/>
        <c:crosses val="autoZero"/>
        <c:crossBetween val="midCat"/>
      </c:valAx>
      <c:valAx>
        <c:axId val="11082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439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&gt; 62 MPH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 by Ave Sp'!$B$323:$B$538</c:f>
              <c:numCache>
                <c:formatCode>General</c:formatCode>
                <c:ptCount val="216"/>
                <c:pt idx="0">
                  <c:v>5.3782290743320249E-2</c:v>
                </c:pt>
                <c:pt idx="1">
                  <c:v>3.9500777408917095E-2</c:v>
                </c:pt>
                <c:pt idx="2">
                  <c:v>3.2749894000423996E-2</c:v>
                </c:pt>
                <c:pt idx="3">
                  <c:v>4.8758772114132036E-2</c:v>
                </c:pt>
                <c:pt idx="4">
                  <c:v>0.1169842837332437</c:v>
                </c:pt>
                <c:pt idx="5">
                  <c:v>0.35719286977762799</c:v>
                </c:pt>
                <c:pt idx="6">
                  <c:v>0.80266817290031722</c:v>
                </c:pt>
                <c:pt idx="7">
                  <c:v>1.0015212264150943</c:v>
                </c:pt>
                <c:pt idx="8">
                  <c:v>0.92330121441575641</c:v>
                </c:pt>
                <c:pt idx="9">
                  <c:v>0.70477529545925766</c:v>
                </c:pt>
                <c:pt idx="10">
                  <c:v>0.58431074964040952</c:v>
                </c:pt>
                <c:pt idx="11">
                  <c:v>0.58387315376077864</c:v>
                </c:pt>
                <c:pt idx="12">
                  <c:v>0.58230541109726219</c:v>
                </c:pt>
                <c:pt idx="13">
                  <c:v>0.57872726691937471</c:v>
                </c:pt>
                <c:pt idx="14">
                  <c:v>0.59602444932980447</c:v>
                </c:pt>
                <c:pt idx="15">
                  <c:v>0.65221365708496903</c:v>
                </c:pt>
                <c:pt idx="16">
                  <c:v>0.67952290802944415</c:v>
                </c:pt>
                <c:pt idx="17">
                  <c:v>0.69641836713490146</c:v>
                </c:pt>
                <c:pt idx="18">
                  <c:v>0.5901111859838275</c:v>
                </c:pt>
                <c:pt idx="19">
                  <c:v>0.39892722520721396</c:v>
                </c:pt>
                <c:pt idx="20">
                  <c:v>0.32445660167247975</c:v>
                </c:pt>
                <c:pt idx="21">
                  <c:v>0.27173236623018032</c:v>
                </c:pt>
                <c:pt idx="22">
                  <c:v>0.19009831460674156</c:v>
                </c:pt>
                <c:pt idx="23">
                  <c:v>0.10487912735849056</c:v>
                </c:pt>
                <c:pt idx="24">
                  <c:v>7.854581573467824E-2</c:v>
                </c:pt>
                <c:pt idx="25">
                  <c:v>4.6843177189409377E-2</c:v>
                </c:pt>
                <c:pt idx="26">
                  <c:v>3.5050382541171793E-2</c:v>
                </c:pt>
                <c:pt idx="27">
                  <c:v>4.1593523814707781E-2</c:v>
                </c:pt>
                <c:pt idx="28">
                  <c:v>9.2974203820211487E-2</c:v>
                </c:pt>
                <c:pt idx="29">
                  <c:v>0.27067270390844733</c:v>
                </c:pt>
                <c:pt idx="30">
                  <c:v>0.69781284357370787</c:v>
                </c:pt>
                <c:pt idx="31">
                  <c:v>0.97429131779437228</c:v>
                </c:pt>
                <c:pt idx="32">
                  <c:v>0.89440701864327099</c:v>
                </c:pt>
                <c:pt idx="33">
                  <c:v>0.73798864135944897</c:v>
                </c:pt>
                <c:pt idx="34">
                  <c:v>0.64551980905161732</c:v>
                </c:pt>
                <c:pt idx="35">
                  <c:v>0.67392672364354467</c:v>
                </c:pt>
                <c:pt idx="36">
                  <c:v>0.69791880765086534</c:v>
                </c:pt>
                <c:pt idx="37">
                  <c:v>0.69242279396483641</c:v>
                </c:pt>
                <c:pt idx="38">
                  <c:v>0.73857489102487306</c:v>
                </c:pt>
                <c:pt idx="39">
                  <c:v>0.85773839831248144</c:v>
                </c:pt>
                <c:pt idx="40">
                  <c:v>0.94416690260260239</c:v>
                </c:pt>
                <c:pt idx="41">
                  <c:v>0.9998863537806798</c:v>
                </c:pt>
                <c:pt idx="42">
                  <c:v>0.81344643136903771</c:v>
                </c:pt>
                <c:pt idx="43">
                  <c:v>0.52932775237572871</c:v>
                </c:pt>
                <c:pt idx="44">
                  <c:v>0.41798701799427579</c:v>
                </c:pt>
                <c:pt idx="45">
                  <c:v>0.35409021715399919</c:v>
                </c:pt>
                <c:pt idx="46">
                  <c:v>0.24985749428843185</c:v>
                </c:pt>
                <c:pt idx="47">
                  <c:v>0.14570585476022413</c:v>
                </c:pt>
                <c:pt idx="48">
                  <c:v>3.328927655419308E-2</c:v>
                </c:pt>
                <c:pt idx="49">
                  <c:v>5.5806650608982974E-2</c:v>
                </c:pt>
                <c:pt idx="50">
                  <c:v>4.5068462151295653E-2</c:v>
                </c:pt>
                <c:pt idx="51">
                  <c:v>6.6081398196455601E-2</c:v>
                </c:pt>
                <c:pt idx="52">
                  <c:v>0.14792322409430367</c:v>
                </c:pt>
                <c:pt idx="53">
                  <c:v>0.45006480281429384</c:v>
                </c:pt>
                <c:pt idx="54">
                  <c:v>0.99630623958526232</c:v>
                </c:pt>
                <c:pt idx="55">
                  <c:v>1.3018725437072187</c:v>
                </c:pt>
                <c:pt idx="56">
                  <c:v>1.2063256076967412</c:v>
                </c:pt>
                <c:pt idx="57">
                  <c:v>0.8931610103355726</c:v>
                </c:pt>
                <c:pt idx="58">
                  <c:v>0.73479254941436178</c:v>
                </c:pt>
                <c:pt idx="59">
                  <c:v>0.72999440271303839</c:v>
                </c:pt>
                <c:pt idx="60">
                  <c:v>0.73282767984643138</c:v>
                </c:pt>
                <c:pt idx="61">
                  <c:v>0.73468539632386098</c:v>
                </c:pt>
                <c:pt idx="62">
                  <c:v>0.74431452607746984</c:v>
                </c:pt>
                <c:pt idx="63">
                  <c:v>0.78855463924409874</c:v>
                </c:pt>
                <c:pt idx="64">
                  <c:v>0.82227528462516897</c:v>
                </c:pt>
                <c:pt idx="65">
                  <c:v>0.81852862223384881</c:v>
                </c:pt>
                <c:pt idx="66">
                  <c:v>0.72873984382507717</c:v>
                </c:pt>
                <c:pt idx="67">
                  <c:v>0.52577300499907442</c:v>
                </c:pt>
                <c:pt idx="68">
                  <c:v>0.43115795789665756</c:v>
                </c:pt>
                <c:pt idx="69">
                  <c:v>0.37737745632470227</c:v>
                </c:pt>
                <c:pt idx="70">
                  <c:v>0.29748439104491103</c:v>
                </c:pt>
                <c:pt idx="71">
                  <c:v>0.17288718095856279</c:v>
                </c:pt>
                <c:pt idx="72">
                  <c:v>4.9549797422327256E-2</c:v>
                </c:pt>
                <c:pt idx="73">
                  <c:v>3.4241865190770278E-2</c:v>
                </c:pt>
                <c:pt idx="74">
                  <c:v>2.8516676355963215E-2</c:v>
                </c:pt>
                <c:pt idx="75">
                  <c:v>4.424647364513732E-2</c:v>
                </c:pt>
                <c:pt idx="76">
                  <c:v>0.10190081801238568</c:v>
                </c:pt>
                <c:pt idx="77">
                  <c:v>0.31396079187969617</c:v>
                </c:pt>
                <c:pt idx="78">
                  <c:v>0.73153732872326727</c:v>
                </c:pt>
                <c:pt idx="79">
                  <c:v>0.96511389332001241</c:v>
                </c:pt>
                <c:pt idx="80">
                  <c:v>0.88947568246838304</c:v>
                </c:pt>
                <c:pt idx="81">
                  <c:v>0.64230998533700712</c:v>
                </c:pt>
                <c:pt idx="82">
                  <c:v>0.51687983119092173</c:v>
                </c:pt>
                <c:pt idx="83">
                  <c:v>0.51355678918434811</c:v>
                </c:pt>
                <c:pt idx="84">
                  <c:v>0.51690778369610468</c:v>
                </c:pt>
                <c:pt idx="85">
                  <c:v>0.51271644136034777</c:v>
                </c:pt>
                <c:pt idx="86">
                  <c:v>0.52215442085252384</c:v>
                </c:pt>
                <c:pt idx="87">
                  <c:v>0.54802044649336268</c:v>
                </c:pt>
                <c:pt idx="88">
                  <c:v>0.57591240875912375</c:v>
                </c:pt>
                <c:pt idx="89">
                  <c:v>0.58292461689503483</c:v>
                </c:pt>
                <c:pt idx="90">
                  <c:v>0.50419032170857003</c:v>
                </c:pt>
                <c:pt idx="91">
                  <c:v>0.3411860121177423</c:v>
                </c:pt>
                <c:pt idx="92">
                  <c:v>0.27807045382418266</c:v>
                </c:pt>
                <c:pt idx="93">
                  <c:v>0.23611146069301117</c:v>
                </c:pt>
                <c:pt idx="94">
                  <c:v>0.17452161625176615</c:v>
                </c:pt>
                <c:pt idx="95">
                  <c:v>0.10105079739478745</c:v>
                </c:pt>
                <c:pt idx="96">
                  <c:v>8.8038673405576945E-2</c:v>
                </c:pt>
                <c:pt idx="97">
                  <c:v>5.4564889947038529E-2</c:v>
                </c:pt>
                <c:pt idx="98">
                  <c:v>4.3478104560281665E-2</c:v>
                </c:pt>
                <c:pt idx="99">
                  <c:v>5.7201763167511625E-2</c:v>
                </c:pt>
                <c:pt idx="100">
                  <c:v>0.11934829938612916</c:v>
                </c:pt>
                <c:pt idx="101">
                  <c:v>0.36444056845079026</c:v>
                </c:pt>
                <c:pt idx="102">
                  <c:v>0.79130700065744974</c:v>
                </c:pt>
                <c:pt idx="103">
                  <c:v>1.1005848190425289</c:v>
                </c:pt>
                <c:pt idx="104">
                  <c:v>1.0468088162235087</c:v>
                </c:pt>
                <c:pt idx="105">
                  <c:v>0.8866810367612078</c:v>
                </c:pt>
                <c:pt idx="106">
                  <c:v>0.77020647050043101</c:v>
                </c:pt>
                <c:pt idx="107">
                  <c:v>0.79465599671994314</c:v>
                </c:pt>
                <c:pt idx="108">
                  <c:v>0.80008973271419392</c:v>
                </c:pt>
                <c:pt idx="109">
                  <c:v>0.81705128158514428</c:v>
                </c:pt>
                <c:pt idx="110">
                  <c:v>0.84422635559177828</c:v>
                </c:pt>
                <c:pt idx="111">
                  <c:v>0.92753707910208449</c:v>
                </c:pt>
                <c:pt idx="112">
                  <c:v>0.97868217518748524</c:v>
                </c:pt>
                <c:pt idx="113">
                  <c:v>0.98729153765919431</c:v>
                </c:pt>
                <c:pt idx="114">
                  <c:v>0.85165598698468825</c:v>
                </c:pt>
                <c:pt idx="115">
                  <c:v>0.59336710073469467</c:v>
                </c:pt>
                <c:pt idx="116">
                  <c:v>0.48015603294452069</c:v>
                </c:pt>
                <c:pt idx="117">
                  <c:v>0.42825017137369142</c:v>
                </c:pt>
                <c:pt idx="118">
                  <c:v>0.30504154966378166</c:v>
                </c:pt>
                <c:pt idx="119">
                  <c:v>0.17695557734351311</c:v>
                </c:pt>
                <c:pt idx="120">
                  <c:v>7.9294352285678105E-2</c:v>
                </c:pt>
                <c:pt idx="121">
                  <c:v>4.8647136342718486E-2</c:v>
                </c:pt>
                <c:pt idx="122">
                  <c:v>3.8577220691117235E-2</c:v>
                </c:pt>
                <c:pt idx="123">
                  <c:v>4.4976782787746354E-2</c:v>
                </c:pt>
                <c:pt idx="124">
                  <c:v>0.10179329327226121</c:v>
                </c:pt>
                <c:pt idx="125">
                  <c:v>0.26758997009770891</c:v>
                </c:pt>
                <c:pt idx="126">
                  <c:v>0.58841469777926192</c:v>
                </c:pt>
                <c:pt idx="127">
                  <c:v>0.83455712788259961</c:v>
                </c:pt>
                <c:pt idx="128">
                  <c:v>0.83223875181422358</c:v>
                </c:pt>
                <c:pt idx="129">
                  <c:v>0.6926650423904912</c:v>
                </c:pt>
                <c:pt idx="130">
                  <c:v>0.58381763474067183</c:v>
                </c:pt>
                <c:pt idx="131">
                  <c:v>0.59656633118859226</c:v>
                </c:pt>
                <c:pt idx="132">
                  <c:v>0.61525628206242933</c:v>
                </c:pt>
                <c:pt idx="133">
                  <c:v>0.64066845291575758</c:v>
                </c:pt>
                <c:pt idx="134">
                  <c:v>0.67119600017075043</c:v>
                </c:pt>
                <c:pt idx="135">
                  <c:v>0.76792426507749334</c:v>
                </c:pt>
                <c:pt idx="136">
                  <c:v>0.83694422116930367</c:v>
                </c:pt>
                <c:pt idx="137">
                  <c:v>0.84879555938824702</c:v>
                </c:pt>
                <c:pt idx="138">
                  <c:v>0.74098719676549873</c:v>
                </c:pt>
                <c:pt idx="139">
                  <c:v>0.52410814694489571</c:v>
                </c:pt>
                <c:pt idx="140">
                  <c:v>0.42723478799848724</c:v>
                </c:pt>
                <c:pt idx="141">
                  <c:v>0.37901177167317757</c:v>
                </c:pt>
                <c:pt idx="142">
                  <c:v>0.27739972475522123</c:v>
                </c:pt>
                <c:pt idx="143">
                  <c:v>0.1611947602982215</c:v>
                </c:pt>
                <c:pt idx="144">
                  <c:v>9.1939015014282519E-2</c:v>
                </c:pt>
                <c:pt idx="145">
                  <c:v>5.5664649256181115E-2</c:v>
                </c:pt>
                <c:pt idx="146">
                  <c:v>4.4671682249486498E-2</c:v>
                </c:pt>
                <c:pt idx="147">
                  <c:v>5.5653099291852318E-2</c:v>
                </c:pt>
                <c:pt idx="148">
                  <c:v>0.11967683991624598</c:v>
                </c:pt>
                <c:pt idx="149">
                  <c:v>0.3698676223562648</c:v>
                </c:pt>
                <c:pt idx="150">
                  <c:v>0.86497921229005359</c:v>
                </c:pt>
                <c:pt idx="151">
                  <c:v>1.1690207256963003</c:v>
                </c:pt>
                <c:pt idx="152">
                  <c:v>1.1102789247097105</c:v>
                </c:pt>
                <c:pt idx="153">
                  <c:v>0.93386804284755232</c:v>
                </c:pt>
                <c:pt idx="154">
                  <c:v>0.79210309293309888</c:v>
                </c:pt>
                <c:pt idx="155">
                  <c:v>0.80963101801346671</c:v>
                </c:pt>
                <c:pt idx="156">
                  <c:v>0.82489739578991761</c:v>
                </c:pt>
                <c:pt idx="157">
                  <c:v>0.83419685351425443</c:v>
                </c:pt>
                <c:pt idx="158">
                  <c:v>0.87555956477891905</c:v>
                </c:pt>
                <c:pt idx="159">
                  <c:v>0.97837171680537527</c:v>
                </c:pt>
                <c:pt idx="160">
                  <c:v>1.031036531924332</c:v>
                </c:pt>
                <c:pt idx="161">
                  <c:v>1.0400890475304732</c:v>
                </c:pt>
                <c:pt idx="162">
                  <c:v>0.9078861277685436</c:v>
                </c:pt>
                <c:pt idx="163">
                  <c:v>0.6232834609344674</c:v>
                </c:pt>
                <c:pt idx="164">
                  <c:v>0.51665617162195465</c:v>
                </c:pt>
                <c:pt idx="165">
                  <c:v>0.46261981507686295</c:v>
                </c:pt>
                <c:pt idx="166">
                  <c:v>0.32505514362339732</c:v>
                </c:pt>
                <c:pt idx="167">
                  <c:v>0.18279113175067813</c:v>
                </c:pt>
                <c:pt idx="168">
                  <c:v>6.9357326258496346E-2</c:v>
                </c:pt>
                <c:pt idx="169">
                  <c:v>4.3599843129230792E-2</c:v>
                </c:pt>
                <c:pt idx="170">
                  <c:v>3.4767525815037441E-2</c:v>
                </c:pt>
                <c:pt idx="171">
                  <c:v>4.4943475369584131E-2</c:v>
                </c:pt>
                <c:pt idx="172">
                  <c:v>9.0727573447917154E-2</c:v>
                </c:pt>
                <c:pt idx="173">
                  <c:v>0.29908467113817488</c:v>
                </c:pt>
                <c:pt idx="174">
                  <c:v>0.72536299201761611</c:v>
                </c:pt>
                <c:pt idx="175">
                  <c:v>1.0519484802721806</c:v>
                </c:pt>
                <c:pt idx="176">
                  <c:v>1.0284054019809596</c:v>
                </c:pt>
                <c:pt idx="177">
                  <c:v>0.78376199819695602</c:v>
                </c:pt>
                <c:pt idx="178">
                  <c:v>0.6417556875030036</c:v>
                </c:pt>
                <c:pt idx="179">
                  <c:v>0.63838150289017359</c:v>
                </c:pt>
                <c:pt idx="180">
                  <c:v>0.62364734676873368</c:v>
                </c:pt>
                <c:pt idx="181">
                  <c:v>0.62159771982632306</c:v>
                </c:pt>
                <c:pt idx="182">
                  <c:v>0.63442910574634426</c:v>
                </c:pt>
                <c:pt idx="183">
                  <c:v>0.66835160454454834</c:v>
                </c:pt>
                <c:pt idx="184">
                  <c:v>0.69184270845566076</c:v>
                </c:pt>
                <c:pt idx="185">
                  <c:v>0.69621760488812512</c:v>
                </c:pt>
                <c:pt idx="186">
                  <c:v>0.60494569584489044</c:v>
                </c:pt>
                <c:pt idx="187">
                  <c:v>0.44733519130195465</c:v>
                </c:pt>
                <c:pt idx="188">
                  <c:v>0.36326268464996792</c:v>
                </c:pt>
                <c:pt idx="189">
                  <c:v>0.32147601090828443</c:v>
                </c:pt>
                <c:pt idx="190">
                  <c:v>0.25332620032446523</c:v>
                </c:pt>
                <c:pt idx="191">
                  <c:v>0.14716806304258406</c:v>
                </c:pt>
                <c:pt idx="192">
                  <c:v>6.1398404262197538E-2</c:v>
                </c:pt>
                <c:pt idx="193">
                  <c:v>4.1407835581245986E-2</c:v>
                </c:pt>
                <c:pt idx="194">
                  <c:v>3.3425146448384235E-2</c:v>
                </c:pt>
                <c:pt idx="195">
                  <c:v>3.9397333401993709E-2</c:v>
                </c:pt>
                <c:pt idx="196">
                  <c:v>7.5166061044945304E-2</c:v>
                </c:pt>
                <c:pt idx="197">
                  <c:v>0.22885528488852194</c:v>
                </c:pt>
                <c:pt idx="198">
                  <c:v>0.53514587276416525</c:v>
                </c:pt>
                <c:pt idx="199">
                  <c:v>0.79528152429886556</c:v>
                </c:pt>
                <c:pt idx="200">
                  <c:v>0.79264519680704659</c:v>
                </c:pt>
                <c:pt idx="201">
                  <c:v>0.61237384668924477</c:v>
                </c:pt>
                <c:pt idx="202">
                  <c:v>0.52274899124739727</c:v>
                </c:pt>
                <c:pt idx="203">
                  <c:v>0.52452418940008239</c:v>
                </c:pt>
                <c:pt idx="204">
                  <c:v>0.52117008232615203</c:v>
                </c:pt>
                <c:pt idx="205">
                  <c:v>0.51667434746160701</c:v>
                </c:pt>
                <c:pt idx="206">
                  <c:v>0.54929234541951266</c:v>
                </c:pt>
                <c:pt idx="207">
                  <c:v>0.59894048527326205</c:v>
                </c:pt>
                <c:pt idx="208">
                  <c:v>0.6295566672714864</c:v>
                </c:pt>
                <c:pt idx="209">
                  <c:v>0.620821184374307</c:v>
                </c:pt>
                <c:pt idx="210">
                  <c:v>0.50692921721823436</c:v>
                </c:pt>
                <c:pt idx="211">
                  <c:v>0.36896221720323075</c:v>
                </c:pt>
                <c:pt idx="212">
                  <c:v>0.30350468392617314</c:v>
                </c:pt>
                <c:pt idx="213">
                  <c:v>0.27177582972859188</c:v>
                </c:pt>
                <c:pt idx="214">
                  <c:v>0.19456467165312769</c:v>
                </c:pt>
                <c:pt idx="215">
                  <c:v>0.11486344515475928</c:v>
                </c:pt>
              </c:numCache>
            </c:numRef>
          </c:xVal>
          <c:yVal>
            <c:numRef>
              <c:f>'Sort by Ave Sp'!$C$323:$C$538</c:f>
              <c:numCache>
                <c:formatCode>General</c:formatCode>
                <c:ptCount val="216"/>
                <c:pt idx="0">
                  <c:v>7.909486617541156E-2</c:v>
                </c:pt>
                <c:pt idx="1">
                  <c:v>7.0602581472342232E-2</c:v>
                </c:pt>
                <c:pt idx="2">
                  <c:v>7.2696751804517915E-2</c:v>
                </c:pt>
                <c:pt idx="3">
                  <c:v>6.1328980100564451E-2</c:v>
                </c:pt>
                <c:pt idx="4">
                  <c:v>4.9501404162638415E-2</c:v>
                </c:pt>
                <c:pt idx="5">
                  <c:v>2.4432098988354533E-2</c:v>
                </c:pt>
                <c:pt idx="6">
                  <c:v>5.9099843719927297E-2</c:v>
                </c:pt>
                <c:pt idx="7">
                  <c:v>0.19262056900188021</c:v>
                </c:pt>
                <c:pt idx="8">
                  <c:v>0.3100640234214242</c:v>
                </c:pt>
                <c:pt idx="9">
                  <c:v>8.0099349508615178E-2</c:v>
                </c:pt>
                <c:pt idx="10">
                  <c:v>2.9806582810661186E-2</c:v>
                </c:pt>
                <c:pt idx="11">
                  <c:v>3.7672292972328242E-2</c:v>
                </c:pt>
                <c:pt idx="12">
                  <c:v>3.6821239997633419E-2</c:v>
                </c:pt>
                <c:pt idx="13">
                  <c:v>3.5769034474023437E-2</c:v>
                </c:pt>
                <c:pt idx="14">
                  <c:v>5.9241047465684891E-2</c:v>
                </c:pt>
                <c:pt idx="15">
                  <c:v>5.5329533762213175E-2</c:v>
                </c:pt>
                <c:pt idx="16">
                  <c:v>4.5948702411092168E-2</c:v>
                </c:pt>
                <c:pt idx="17">
                  <c:v>4.7722622085931823E-2</c:v>
                </c:pt>
                <c:pt idx="18">
                  <c:v>5.4451327327924501E-2</c:v>
                </c:pt>
                <c:pt idx="19">
                  <c:v>3.3725972754913611E-2</c:v>
                </c:pt>
                <c:pt idx="20">
                  <c:v>3.493959265139799E-2</c:v>
                </c:pt>
                <c:pt idx="21">
                  <c:v>5.9353967822408399E-2</c:v>
                </c:pt>
                <c:pt idx="22">
                  <c:v>8.2514844677636215E-2</c:v>
                </c:pt>
                <c:pt idx="23">
                  <c:v>7.3533707961712255E-2</c:v>
                </c:pt>
                <c:pt idx="24">
                  <c:v>3.5041794776466448E-2</c:v>
                </c:pt>
                <c:pt idx="25">
                  <c:v>4.567151054965933E-2</c:v>
                </c:pt>
                <c:pt idx="26">
                  <c:v>4.3931535718020526E-2</c:v>
                </c:pt>
                <c:pt idx="27">
                  <c:v>3.3938057875510144E-2</c:v>
                </c:pt>
                <c:pt idx="28">
                  <c:v>2.5947014492635354E-2</c:v>
                </c:pt>
                <c:pt idx="29">
                  <c:v>3.2322023056779052E-2</c:v>
                </c:pt>
                <c:pt idx="30">
                  <c:v>4.5792656955447278E-2</c:v>
                </c:pt>
                <c:pt idx="31">
                  <c:v>0.26512183994840044</c:v>
                </c:pt>
                <c:pt idx="32">
                  <c:v>0.97377665590568241</c:v>
                </c:pt>
                <c:pt idx="33">
                  <c:v>0.14337135220750277</c:v>
                </c:pt>
                <c:pt idx="34">
                  <c:v>2.2509182475192378E-2</c:v>
                </c:pt>
                <c:pt idx="35">
                  <c:v>2.3057241420906375E-2</c:v>
                </c:pt>
                <c:pt idx="36">
                  <c:v>3.3379983510182024E-2</c:v>
                </c:pt>
                <c:pt idx="37">
                  <c:v>2.7635453304299475E-2</c:v>
                </c:pt>
                <c:pt idx="38">
                  <c:v>3.1017154340251103E-2</c:v>
                </c:pt>
                <c:pt idx="39">
                  <c:v>5.3588180112570258E-2</c:v>
                </c:pt>
                <c:pt idx="40">
                  <c:v>7.1642929076983344E-2</c:v>
                </c:pt>
                <c:pt idx="41">
                  <c:v>0.1687315501296518</c:v>
                </c:pt>
                <c:pt idx="42">
                  <c:v>7.345454427651861E-2</c:v>
                </c:pt>
                <c:pt idx="43">
                  <c:v>5.144107643015268E-2</c:v>
                </c:pt>
                <c:pt idx="44">
                  <c:v>5.1250860562262829E-2</c:v>
                </c:pt>
                <c:pt idx="45">
                  <c:v>5.3488245999754623E-2</c:v>
                </c:pt>
                <c:pt idx="46">
                  <c:v>4.7770402071974832E-2</c:v>
                </c:pt>
                <c:pt idx="47">
                  <c:v>3.5706835447034041E-2</c:v>
                </c:pt>
                <c:pt idx="48">
                  <c:v>0.13893653516294965</c:v>
                </c:pt>
                <c:pt idx="49">
                  <c:v>0.12827218702421228</c:v>
                </c:pt>
                <c:pt idx="50">
                  <c:v>0.1844669827396539</c:v>
                </c:pt>
                <c:pt idx="51">
                  <c:v>0.118323814976123</c:v>
                </c:pt>
                <c:pt idx="52">
                  <c:v>8.8134149448823904E-2</c:v>
                </c:pt>
                <c:pt idx="53">
                  <c:v>1.9679202717108133E-2</c:v>
                </c:pt>
                <c:pt idx="54">
                  <c:v>2.7670317250307788E-2</c:v>
                </c:pt>
                <c:pt idx="55">
                  <c:v>0.12604303908651698</c:v>
                </c:pt>
                <c:pt idx="56">
                  <c:v>0.19808360393361099</c:v>
                </c:pt>
                <c:pt idx="57">
                  <c:v>3.3719125636587043E-2</c:v>
                </c:pt>
                <c:pt idx="58">
                  <c:v>2.1430285941388301E-2</c:v>
                </c:pt>
                <c:pt idx="59">
                  <c:v>1.890708599435895E-2</c:v>
                </c:pt>
                <c:pt idx="60">
                  <c:v>2.0476113447643402E-2</c:v>
                </c:pt>
                <c:pt idx="61">
                  <c:v>2.738044915935979E-2</c:v>
                </c:pt>
                <c:pt idx="62">
                  <c:v>2.729174878761223E-2</c:v>
                </c:pt>
                <c:pt idx="63">
                  <c:v>4.6483180428134575E-2</c:v>
                </c:pt>
                <c:pt idx="64">
                  <c:v>2.3500377862843695E-2</c:v>
                </c:pt>
                <c:pt idx="65">
                  <c:v>3.0417370785446218E-2</c:v>
                </c:pt>
                <c:pt idx="66">
                  <c:v>3.8568980015871175E-2</c:v>
                </c:pt>
                <c:pt idx="67">
                  <c:v>6.8127718093164105E-2</c:v>
                </c:pt>
                <c:pt idx="68">
                  <c:v>2.5666241646546312E-2</c:v>
                </c:pt>
                <c:pt idx="69">
                  <c:v>6.4509278529469805E-2</c:v>
                </c:pt>
                <c:pt idx="70">
                  <c:v>9.8862365101372446E-2</c:v>
                </c:pt>
                <c:pt idx="71">
                  <c:v>9.445756165467914E-2</c:v>
                </c:pt>
                <c:pt idx="72">
                  <c:v>0.11350337302333288</c:v>
                </c:pt>
                <c:pt idx="73">
                  <c:v>0.10271130049702273</c:v>
                </c:pt>
                <c:pt idx="74">
                  <c:v>0.11335712633422564</c:v>
                </c:pt>
                <c:pt idx="75">
                  <c:v>0.10946339799153375</c:v>
                </c:pt>
                <c:pt idx="76">
                  <c:v>7.4679301450955235E-2</c:v>
                </c:pt>
                <c:pt idx="77">
                  <c:v>2.6481815847842625E-2</c:v>
                </c:pt>
                <c:pt idx="78">
                  <c:v>3.2319479792663773E-2</c:v>
                </c:pt>
                <c:pt idx="79">
                  <c:v>8.1859047046943828E-2</c:v>
                </c:pt>
                <c:pt idx="80">
                  <c:v>0.20282406888448828</c:v>
                </c:pt>
                <c:pt idx="81">
                  <c:v>3.6861586234109865E-2</c:v>
                </c:pt>
                <c:pt idx="82">
                  <c:v>3.3340398304862476E-2</c:v>
                </c:pt>
                <c:pt idx="83">
                  <c:v>3.0074549670055798E-2</c:v>
                </c:pt>
                <c:pt idx="84">
                  <c:v>2.6057730429991884E-2</c:v>
                </c:pt>
                <c:pt idx="85">
                  <c:v>2.7514220979991569E-2</c:v>
                </c:pt>
                <c:pt idx="86">
                  <c:v>3.2745660368492878E-2</c:v>
                </c:pt>
                <c:pt idx="87">
                  <c:v>3.6268881454952287E-2</c:v>
                </c:pt>
                <c:pt idx="88">
                  <c:v>2.5990102697440134E-2</c:v>
                </c:pt>
                <c:pt idx="89">
                  <c:v>3.3439287537181339E-2</c:v>
                </c:pt>
                <c:pt idx="90">
                  <c:v>3.113363195950156E-2</c:v>
                </c:pt>
                <c:pt idx="91">
                  <c:v>4.0817146876839246E-2</c:v>
                </c:pt>
                <c:pt idx="92">
                  <c:v>2.8726925188750047E-2</c:v>
                </c:pt>
                <c:pt idx="93">
                  <c:v>8.0342683792537298E-2</c:v>
                </c:pt>
                <c:pt idx="94">
                  <c:v>9.4496016113266523E-2</c:v>
                </c:pt>
                <c:pt idx="95">
                  <c:v>9.7509188407543704E-2</c:v>
                </c:pt>
                <c:pt idx="96">
                  <c:v>0.1237086490786551</c:v>
                </c:pt>
                <c:pt idx="97">
                  <c:v>0.12870872153031715</c:v>
                </c:pt>
                <c:pt idx="98">
                  <c:v>0.11935725807814435</c:v>
                </c:pt>
                <c:pt idx="99">
                  <c:v>0.12239411316699547</c:v>
                </c:pt>
                <c:pt idx="100">
                  <c:v>0.14436909764764871</c:v>
                </c:pt>
                <c:pt idx="101">
                  <c:v>0.12479557388558855</c:v>
                </c:pt>
                <c:pt idx="102">
                  <c:v>0.10001325650203167</c:v>
                </c:pt>
                <c:pt idx="103">
                  <c:v>9.1884002228829961E-2</c:v>
                </c:pt>
                <c:pt idx="104">
                  <c:v>0.25257005141241717</c:v>
                </c:pt>
                <c:pt idx="105">
                  <c:v>0.11787727459496107</c:v>
                </c:pt>
                <c:pt idx="106">
                  <c:v>8.6836517652534001E-2</c:v>
                </c:pt>
                <c:pt idx="107">
                  <c:v>7.3535457980969443E-2</c:v>
                </c:pt>
                <c:pt idx="108">
                  <c:v>7.3188266170722382E-2</c:v>
                </c:pt>
                <c:pt idx="109">
                  <c:v>8.288733365914798E-2</c:v>
                </c:pt>
                <c:pt idx="110">
                  <c:v>6.6585309093267556E-2</c:v>
                </c:pt>
                <c:pt idx="111">
                  <c:v>6.8498951756777934E-2</c:v>
                </c:pt>
                <c:pt idx="112">
                  <c:v>0.20696347367564402</c:v>
                </c:pt>
                <c:pt idx="113">
                  <c:v>0.41364687753990448</c:v>
                </c:pt>
                <c:pt idx="114">
                  <c:v>0.11456603646998383</c:v>
                </c:pt>
                <c:pt idx="115">
                  <c:v>8.7768656363550662E-2</c:v>
                </c:pt>
                <c:pt idx="116">
                  <c:v>9.0441195072357719E-2</c:v>
                </c:pt>
                <c:pt idx="117">
                  <c:v>0.12625972095527083</c:v>
                </c:pt>
                <c:pt idx="118">
                  <c:v>0.12808594153496528</c:v>
                </c:pt>
                <c:pt idx="119">
                  <c:v>0.12800661299807761</c:v>
                </c:pt>
                <c:pt idx="120">
                  <c:v>2.5406245821687042E-2</c:v>
                </c:pt>
                <c:pt idx="121">
                  <c:v>1.7594122546759176E-2</c:v>
                </c:pt>
                <c:pt idx="122">
                  <c:v>2.0963032247466384E-2</c:v>
                </c:pt>
                <c:pt idx="123">
                  <c:v>1.6413828516183369E-2</c:v>
                </c:pt>
                <c:pt idx="124">
                  <c:v>2.1058982587384558E-2</c:v>
                </c:pt>
                <c:pt idx="125">
                  <c:v>1.7423311132448532E-2</c:v>
                </c:pt>
                <c:pt idx="126">
                  <c:v>2.3345820698658093E-2</c:v>
                </c:pt>
                <c:pt idx="127">
                  <c:v>0.15748902609708393</c:v>
                </c:pt>
                <c:pt idx="128">
                  <c:v>0.54650410855046794</c:v>
                </c:pt>
                <c:pt idx="129">
                  <c:v>8.2300002258647587E-2</c:v>
                </c:pt>
                <c:pt idx="130">
                  <c:v>2.259661691704154E-2</c:v>
                </c:pt>
                <c:pt idx="131">
                  <c:v>1.3943537424034194E-2</c:v>
                </c:pt>
                <c:pt idx="132">
                  <c:v>1.6570701783776547E-2</c:v>
                </c:pt>
                <c:pt idx="133">
                  <c:v>2.3957584388768771E-2</c:v>
                </c:pt>
                <c:pt idx="134">
                  <c:v>1.8614229035576243E-2</c:v>
                </c:pt>
                <c:pt idx="135">
                  <c:v>0.112558671512292</c:v>
                </c:pt>
                <c:pt idx="136">
                  <c:v>0.28040646152732435</c:v>
                </c:pt>
                <c:pt idx="137">
                  <c:v>0.67048122289915413</c:v>
                </c:pt>
                <c:pt idx="138">
                  <c:v>0.24411744001233829</c:v>
                </c:pt>
                <c:pt idx="139">
                  <c:v>7.0156530372339709E-2</c:v>
                </c:pt>
                <c:pt idx="140">
                  <c:v>2.5888068751300501E-2</c:v>
                </c:pt>
                <c:pt idx="141">
                  <c:v>2.8337334636985959E-2</c:v>
                </c:pt>
                <c:pt idx="142">
                  <c:v>1.9224634788531654E-2</c:v>
                </c:pt>
                <c:pt idx="143">
                  <c:v>1.6665368075433278E-2</c:v>
                </c:pt>
                <c:pt idx="144">
                  <c:v>2.7362777757955377E-2</c:v>
                </c:pt>
                <c:pt idx="145">
                  <c:v>2.2253199211342618E-2</c:v>
                </c:pt>
                <c:pt idx="146">
                  <c:v>2.5668323624646147E-2</c:v>
                </c:pt>
                <c:pt idx="147">
                  <c:v>3.2731874424170443E-2</c:v>
                </c:pt>
                <c:pt idx="148">
                  <c:v>2.6161574894189819E-2</c:v>
                </c:pt>
                <c:pt idx="149">
                  <c:v>2.3023721361131545E-2</c:v>
                </c:pt>
                <c:pt idx="150">
                  <c:v>2.4072340358606052E-2</c:v>
                </c:pt>
                <c:pt idx="151">
                  <c:v>6.7989764232739197E-2</c:v>
                </c:pt>
                <c:pt idx="152">
                  <c:v>0.14062821435749207</c:v>
                </c:pt>
                <c:pt idx="153">
                  <c:v>7.1861785161790051E-2</c:v>
                </c:pt>
                <c:pt idx="154">
                  <c:v>3.0567690404111468E-2</c:v>
                </c:pt>
                <c:pt idx="155">
                  <c:v>2.2320481895775769E-2</c:v>
                </c:pt>
                <c:pt idx="156">
                  <c:v>4.239300974245467E-2</c:v>
                </c:pt>
                <c:pt idx="157">
                  <c:v>5.5204806909198108E-2</c:v>
                </c:pt>
                <c:pt idx="158">
                  <c:v>7.3053996930405138E-2</c:v>
                </c:pt>
                <c:pt idx="159">
                  <c:v>8.1048974847976865E-2</c:v>
                </c:pt>
                <c:pt idx="160">
                  <c:v>9.8046331166854919E-2</c:v>
                </c:pt>
                <c:pt idx="161">
                  <c:v>0.15011632968215735</c:v>
                </c:pt>
                <c:pt idx="162">
                  <c:v>0.13309151881978612</c:v>
                </c:pt>
                <c:pt idx="163">
                  <c:v>5.4661243403241681E-2</c:v>
                </c:pt>
                <c:pt idx="164">
                  <c:v>2.9174408615651914E-2</c:v>
                </c:pt>
                <c:pt idx="165">
                  <c:v>2.8843851441986489E-2</c:v>
                </c:pt>
                <c:pt idx="166">
                  <c:v>3.20892468365825E-2</c:v>
                </c:pt>
                <c:pt idx="167">
                  <c:v>2.4345113157592083E-2</c:v>
                </c:pt>
                <c:pt idx="168">
                  <c:v>1.8154938463421869E-2</c:v>
                </c:pt>
                <c:pt idx="169">
                  <c:v>1.6913291281522493E-2</c:v>
                </c:pt>
                <c:pt idx="170">
                  <c:v>1.5495129801914975E-2</c:v>
                </c:pt>
                <c:pt idx="171">
                  <c:v>1.6714122185737531E-2</c:v>
                </c:pt>
                <c:pt idx="172">
                  <c:v>1.4379868554051427E-2</c:v>
                </c:pt>
                <c:pt idx="173">
                  <c:v>1.482363301316012E-2</c:v>
                </c:pt>
                <c:pt idx="174">
                  <c:v>3.3004137161781182E-2</c:v>
                </c:pt>
                <c:pt idx="175">
                  <c:v>8.5052162140638987E-2</c:v>
                </c:pt>
                <c:pt idx="176">
                  <c:v>0.11341583034269957</c:v>
                </c:pt>
                <c:pt idx="177">
                  <c:v>1.8789104853813011E-2</c:v>
                </c:pt>
                <c:pt idx="178">
                  <c:v>2.1174682236884627E-2</c:v>
                </c:pt>
                <c:pt idx="179">
                  <c:v>1.1235688841365176E-2</c:v>
                </c:pt>
                <c:pt idx="180">
                  <c:v>1.5584941317233904E-2</c:v>
                </c:pt>
                <c:pt idx="181">
                  <c:v>1.5006663154811081E-2</c:v>
                </c:pt>
                <c:pt idx="182">
                  <c:v>2.3422972374191064E-2</c:v>
                </c:pt>
                <c:pt idx="183">
                  <c:v>2.8920380717085133E-2</c:v>
                </c:pt>
                <c:pt idx="184">
                  <c:v>1.436351205674702E-2</c:v>
                </c:pt>
                <c:pt idx="185">
                  <c:v>1.6921258410620203E-2</c:v>
                </c:pt>
                <c:pt idx="186">
                  <c:v>3.4321581196581213E-2</c:v>
                </c:pt>
                <c:pt idx="187">
                  <c:v>4.5877059789216537E-2</c:v>
                </c:pt>
                <c:pt idx="188">
                  <c:v>2.2236074946918125E-2</c:v>
                </c:pt>
                <c:pt idx="189">
                  <c:v>1.6843084263383545E-2</c:v>
                </c:pt>
                <c:pt idx="190">
                  <c:v>1.2844988759465121E-2</c:v>
                </c:pt>
                <c:pt idx="191">
                  <c:v>1.6179653106543027E-2</c:v>
                </c:pt>
                <c:pt idx="192">
                  <c:v>0.18755175000622593</c:v>
                </c:pt>
                <c:pt idx="193">
                  <c:v>0.29022006900497765</c:v>
                </c:pt>
                <c:pt idx="194">
                  <c:v>0.3025342685387018</c:v>
                </c:pt>
                <c:pt idx="195">
                  <c:v>0.30913315506633082</c:v>
                </c:pt>
                <c:pt idx="196">
                  <c:v>0.20916558177955016</c:v>
                </c:pt>
                <c:pt idx="197">
                  <c:v>0.1266291259385183</c:v>
                </c:pt>
                <c:pt idx="198">
                  <c:v>0.11919979924479449</c:v>
                </c:pt>
                <c:pt idx="199">
                  <c:v>7.3755733932470785E-2</c:v>
                </c:pt>
                <c:pt idx="200">
                  <c:v>9.4740086837137041E-2</c:v>
                </c:pt>
                <c:pt idx="201">
                  <c:v>8.530510988437226E-2</c:v>
                </c:pt>
                <c:pt idx="202">
                  <c:v>0.11075001129893002</c:v>
                </c:pt>
                <c:pt idx="203">
                  <c:v>0.11582962702663623</c:v>
                </c:pt>
                <c:pt idx="204">
                  <c:v>0.13143400430405114</c:v>
                </c:pt>
                <c:pt idx="205">
                  <c:v>0.13931398142742901</c:v>
                </c:pt>
                <c:pt idx="206">
                  <c:v>0.13928460766665632</c:v>
                </c:pt>
                <c:pt idx="207">
                  <c:v>0.14335029861940932</c:v>
                </c:pt>
                <c:pt idx="208">
                  <c:v>0.13309940897085082</c:v>
                </c:pt>
                <c:pt idx="209">
                  <c:v>0.23111906157651987</c:v>
                </c:pt>
                <c:pt idx="210">
                  <c:v>0.14466549248507116</c:v>
                </c:pt>
                <c:pt idx="211">
                  <c:v>0.12749227274584113</c:v>
                </c:pt>
                <c:pt idx="212">
                  <c:v>0.13077860875303748</c:v>
                </c:pt>
                <c:pt idx="213">
                  <c:v>0.13414585064337464</c:v>
                </c:pt>
                <c:pt idx="214">
                  <c:v>0.17425849050505729</c:v>
                </c:pt>
                <c:pt idx="215">
                  <c:v>0.19287908594290198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1B-4EEE-B962-A1AD13F0C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243984"/>
        <c:axId val="1108236496"/>
      </c:scatterChart>
      <c:valAx>
        <c:axId val="11082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36496"/>
        <c:crosses val="autoZero"/>
        <c:crossBetween val="midCat"/>
      </c:valAx>
      <c:valAx>
        <c:axId val="11082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4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tx>
            <c:v>Med Speed 55-59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 by Ave Sp'!$B$155:$B$322</c:f>
              <c:numCache>
                <c:formatCode>General</c:formatCode>
                <c:ptCount val="168"/>
                <c:pt idx="0">
                  <c:v>0.10844312759091131</c:v>
                </c:pt>
                <c:pt idx="1">
                  <c:v>6.2238850288021855E-2</c:v>
                </c:pt>
                <c:pt idx="2">
                  <c:v>4.3422687266018362E-2</c:v>
                </c:pt>
                <c:pt idx="3">
                  <c:v>4.4725555572749702E-2</c:v>
                </c:pt>
                <c:pt idx="4">
                  <c:v>9.7492021583684391E-2</c:v>
                </c:pt>
                <c:pt idx="5">
                  <c:v>0.279629877071085</c:v>
                </c:pt>
                <c:pt idx="6">
                  <c:v>0.63407836422716535</c:v>
                </c:pt>
                <c:pt idx="7">
                  <c:v>0.97353049468495756</c:v>
                </c:pt>
                <c:pt idx="8">
                  <c:v>0.98331662118123386</c:v>
                </c:pt>
                <c:pt idx="9">
                  <c:v>0.79383330547164344</c:v>
                </c:pt>
                <c:pt idx="10">
                  <c:v>0.72220256065793209</c:v>
                </c:pt>
                <c:pt idx="11">
                  <c:v>0.77009339864160742</c:v>
                </c:pt>
                <c:pt idx="12">
                  <c:v>0.80013508941399136</c:v>
                </c:pt>
                <c:pt idx="13">
                  <c:v>0.83919860479377928</c:v>
                </c:pt>
                <c:pt idx="14">
                  <c:v>0.92715319075868641</c:v>
                </c:pt>
                <c:pt idx="15">
                  <c:v>1.0677421356035735</c:v>
                </c:pt>
                <c:pt idx="16">
                  <c:v>1.1195818643300026</c:v>
                </c:pt>
                <c:pt idx="17">
                  <c:v>1.0771089925762332</c:v>
                </c:pt>
                <c:pt idx="18">
                  <c:v>0.96298506410745854</c:v>
                </c:pt>
                <c:pt idx="19">
                  <c:v>0.68990741691178126</c:v>
                </c:pt>
                <c:pt idx="20">
                  <c:v>0.56825250958540807</c:v>
                </c:pt>
                <c:pt idx="21">
                  <c:v>0.51603067454328411</c:v>
                </c:pt>
                <c:pt idx="22">
                  <c:v>0.35822821425127876</c:v>
                </c:pt>
                <c:pt idx="23">
                  <c:v>0.20703239759168343</c:v>
                </c:pt>
                <c:pt idx="24">
                  <c:v>9.6027440767325056E-2</c:v>
                </c:pt>
                <c:pt idx="25">
                  <c:v>5.4707095291214536E-2</c:v>
                </c:pt>
                <c:pt idx="26">
                  <c:v>3.9755235130957682E-2</c:v>
                </c:pt>
                <c:pt idx="27">
                  <c:v>3.7220499602308756E-2</c:v>
                </c:pt>
                <c:pt idx="28">
                  <c:v>6.1836070046208627E-2</c:v>
                </c:pt>
                <c:pt idx="29">
                  <c:v>0.15336845874469288</c:v>
                </c:pt>
                <c:pt idx="30">
                  <c:v>0.34382832881477315</c:v>
                </c:pt>
                <c:pt idx="31">
                  <c:v>0.42888281034957343</c:v>
                </c:pt>
                <c:pt idx="32">
                  <c:v>0.46296621249655939</c:v>
                </c:pt>
                <c:pt idx="33">
                  <c:v>0.469122986381451</c:v>
                </c:pt>
                <c:pt idx="34">
                  <c:v>0.49075403717048155</c:v>
                </c:pt>
                <c:pt idx="35">
                  <c:v>0.52086826711104195</c:v>
                </c:pt>
                <c:pt idx="36">
                  <c:v>0.55310349573355344</c:v>
                </c:pt>
                <c:pt idx="37">
                  <c:v>0.59750394114555971</c:v>
                </c:pt>
                <c:pt idx="38">
                  <c:v>0.67675959236652894</c:v>
                </c:pt>
                <c:pt idx="39">
                  <c:v>0.82481345244350945</c:v>
                </c:pt>
                <c:pt idx="40">
                  <c:v>0.91905359213424509</c:v>
                </c:pt>
                <c:pt idx="41">
                  <c:v>0.83246972199284408</c:v>
                </c:pt>
                <c:pt idx="42">
                  <c:v>0.71151016912866594</c:v>
                </c:pt>
                <c:pt idx="43">
                  <c:v>0.52284345320306247</c:v>
                </c:pt>
                <c:pt idx="44">
                  <c:v>0.44457232314891287</c:v>
                </c:pt>
                <c:pt idx="45">
                  <c:v>0.40917958731513493</c:v>
                </c:pt>
                <c:pt idx="46">
                  <c:v>0.3065092481238656</c:v>
                </c:pt>
                <c:pt idx="47">
                  <c:v>0.18580875505833971</c:v>
                </c:pt>
                <c:pt idx="48">
                  <c:v>9.6214252474828663E-2</c:v>
                </c:pt>
                <c:pt idx="49">
                  <c:v>5.9576949052382762E-2</c:v>
                </c:pt>
                <c:pt idx="50">
                  <c:v>4.4475526694305774E-2</c:v>
                </c:pt>
                <c:pt idx="51">
                  <c:v>3.9763090947636213E-2</c:v>
                </c:pt>
                <c:pt idx="52">
                  <c:v>6.4783471613881399E-2</c:v>
                </c:pt>
                <c:pt idx="53">
                  <c:v>0.12901285587938005</c:v>
                </c:pt>
                <c:pt idx="54">
                  <c:v>0.27475893304391386</c:v>
                </c:pt>
                <c:pt idx="55">
                  <c:v>0.4277248148767937</c:v>
                </c:pt>
                <c:pt idx="56">
                  <c:v>0.48305644826871241</c:v>
                </c:pt>
                <c:pt idx="57">
                  <c:v>0.47125492432096205</c:v>
                </c:pt>
                <c:pt idx="58">
                  <c:v>0.4809668224892123</c:v>
                </c:pt>
                <c:pt idx="59">
                  <c:v>0.52729205796977718</c:v>
                </c:pt>
                <c:pt idx="60">
                  <c:v>0.56142259862778732</c:v>
                </c:pt>
                <c:pt idx="61">
                  <c:v>0.60216769132923476</c:v>
                </c:pt>
                <c:pt idx="62">
                  <c:v>0.69483326635079112</c:v>
                </c:pt>
                <c:pt idx="63">
                  <c:v>0.89166857989647685</c:v>
                </c:pt>
                <c:pt idx="64">
                  <c:v>1.0477895702306079</c:v>
                </c:pt>
                <c:pt idx="65">
                  <c:v>1.0513267796819643</c:v>
                </c:pt>
                <c:pt idx="66">
                  <c:v>0.8185979056192707</c:v>
                </c:pt>
                <c:pt idx="67">
                  <c:v>0.54687694381090601</c:v>
                </c:pt>
                <c:pt idx="68">
                  <c:v>0.44705608900281552</c:v>
                </c:pt>
                <c:pt idx="69">
                  <c:v>0.41815048523470366</c:v>
                </c:pt>
                <c:pt idx="70">
                  <c:v>0.29436712073779508</c:v>
                </c:pt>
                <c:pt idx="71">
                  <c:v>0.17823619729011017</c:v>
                </c:pt>
                <c:pt idx="72">
                  <c:v>8.8421790155894214E-2</c:v>
                </c:pt>
                <c:pt idx="73">
                  <c:v>5.2870564564257289E-2</c:v>
                </c:pt>
                <c:pt idx="74">
                  <c:v>3.8468998457719748E-2</c:v>
                </c:pt>
                <c:pt idx="75">
                  <c:v>4.1894726072944928E-2</c:v>
                </c:pt>
                <c:pt idx="76">
                  <c:v>9.590430883080138E-2</c:v>
                </c:pt>
                <c:pt idx="77">
                  <c:v>0.28022064214708353</c:v>
                </c:pt>
                <c:pt idx="78">
                  <c:v>0.63404948249697346</c:v>
                </c:pt>
                <c:pt idx="79">
                  <c:v>0.79984620302928222</c:v>
                </c:pt>
                <c:pt idx="80">
                  <c:v>0.76558176673783651</c:v>
                </c:pt>
                <c:pt idx="81">
                  <c:v>0.65130568356374829</c:v>
                </c:pt>
                <c:pt idx="82">
                  <c:v>0.60380330066180732</c:v>
                </c:pt>
                <c:pt idx="83">
                  <c:v>0.6409596618807879</c:v>
                </c:pt>
                <c:pt idx="84">
                  <c:v>0.66269574356279548</c:v>
                </c:pt>
                <c:pt idx="85">
                  <c:v>0.69061356525428252</c:v>
                </c:pt>
                <c:pt idx="86">
                  <c:v>0.72887188254769508</c:v>
                </c:pt>
                <c:pt idx="87">
                  <c:v>0.81343798059076222</c:v>
                </c:pt>
                <c:pt idx="88">
                  <c:v>0.88685569140168008</c:v>
                </c:pt>
                <c:pt idx="89">
                  <c:v>0.91947785936225224</c:v>
                </c:pt>
                <c:pt idx="90">
                  <c:v>0.74342690755765128</c:v>
                </c:pt>
                <c:pt idx="91">
                  <c:v>0.53185900082576354</c:v>
                </c:pt>
                <c:pt idx="92">
                  <c:v>0.43861028658716533</c:v>
                </c:pt>
                <c:pt idx="93">
                  <c:v>0.38054776288834669</c:v>
                </c:pt>
                <c:pt idx="94">
                  <c:v>0.28106838554782826</c:v>
                </c:pt>
                <c:pt idx="95">
                  <c:v>0.18200775042757264</c:v>
                </c:pt>
                <c:pt idx="96">
                  <c:v>2.6163471812763097E-2</c:v>
                </c:pt>
                <c:pt idx="97">
                  <c:v>6.545203823340516E-2</c:v>
                </c:pt>
                <c:pt idx="98">
                  <c:v>4.4106313045449409E-2</c:v>
                </c:pt>
                <c:pt idx="99">
                  <c:v>4.000528920624126E-2</c:v>
                </c:pt>
                <c:pt idx="100">
                  <c:v>6.6171748082662712E-2</c:v>
                </c:pt>
                <c:pt idx="101">
                  <c:v>0.2194699459745364</c:v>
                </c:pt>
                <c:pt idx="102">
                  <c:v>0.4510635082549394</c:v>
                </c:pt>
                <c:pt idx="103">
                  <c:v>0.63981190026517043</c:v>
                </c:pt>
                <c:pt idx="104">
                  <c:v>0.70254297106011121</c:v>
                </c:pt>
                <c:pt idx="105">
                  <c:v>0.64750096339113672</c:v>
                </c:pt>
                <c:pt idx="106">
                  <c:v>0.61770914215051864</c:v>
                </c:pt>
                <c:pt idx="107">
                  <c:v>0.64707658110200261</c:v>
                </c:pt>
                <c:pt idx="108">
                  <c:v>0.67453179190751444</c:v>
                </c:pt>
                <c:pt idx="109">
                  <c:v>0.71646339360071765</c:v>
                </c:pt>
                <c:pt idx="110">
                  <c:v>0.73907332869291598</c:v>
                </c:pt>
                <c:pt idx="111">
                  <c:v>0.83929263067064874</c:v>
                </c:pt>
                <c:pt idx="112">
                  <c:v>0.90429928385511005</c:v>
                </c:pt>
                <c:pt idx="113">
                  <c:v>0.87889980732177309</c:v>
                </c:pt>
                <c:pt idx="114">
                  <c:v>0.7915892598663713</c:v>
                </c:pt>
                <c:pt idx="115">
                  <c:v>0.58275816020908444</c:v>
                </c:pt>
                <c:pt idx="116">
                  <c:v>0.48954768309200852</c:v>
                </c:pt>
                <c:pt idx="117">
                  <c:v>0.44649840706614008</c:v>
                </c:pt>
                <c:pt idx="118">
                  <c:v>0.33744603336249795</c:v>
                </c:pt>
                <c:pt idx="119">
                  <c:v>0.2176650466357998</c:v>
                </c:pt>
                <c:pt idx="120">
                  <c:v>8.3583955932632653E-2</c:v>
                </c:pt>
                <c:pt idx="121">
                  <c:v>5.2516853815328099E-2</c:v>
                </c:pt>
                <c:pt idx="122">
                  <c:v>3.6956325429202783E-2</c:v>
                </c:pt>
                <c:pt idx="123">
                  <c:v>3.3828439686241253E-2</c:v>
                </c:pt>
                <c:pt idx="124">
                  <c:v>5.4050508797964809E-2</c:v>
                </c:pt>
                <c:pt idx="125">
                  <c:v>0.11758456569777324</c:v>
                </c:pt>
                <c:pt idx="126">
                  <c:v>0.25284282345013476</c:v>
                </c:pt>
                <c:pt idx="127">
                  <c:v>0.40807571495050343</c:v>
                </c:pt>
                <c:pt idx="128">
                  <c:v>0.44421856043174496</c:v>
                </c:pt>
                <c:pt idx="129">
                  <c:v>0.42787254737899005</c:v>
                </c:pt>
                <c:pt idx="130">
                  <c:v>0.43827237898061988</c:v>
                </c:pt>
                <c:pt idx="131">
                  <c:v>0.47718106530541915</c:v>
                </c:pt>
                <c:pt idx="132">
                  <c:v>0.51153009780162717</c:v>
                </c:pt>
                <c:pt idx="133">
                  <c:v>0.55048292902066487</c:v>
                </c:pt>
                <c:pt idx="134">
                  <c:v>0.64674432687404382</c:v>
                </c:pt>
                <c:pt idx="135">
                  <c:v>0.8077086638003006</c:v>
                </c:pt>
                <c:pt idx="136">
                  <c:v>0.9446973270440252</c:v>
                </c:pt>
                <c:pt idx="137">
                  <c:v>0.95579117574359407</c:v>
                </c:pt>
                <c:pt idx="138">
                  <c:v>0.76240519792822792</c:v>
                </c:pt>
                <c:pt idx="139">
                  <c:v>0.51405675859791089</c:v>
                </c:pt>
                <c:pt idx="140">
                  <c:v>0.42856324711566496</c:v>
                </c:pt>
                <c:pt idx="141">
                  <c:v>0.39067748289446402</c:v>
                </c:pt>
                <c:pt idx="142">
                  <c:v>0.27090074379123419</c:v>
                </c:pt>
                <c:pt idx="143">
                  <c:v>0.16316797867466368</c:v>
                </c:pt>
                <c:pt idx="144">
                  <c:v>0.1079101524614967</c:v>
                </c:pt>
                <c:pt idx="145">
                  <c:v>6.893693739880126E-2</c:v>
                </c:pt>
                <c:pt idx="146">
                  <c:v>5.4043009918402683E-2</c:v>
                </c:pt>
                <c:pt idx="147">
                  <c:v>6.1802936090048118E-2</c:v>
                </c:pt>
                <c:pt idx="148">
                  <c:v>0.13502442884668317</c:v>
                </c:pt>
                <c:pt idx="149">
                  <c:v>0.36649291219377955</c:v>
                </c:pt>
                <c:pt idx="150">
                  <c:v>0.79410029498525103</c:v>
                </c:pt>
                <c:pt idx="151">
                  <c:v>0.99473003639477531</c:v>
                </c:pt>
                <c:pt idx="152">
                  <c:v>0.95541129390840374</c:v>
                </c:pt>
                <c:pt idx="153">
                  <c:v>0.79314827754134132</c:v>
                </c:pt>
                <c:pt idx="154">
                  <c:v>0.70647588930074223</c:v>
                </c:pt>
                <c:pt idx="155">
                  <c:v>0.74244009794839028</c:v>
                </c:pt>
                <c:pt idx="156">
                  <c:v>0.77451217376072901</c:v>
                </c:pt>
                <c:pt idx="157">
                  <c:v>0.7811393793226985</c:v>
                </c:pt>
                <c:pt idx="158">
                  <c:v>0.80288446767702071</c:v>
                </c:pt>
                <c:pt idx="159">
                  <c:v>0.89029839087642504</c:v>
                </c:pt>
                <c:pt idx="160">
                  <c:v>0.90889196941560091</c:v>
                </c:pt>
                <c:pt idx="161">
                  <c:v>0.96154516879548457</c:v>
                </c:pt>
                <c:pt idx="162">
                  <c:v>0.7961311905820575</c:v>
                </c:pt>
                <c:pt idx="163">
                  <c:v>0.57443461913086391</c:v>
                </c:pt>
                <c:pt idx="164">
                  <c:v>0.47470594041136172</c:v>
                </c:pt>
                <c:pt idx="165">
                  <c:v>0.40891921944097825</c:v>
                </c:pt>
                <c:pt idx="166">
                  <c:v>0.29795864069587291</c:v>
                </c:pt>
                <c:pt idx="167">
                  <c:v>0.19071146329118246</c:v>
                </c:pt>
              </c:numCache>
            </c:numRef>
          </c:xVal>
          <c:yVal>
            <c:numRef>
              <c:f>'Sort by Ave Sp'!$C$155:$C$322</c:f>
              <c:numCache>
                <c:formatCode>General</c:formatCode>
                <c:ptCount val="168"/>
                <c:pt idx="0">
                  <c:v>3.0350018174229498E-2</c:v>
                </c:pt>
                <c:pt idx="1">
                  <c:v>2.8405267917218931E-2</c:v>
                </c:pt>
                <c:pt idx="2">
                  <c:v>2.6899427340543312E-2</c:v>
                </c:pt>
                <c:pt idx="3">
                  <c:v>2.1665884710692914E-2</c:v>
                </c:pt>
                <c:pt idx="4">
                  <c:v>1.72102552898881E-2</c:v>
                </c:pt>
                <c:pt idx="5">
                  <c:v>1.9756407013876758E-2</c:v>
                </c:pt>
                <c:pt idx="6">
                  <c:v>4.6873357029072471E-2</c:v>
                </c:pt>
                <c:pt idx="7">
                  <c:v>0.24392636727764419</c:v>
                </c:pt>
                <c:pt idx="8">
                  <c:v>0.43552905448748225</c:v>
                </c:pt>
                <c:pt idx="9">
                  <c:v>0.10515204530927316</c:v>
                </c:pt>
                <c:pt idx="10">
                  <c:v>2.4772561758007652E-2</c:v>
                </c:pt>
                <c:pt idx="11">
                  <c:v>2.10379478363905E-2</c:v>
                </c:pt>
                <c:pt idx="12">
                  <c:v>4.0690161548383549E-2</c:v>
                </c:pt>
                <c:pt idx="13">
                  <c:v>2.8644901332585126E-2</c:v>
                </c:pt>
                <c:pt idx="14">
                  <c:v>8.87063148103686E-2</c:v>
                </c:pt>
                <c:pt idx="15">
                  <c:v>0.1436649684524966</c:v>
                </c:pt>
                <c:pt idx="16">
                  <c:v>0.57947260497193398</c:v>
                </c:pt>
                <c:pt idx="17">
                  <c:v>0.76492028992006589</c:v>
                </c:pt>
                <c:pt idx="18">
                  <c:v>0.4320991012759432</c:v>
                </c:pt>
                <c:pt idx="19">
                  <c:v>5.0174915134651284E-2</c:v>
                </c:pt>
                <c:pt idx="20">
                  <c:v>2.7582641486482193E-2</c:v>
                </c:pt>
                <c:pt idx="21">
                  <c:v>3.0899264978546809E-2</c:v>
                </c:pt>
                <c:pt idx="22">
                  <c:v>3.4028170322820211E-2</c:v>
                </c:pt>
                <c:pt idx="23">
                  <c:v>3.1668778734839767E-2</c:v>
                </c:pt>
                <c:pt idx="24">
                  <c:v>1.7271781509637374E-2</c:v>
                </c:pt>
                <c:pt idx="25">
                  <c:v>1.3425878499124445E-2</c:v>
                </c:pt>
                <c:pt idx="26">
                  <c:v>1.6834760652762001E-2</c:v>
                </c:pt>
                <c:pt idx="27">
                  <c:v>1.6873005003569454E-2</c:v>
                </c:pt>
                <c:pt idx="28">
                  <c:v>1.9497545301060182E-2</c:v>
                </c:pt>
                <c:pt idx="29">
                  <c:v>1.4404782313091707E-2</c:v>
                </c:pt>
                <c:pt idx="30">
                  <c:v>1.4243107919922756E-2</c:v>
                </c:pt>
                <c:pt idx="31">
                  <c:v>9.9609609250013928E-3</c:v>
                </c:pt>
                <c:pt idx="32">
                  <c:v>1.5089733107690321E-2</c:v>
                </c:pt>
                <c:pt idx="33">
                  <c:v>1.0419271726930296E-2</c:v>
                </c:pt>
                <c:pt idx="34">
                  <c:v>1.4211460265338604E-2</c:v>
                </c:pt>
                <c:pt idx="35">
                  <c:v>1.2420490664065401E-2</c:v>
                </c:pt>
                <c:pt idx="36">
                  <c:v>1.0703585330451449E-2</c:v>
                </c:pt>
                <c:pt idx="37">
                  <c:v>1.4803729350909327E-2</c:v>
                </c:pt>
                <c:pt idx="38">
                  <c:v>1.550215985786396E-2</c:v>
                </c:pt>
                <c:pt idx="39">
                  <c:v>8.9211689518890414E-2</c:v>
                </c:pt>
                <c:pt idx="40">
                  <c:v>0.33629979531302323</c:v>
                </c:pt>
                <c:pt idx="41">
                  <c:v>1.3222917044287359</c:v>
                </c:pt>
                <c:pt idx="42">
                  <c:v>0.2669145493974534</c:v>
                </c:pt>
                <c:pt idx="43">
                  <c:v>5.2864609042417979E-2</c:v>
                </c:pt>
                <c:pt idx="44">
                  <c:v>1.8238226829268601E-2</c:v>
                </c:pt>
                <c:pt idx="45">
                  <c:v>1.9564054731901728E-2</c:v>
                </c:pt>
                <c:pt idx="46">
                  <c:v>1.8892454684406857E-2</c:v>
                </c:pt>
                <c:pt idx="47">
                  <c:v>1.254078755110781E-2</c:v>
                </c:pt>
                <c:pt idx="48">
                  <c:v>8.4126589044335495E-2</c:v>
                </c:pt>
                <c:pt idx="49">
                  <c:v>8.8158068491430777E-2</c:v>
                </c:pt>
                <c:pt idx="50">
                  <c:v>9.0407561698688368E-2</c:v>
                </c:pt>
                <c:pt idx="51">
                  <c:v>8.1499939770841329E-2</c:v>
                </c:pt>
                <c:pt idx="52">
                  <c:v>5.7004626133902711E-2</c:v>
                </c:pt>
                <c:pt idx="53">
                  <c:v>2.5604788774398476E-2</c:v>
                </c:pt>
                <c:pt idx="54">
                  <c:v>2.885765034546962E-2</c:v>
                </c:pt>
                <c:pt idx="55">
                  <c:v>2.1716233359142495E-2</c:v>
                </c:pt>
                <c:pt idx="56">
                  <c:v>2.64159585864648E-2</c:v>
                </c:pt>
                <c:pt idx="57">
                  <c:v>2.9535966313227555E-2</c:v>
                </c:pt>
                <c:pt idx="58">
                  <c:v>2.4345761084603703E-2</c:v>
                </c:pt>
                <c:pt idx="59">
                  <c:v>2.4370525644797421E-2</c:v>
                </c:pt>
                <c:pt idx="60">
                  <c:v>3.2128151622921514E-2</c:v>
                </c:pt>
                <c:pt idx="61">
                  <c:v>2.454503316849373E-2</c:v>
                </c:pt>
                <c:pt idx="62">
                  <c:v>4.1660768693116419E-2</c:v>
                </c:pt>
                <c:pt idx="63">
                  <c:v>8.2967796483855077E-2</c:v>
                </c:pt>
                <c:pt idx="64">
                  <c:v>0.18034973554238784</c:v>
                </c:pt>
                <c:pt idx="65">
                  <c:v>0.24956082663784473</c:v>
                </c:pt>
                <c:pt idx="66">
                  <c:v>0.21585018487053131</c:v>
                </c:pt>
                <c:pt idx="67">
                  <c:v>4.390587800198803E-2</c:v>
                </c:pt>
                <c:pt idx="68">
                  <c:v>4.0056621983287501E-2</c:v>
                </c:pt>
                <c:pt idx="69">
                  <c:v>7.9574040262150023E-2</c:v>
                </c:pt>
                <c:pt idx="70">
                  <c:v>8.861365472770133E-2</c:v>
                </c:pt>
                <c:pt idx="71">
                  <c:v>7.3838193693588391E-2</c:v>
                </c:pt>
                <c:pt idx="72">
                  <c:v>1.8657639828853018E-2</c:v>
                </c:pt>
                <c:pt idx="73">
                  <c:v>1.7948380128651777E-2</c:v>
                </c:pt>
                <c:pt idx="74">
                  <c:v>1.8337115918714397E-2</c:v>
                </c:pt>
                <c:pt idx="75">
                  <c:v>1.8797448114633523E-2</c:v>
                </c:pt>
                <c:pt idx="76">
                  <c:v>1.6318449368984651E-2</c:v>
                </c:pt>
                <c:pt idx="77">
                  <c:v>1.4694483109262397E-2</c:v>
                </c:pt>
                <c:pt idx="78">
                  <c:v>1.8400784740712901E-2</c:v>
                </c:pt>
                <c:pt idx="79">
                  <c:v>1.8688485047842075E-2</c:v>
                </c:pt>
                <c:pt idx="80">
                  <c:v>3.5712164192926124E-2</c:v>
                </c:pt>
                <c:pt idx="81">
                  <c:v>1.6716468524624661E-2</c:v>
                </c:pt>
                <c:pt idx="82">
                  <c:v>1.4510579970305691E-2</c:v>
                </c:pt>
                <c:pt idx="83">
                  <c:v>1.7931480379787038E-2</c:v>
                </c:pt>
                <c:pt idx="84">
                  <c:v>1.8488544777873015E-2</c:v>
                </c:pt>
                <c:pt idx="85">
                  <c:v>2.5136552547761072E-2</c:v>
                </c:pt>
                <c:pt idx="86">
                  <c:v>2.0274630152870628E-2</c:v>
                </c:pt>
                <c:pt idx="87">
                  <c:v>2.0405669619906659E-2</c:v>
                </c:pt>
                <c:pt idx="88">
                  <c:v>0.35387047257620707</c:v>
                </c:pt>
                <c:pt idx="89">
                  <c:v>0.96798742789383452</c:v>
                </c:pt>
                <c:pt idx="90">
                  <c:v>0.55963265111634575</c:v>
                </c:pt>
                <c:pt idx="91">
                  <c:v>6.4038513615362322E-2</c:v>
                </c:pt>
                <c:pt idx="92">
                  <c:v>5.9716470515998335E-2</c:v>
                </c:pt>
                <c:pt idx="93">
                  <c:v>3.4355517825398682E-2</c:v>
                </c:pt>
                <c:pt idx="94">
                  <c:v>2.4187673443582219E-2</c:v>
                </c:pt>
                <c:pt idx="95">
                  <c:v>1.5504479364748826E-2</c:v>
                </c:pt>
                <c:pt idx="96">
                  <c:v>1.9541676960182424E-2</c:v>
                </c:pt>
                <c:pt idx="97">
                  <c:v>1.7338148277062312E-2</c:v>
                </c:pt>
                <c:pt idx="98">
                  <c:v>1.5466279076575501E-2</c:v>
                </c:pt>
                <c:pt idx="99">
                  <c:v>1.5741260377117809E-2</c:v>
                </c:pt>
                <c:pt idx="100">
                  <c:v>2.1086924621099186E-2</c:v>
                </c:pt>
                <c:pt idx="101">
                  <c:v>1.592029984097755E-2</c:v>
                </c:pt>
                <c:pt idx="102">
                  <c:v>2.351856235451931E-2</c:v>
                </c:pt>
                <c:pt idx="103">
                  <c:v>2.2114464886922664E-2</c:v>
                </c:pt>
                <c:pt idx="104">
                  <c:v>2.4964726678822324E-2</c:v>
                </c:pt>
                <c:pt idx="105">
                  <c:v>2.16447550353281E-2</c:v>
                </c:pt>
                <c:pt idx="106">
                  <c:v>1.687090098406531E-2</c:v>
                </c:pt>
                <c:pt idx="107">
                  <c:v>1.7612664350135535E-2</c:v>
                </c:pt>
                <c:pt idx="108">
                  <c:v>1.9134538699449321E-2</c:v>
                </c:pt>
                <c:pt idx="109">
                  <c:v>1.8127422498347381E-2</c:v>
                </c:pt>
                <c:pt idx="110">
                  <c:v>3.2578623294543092E-2</c:v>
                </c:pt>
                <c:pt idx="111">
                  <c:v>0.12269714735046029</c:v>
                </c:pt>
                <c:pt idx="112">
                  <c:v>0.16516651665166548</c:v>
                </c:pt>
                <c:pt idx="113">
                  <c:v>0.36281171369732101</c:v>
                </c:pt>
                <c:pt idx="114">
                  <c:v>0.38909960647806041</c:v>
                </c:pt>
                <c:pt idx="115">
                  <c:v>5.7191541747047769E-2</c:v>
                </c:pt>
                <c:pt idx="116">
                  <c:v>4.6622383757362988E-2</c:v>
                </c:pt>
                <c:pt idx="117">
                  <c:v>2.5665177137183293E-2</c:v>
                </c:pt>
                <c:pt idx="118">
                  <c:v>2.0389081367873121E-2</c:v>
                </c:pt>
                <c:pt idx="119">
                  <c:v>1.8916672689166695E-2</c:v>
                </c:pt>
                <c:pt idx="120">
                  <c:v>6.7965083473359889E-2</c:v>
                </c:pt>
                <c:pt idx="121">
                  <c:v>5.8734413465302643E-2</c:v>
                </c:pt>
                <c:pt idx="122">
                  <c:v>6.4393838329438235E-2</c:v>
                </c:pt>
                <c:pt idx="123">
                  <c:v>5.8632389956440323E-2</c:v>
                </c:pt>
                <c:pt idx="124">
                  <c:v>4.9500256283758641E-2</c:v>
                </c:pt>
                <c:pt idx="125">
                  <c:v>3.6324588559255688E-2</c:v>
                </c:pt>
                <c:pt idx="126">
                  <c:v>3.0878586776401637E-2</c:v>
                </c:pt>
                <c:pt idx="127">
                  <c:v>2.6454709514491657E-2</c:v>
                </c:pt>
                <c:pt idx="128">
                  <c:v>1.9085018871988393E-2</c:v>
                </c:pt>
                <c:pt idx="129">
                  <c:v>3.5010267929152683E-2</c:v>
                </c:pt>
                <c:pt idx="130">
                  <c:v>2.5432393667596941E-2</c:v>
                </c:pt>
                <c:pt idx="131">
                  <c:v>3.5548921115281171E-2</c:v>
                </c:pt>
                <c:pt idx="132">
                  <c:v>2.7576110566258673E-2</c:v>
                </c:pt>
                <c:pt idx="133">
                  <c:v>2.9177189430465461E-2</c:v>
                </c:pt>
                <c:pt idx="134">
                  <c:v>4.18171252487686E-2</c:v>
                </c:pt>
                <c:pt idx="135">
                  <c:v>8.9071592308919201E-2</c:v>
                </c:pt>
                <c:pt idx="136">
                  <c:v>0.2777492370184288</c:v>
                </c:pt>
                <c:pt idx="137">
                  <c:v>0.58066301936708442</c:v>
                </c:pt>
                <c:pt idx="138">
                  <c:v>0.45125116562037637</c:v>
                </c:pt>
                <c:pt idx="139">
                  <c:v>6.4835835082772436E-2</c:v>
                </c:pt>
                <c:pt idx="140">
                  <c:v>3.2842960287189714E-2</c:v>
                </c:pt>
                <c:pt idx="141">
                  <c:v>6.6439532581303098E-2</c:v>
                </c:pt>
                <c:pt idx="142">
                  <c:v>7.4071346244294775E-2</c:v>
                </c:pt>
                <c:pt idx="143">
                  <c:v>8.4243676931804456E-2</c:v>
                </c:pt>
                <c:pt idx="144">
                  <c:v>5.1600963077638215E-2</c:v>
                </c:pt>
                <c:pt idx="145">
                  <c:v>6.2681671455415547E-2</c:v>
                </c:pt>
                <c:pt idx="146">
                  <c:v>6.6827678247639508E-2</c:v>
                </c:pt>
                <c:pt idx="147">
                  <c:v>4.8794563327163309E-2</c:v>
                </c:pt>
                <c:pt idx="148">
                  <c:v>3.6997805468406711E-2</c:v>
                </c:pt>
                <c:pt idx="149">
                  <c:v>2.7064655763846732E-2</c:v>
                </c:pt>
                <c:pt idx="150">
                  <c:v>4.3075272221929632E-2</c:v>
                </c:pt>
                <c:pt idx="151">
                  <c:v>0.31705364940028585</c:v>
                </c:pt>
                <c:pt idx="152">
                  <c:v>0.5460153917764804</c:v>
                </c:pt>
                <c:pt idx="153">
                  <c:v>4.0119849386500296E-2</c:v>
                </c:pt>
                <c:pt idx="154">
                  <c:v>2.456983776069992E-2</c:v>
                </c:pt>
                <c:pt idx="155">
                  <c:v>2.6240975447952664E-2</c:v>
                </c:pt>
                <c:pt idx="156">
                  <c:v>3.0595567773760761E-2</c:v>
                </c:pt>
                <c:pt idx="157">
                  <c:v>3.8570393360587943E-2</c:v>
                </c:pt>
                <c:pt idx="158">
                  <c:v>3.2905844445593829E-2</c:v>
                </c:pt>
                <c:pt idx="159">
                  <c:v>8.4985093062831016E-2</c:v>
                </c:pt>
                <c:pt idx="160">
                  <c:v>0.7105561807208185</c:v>
                </c:pt>
                <c:pt idx="161">
                  <c:v>0.9120442913921033</c:v>
                </c:pt>
                <c:pt idx="162">
                  <c:v>1.0064228661926118</c:v>
                </c:pt>
                <c:pt idx="163">
                  <c:v>6.6431878229907926E-2</c:v>
                </c:pt>
                <c:pt idx="164">
                  <c:v>3.0070029423486539E-2</c:v>
                </c:pt>
                <c:pt idx="165">
                  <c:v>3.4694611785296148E-2</c:v>
                </c:pt>
                <c:pt idx="166">
                  <c:v>2.9735264745267321E-2</c:v>
                </c:pt>
                <c:pt idx="167">
                  <c:v>4.4788817023749601E-2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5-49F4-8102-72A099E17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243984"/>
        <c:axId val="11082364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Low Speed (&lt;55)</c:v>
                </c:tx>
                <c:spPr>
                  <a:ln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'Sort by Ave Sp'!$B$35:$B$154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0.11119069477860791</c:v>
                      </c:pt>
                      <c:pt idx="1">
                        <c:v>6.9550631719867792E-2</c:v>
                      </c:pt>
                      <c:pt idx="2">
                        <c:v>4.6826637693449226E-2</c:v>
                      </c:pt>
                      <c:pt idx="3">
                        <c:v>4.2291307727864852E-2</c:v>
                      </c:pt>
                      <c:pt idx="4">
                        <c:v>6.7823675253183183E-2</c:v>
                      </c:pt>
                      <c:pt idx="5">
                        <c:v>0.18282381864892183</c:v>
                      </c:pt>
                      <c:pt idx="6">
                        <c:v>0.46546402780096846</c:v>
                      </c:pt>
                      <c:pt idx="7">
                        <c:v>0.76096698113207539</c:v>
                      </c:pt>
                      <c:pt idx="8">
                        <c:v>0.84140965166908566</c:v>
                      </c:pt>
                      <c:pt idx="9">
                        <c:v>0.69061139332365751</c:v>
                      </c:pt>
                      <c:pt idx="10">
                        <c:v>0.65197589686098656</c:v>
                      </c:pt>
                      <c:pt idx="11">
                        <c:v>0.70845510809300727</c:v>
                      </c:pt>
                      <c:pt idx="12">
                        <c:v>0.74718441665224156</c:v>
                      </c:pt>
                      <c:pt idx="13">
                        <c:v>0.79611624524023439</c:v>
                      </c:pt>
                      <c:pt idx="14">
                        <c:v>0.8969587744386579</c:v>
                      </c:pt>
                      <c:pt idx="15">
                        <c:v>1.0283189963780324</c:v>
                      </c:pt>
                      <c:pt idx="16">
                        <c:v>1.0340037757001437</c:v>
                      </c:pt>
                      <c:pt idx="17">
                        <c:v>0.87111810115534871</c:v>
                      </c:pt>
                      <c:pt idx="18">
                        <c:v>0.7968136896810819</c:v>
                      </c:pt>
                      <c:pt idx="19">
                        <c:v>0.59785639412997904</c:v>
                      </c:pt>
                      <c:pt idx="20">
                        <c:v>0.50236636971046766</c:v>
                      </c:pt>
                      <c:pt idx="21">
                        <c:v>0.4902946035242291</c:v>
                      </c:pt>
                      <c:pt idx="22">
                        <c:v>0.35025160734546368</c:v>
                      </c:pt>
                      <c:pt idx="23">
                        <c:v>0.21534502686492565</c:v>
                      </c:pt>
                      <c:pt idx="24">
                        <c:v>8.1651296068450882E-2</c:v>
                      </c:pt>
                      <c:pt idx="25">
                        <c:v>4.5125684238718877E-2</c:v>
                      </c:pt>
                      <c:pt idx="26">
                        <c:v>2.9511088528472101E-2</c:v>
                      </c:pt>
                      <c:pt idx="27">
                        <c:v>2.5838046183751767E-2</c:v>
                      </c:pt>
                      <c:pt idx="28">
                        <c:v>4.3337590869430141E-2</c:v>
                      </c:pt>
                      <c:pt idx="29">
                        <c:v>0.16319696304497211</c:v>
                      </c:pt>
                      <c:pt idx="30">
                        <c:v>0.36360637205980428</c:v>
                      </c:pt>
                      <c:pt idx="31">
                        <c:v>0.54419383573846425</c:v>
                      </c:pt>
                      <c:pt idx="32">
                        <c:v>0.57352300291904779</c:v>
                      </c:pt>
                      <c:pt idx="33">
                        <c:v>0.48537866801641882</c:v>
                      </c:pt>
                      <c:pt idx="34">
                        <c:v>0.46224585299317278</c:v>
                      </c:pt>
                      <c:pt idx="35">
                        <c:v>0.49239168368928293</c:v>
                      </c:pt>
                      <c:pt idx="36">
                        <c:v>0.5139980582429059</c:v>
                      </c:pt>
                      <c:pt idx="37">
                        <c:v>0.55736864494595273</c:v>
                      </c:pt>
                      <c:pt idx="38">
                        <c:v>0.60366731077580893</c:v>
                      </c:pt>
                      <c:pt idx="39">
                        <c:v>0.71651308505764677</c:v>
                      </c:pt>
                      <c:pt idx="40">
                        <c:v>0.81352493073964205</c:v>
                      </c:pt>
                      <c:pt idx="41">
                        <c:v>0.8056270410649915</c:v>
                      </c:pt>
                      <c:pt idx="42">
                        <c:v>0.69753965969893283</c:v>
                      </c:pt>
                      <c:pt idx="43">
                        <c:v>0.4941001435881463</c:v>
                      </c:pt>
                      <c:pt idx="44">
                        <c:v>0.42166034384861423</c:v>
                      </c:pt>
                      <c:pt idx="45">
                        <c:v>0.38857874773084194</c:v>
                      </c:pt>
                      <c:pt idx="46">
                        <c:v>0.2725386541027689</c:v>
                      </c:pt>
                      <c:pt idx="47">
                        <c:v>0.15746440087639504</c:v>
                      </c:pt>
                      <c:pt idx="48">
                        <c:v>0.1546445052277102</c:v>
                      </c:pt>
                      <c:pt idx="49">
                        <c:v>9.0837414995041971E-2</c:v>
                      </c:pt>
                      <c:pt idx="50">
                        <c:v>6.4153162846386697E-2</c:v>
                      </c:pt>
                      <c:pt idx="51">
                        <c:v>6.6046321813360911E-2</c:v>
                      </c:pt>
                      <c:pt idx="52">
                        <c:v>0.14172244243974999</c:v>
                      </c:pt>
                      <c:pt idx="53">
                        <c:v>0.40082138918872967</c:v>
                      </c:pt>
                      <c:pt idx="54">
                        <c:v>0.83581481764271714</c:v>
                      </c:pt>
                      <c:pt idx="55">
                        <c:v>1.2397706411358724</c:v>
                      </c:pt>
                      <c:pt idx="56">
                        <c:v>1.2612349346715996</c:v>
                      </c:pt>
                      <c:pt idx="57">
                        <c:v>1.0537064930437459</c:v>
                      </c:pt>
                      <c:pt idx="58">
                        <c:v>0.97422887344854203</c:v>
                      </c:pt>
                      <c:pt idx="59">
                        <c:v>1.0341810844408146</c:v>
                      </c:pt>
                      <c:pt idx="60">
                        <c:v>1.0718547197150761</c:v>
                      </c:pt>
                      <c:pt idx="61">
                        <c:v>1.124735887934349</c:v>
                      </c:pt>
                      <c:pt idx="62">
                        <c:v>1.2183604161037236</c:v>
                      </c:pt>
                      <c:pt idx="63">
                        <c:v>1.3542101938681308</c:v>
                      </c:pt>
                      <c:pt idx="64">
                        <c:v>1.3504487734753683</c:v>
                      </c:pt>
                      <c:pt idx="65">
                        <c:v>1.2038502651811043</c:v>
                      </c:pt>
                      <c:pt idx="66">
                        <c:v>1.1626312233393503</c:v>
                      </c:pt>
                      <c:pt idx="67">
                        <c:v>0.91206120934162793</c:v>
                      </c:pt>
                      <c:pt idx="68">
                        <c:v>0.76220912639661642</c:v>
                      </c:pt>
                      <c:pt idx="69">
                        <c:v>0.69766001518547149</c:v>
                      </c:pt>
                      <c:pt idx="70">
                        <c:v>0.48710944881981055</c:v>
                      </c:pt>
                      <c:pt idx="71">
                        <c:v>0.29221335264334525</c:v>
                      </c:pt>
                      <c:pt idx="72">
                        <c:v>8.6028185808956992E-2</c:v>
                      </c:pt>
                      <c:pt idx="73">
                        <c:v>4.9453781952056228E-2</c:v>
                      </c:pt>
                      <c:pt idx="74">
                        <c:v>3.3450816196735213E-2</c:v>
                      </c:pt>
                      <c:pt idx="75">
                        <c:v>3.0188941883430687E-2</c:v>
                      </c:pt>
                      <c:pt idx="76">
                        <c:v>4.8878272471319914E-2</c:v>
                      </c:pt>
                      <c:pt idx="77">
                        <c:v>0.17494551255053908</c:v>
                      </c:pt>
                      <c:pt idx="78">
                        <c:v>0.38017746076139591</c:v>
                      </c:pt>
                      <c:pt idx="79">
                        <c:v>0.60183962264150948</c:v>
                      </c:pt>
                      <c:pt idx="80">
                        <c:v>0.6514993261455525</c:v>
                      </c:pt>
                      <c:pt idx="81">
                        <c:v>0.54999352063031304</c:v>
                      </c:pt>
                      <c:pt idx="82">
                        <c:v>0.50407051146459092</c:v>
                      </c:pt>
                      <c:pt idx="83">
                        <c:v>0.53675403397933918</c:v>
                      </c:pt>
                      <c:pt idx="84">
                        <c:v>0.54898022084048026</c:v>
                      </c:pt>
                      <c:pt idx="85">
                        <c:v>0.57536569853720587</c:v>
                      </c:pt>
                      <c:pt idx="86">
                        <c:v>0.6161503364708889</c:v>
                      </c:pt>
                      <c:pt idx="87">
                        <c:v>0.73207047043463613</c:v>
                      </c:pt>
                      <c:pt idx="88">
                        <c:v>0.84301231068618332</c:v>
                      </c:pt>
                      <c:pt idx="89">
                        <c:v>0.82620677832266654</c:v>
                      </c:pt>
                      <c:pt idx="90">
                        <c:v>0.70945858386896121</c:v>
                      </c:pt>
                      <c:pt idx="91">
                        <c:v>0.48831297638385607</c:v>
                      </c:pt>
                      <c:pt idx="92">
                        <c:v>0.40961964743455059</c:v>
                      </c:pt>
                      <c:pt idx="93">
                        <c:v>0.37603898262821051</c:v>
                      </c:pt>
                      <c:pt idx="94">
                        <c:v>0.272447682480985</c:v>
                      </c:pt>
                      <c:pt idx="95">
                        <c:v>0.15900677870798449</c:v>
                      </c:pt>
                      <c:pt idx="96">
                        <c:v>7.5301538558946432E-2</c:v>
                      </c:pt>
                      <c:pt idx="97">
                        <c:v>4.4915910136802906E-2</c:v>
                      </c:pt>
                      <c:pt idx="98">
                        <c:v>3.5499258002967993E-2</c:v>
                      </c:pt>
                      <c:pt idx="99">
                        <c:v>4.4104824137496321E-2</c:v>
                      </c:pt>
                      <c:pt idx="100">
                        <c:v>9.9944320712694865E-2</c:v>
                      </c:pt>
                      <c:pt idx="101">
                        <c:v>0.30806730121293802</c:v>
                      </c:pt>
                      <c:pt idx="102">
                        <c:v>0.77104117966271501</c:v>
                      </c:pt>
                      <c:pt idx="103">
                        <c:v>0.96500524109014674</c:v>
                      </c:pt>
                      <c:pt idx="104">
                        <c:v>0.88845894671366366</c:v>
                      </c:pt>
                      <c:pt idx="105">
                        <c:v>0.78622745179348952</c:v>
                      </c:pt>
                      <c:pt idx="106">
                        <c:v>0.67369433112357635</c:v>
                      </c:pt>
                      <c:pt idx="107">
                        <c:v>0.69324545532868098</c:v>
                      </c:pt>
                      <c:pt idx="108">
                        <c:v>0.71135131772546301</c:v>
                      </c:pt>
                      <c:pt idx="109">
                        <c:v>0.70198920763273864</c:v>
                      </c:pt>
                      <c:pt idx="110">
                        <c:v>0.73662410356014685</c:v>
                      </c:pt>
                      <c:pt idx="111">
                        <c:v>0.84043039808782471</c:v>
                      </c:pt>
                      <c:pt idx="112">
                        <c:v>0.89290020306286477</c:v>
                      </c:pt>
                      <c:pt idx="113">
                        <c:v>0.8812235059429806</c:v>
                      </c:pt>
                      <c:pt idx="114">
                        <c:v>0.75527031930333821</c:v>
                      </c:pt>
                      <c:pt idx="115">
                        <c:v>0.5165146403432046</c:v>
                      </c:pt>
                      <c:pt idx="116">
                        <c:v>0.40768269109551625</c:v>
                      </c:pt>
                      <c:pt idx="117">
                        <c:v>0.3426993288172222</c:v>
                      </c:pt>
                      <c:pt idx="118">
                        <c:v>0.24438742278438461</c:v>
                      </c:pt>
                      <c:pt idx="119">
                        <c:v>0.14368700279062019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'Sort by Ave Sp'!$C$35:$C$154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3.0405379149268684E-2</c:v>
                      </c:pt>
                      <c:pt idx="1">
                        <c:v>3.21986295383681E-2</c:v>
                      </c:pt>
                      <c:pt idx="2">
                        <c:v>3.6207747912383056E-2</c:v>
                      </c:pt>
                      <c:pt idx="3">
                        <c:v>3.3928877124701634E-2</c:v>
                      </c:pt>
                      <c:pt idx="4">
                        <c:v>3.046235235478267E-2</c:v>
                      </c:pt>
                      <c:pt idx="5">
                        <c:v>3.4615771047820688E-2</c:v>
                      </c:pt>
                      <c:pt idx="6">
                        <c:v>3.6270349110342791E-2</c:v>
                      </c:pt>
                      <c:pt idx="7">
                        <c:v>3.1756295672639816E-2</c:v>
                      </c:pt>
                      <c:pt idx="8">
                        <c:v>4.0608171412565293E-2</c:v>
                      </c:pt>
                      <c:pt idx="9">
                        <c:v>3.5564446009912452E-2</c:v>
                      </c:pt>
                      <c:pt idx="10">
                        <c:v>3.4368294681872157E-2</c:v>
                      </c:pt>
                      <c:pt idx="11">
                        <c:v>3.2641605032098356E-2</c:v>
                      </c:pt>
                      <c:pt idx="12">
                        <c:v>3.5334195703217823E-2</c:v>
                      </c:pt>
                      <c:pt idx="13">
                        <c:v>4.4084780481563252E-2</c:v>
                      </c:pt>
                      <c:pt idx="14">
                        <c:v>5.194679181525004E-2</c:v>
                      </c:pt>
                      <c:pt idx="15">
                        <c:v>0.17414250272153606</c:v>
                      </c:pt>
                      <c:pt idx="16">
                        <c:v>0.63712639543976957</c:v>
                      </c:pt>
                      <c:pt idx="17">
                        <c:v>1.1613671418732199</c:v>
                      </c:pt>
                      <c:pt idx="18">
                        <c:v>0.7209149723345164</c:v>
                      </c:pt>
                      <c:pt idx="19">
                        <c:v>5.8321611911950594E-2</c:v>
                      </c:pt>
                      <c:pt idx="20">
                        <c:v>3.9806091959880788E-2</c:v>
                      </c:pt>
                      <c:pt idx="21">
                        <c:v>3.6407229618007964E-2</c:v>
                      </c:pt>
                      <c:pt idx="22">
                        <c:v>3.5213281334960857E-2</c:v>
                      </c:pt>
                      <c:pt idx="23">
                        <c:v>3.5497169513694957E-2</c:v>
                      </c:pt>
                      <c:pt idx="24">
                        <c:v>1.8555926783103849E-2</c:v>
                      </c:pt>
                      <c:pt idx="25">
                        <c:v>1.6894348500084349E-2</c:v>
                      </c:pt>
                      <c:pt idx="26">
                        <c:v>2.2363039318179526E-2</c:v>
                      </c:pt>
                      <c:pt idx="27">
                        <c:v>2.3848377012760099E-2</c:v>
                      </c:pt>
                      <c:pt idx="28">
                        <c:v>1.9766655865988258E-2</c:v>
                      </c:pt>
                      <c:pt idx="29">
                        <c:v>1.4456967223692998E-2</c:v>
                      </c:pt>
                      <c:pt idx="30">
                        <c:v>1.9432056999333095E-2</c:v>
                      </c:pt>
                      <c:pt idx="31">
                        <c:v>2.9625422414486225E-2</c:v>
                      </c:pt>
                      <c:pt idx="32">
                        <c:v>2.5064856641906993E-2</c:v>
                      </c:pt>
                      <c:pt idx="33">
                        <c:v>1.5116270470424057E-2</c:v>
                      </c:pt>
                      <c:pt idx="34">
                        <c:v>1.39236273271875E-2</c:v>
                      </c:pt>
                      <c:pt idx="35">
                        <c:v>1.4386985759125641E-2</c:v>
                      </c:pt>
                      <c:pt idx="36">
                        <c:v>1.6936749860785638E-2</c:v>
                      </c:pt>
                      <c:pt idx="37">
                        <c:v>1.5737324254715041E-2</c:v>
                      </c:pt>
                      <c:pt idx="38">
                        <c:v>3.0735826746161689E-2</c:v>
                      </c:pt>
                      <c:pt idx="39">
                        <c:v>6.3362024551599866E-2</c:v>
                      </c:pt>
                      <c:pt idx="40">
                        <c:v>0.59752461282183467</c:v>
                      </c:pt>
                      <c:pt idx="41">
                        <c:v>0.86310966155355251</c:v>
                      </c:pt>
                      <c:pt idx="42">
                        <c:v>0.72086951986152092</c:v>
                      </c:pt>
                      <c:pt idx="43">
                        <c:v>5.2474073705574532E-2</c:v>
                      </c:pt>
                      <c:pt idx="44">
                        <c:v>2.6578698452773598E-2</c:v>
                      </c:pt>
                      <c:pt idx="45">
                        <c:v>3.0961087276040019E-2</c:v>
                      </c:pt>
                      <c:pt idx="46">
                        <c:v>2.6492174059671282E-2</c:v>
                      </c:pt>
                      <c:pt idx="47">
                        <c:v>2.0522702866878895E-2</c:v>
                      </c:pt>
                      <c:pt idx="48">
                        <c:v>1.7755054937822552E-2</c:v>
                      </c:pt>
                      <c:pt idx="49">
                        <c:v>2.1981371938563608E-2</c:v>
                      </c:pt>
                      <c:pt idx="50">
                        <c:v>2.1158950389464647E-2</c:v>
                      </c:pt>
                      <c:pt idx="51">
                        <c:v>2.3535915056739899E-2</c:v>
                      </c:pt>
                      <c:pt idx="52">
                        <c:v>1.9101335732765169E-2</c:v>
                      </c:pt>
                      <c:pt idx="53">
                        <c:v>1.2839027157912963E-2</c:v>
                      </c:pt>
                      <c:pt idx="54">
                        <c:v>1.7822537600687499E-2</c:v>
                      </c:pt>
                      <c:pt idx="55">
                        <c:v>2.0681043501737571E-2</c:v>
                      </c:pt>
                      <c:pt idx="56">
                        <c:v>3.9416911974569334E-2</c:v>
                      </c:pt>
                      <c:pt idx="57">
                        <c:v>4.0589742126191625E-2</c:v>
                      </c:pt>
                      <c:pt idx="58">
                        <c:v>1.4862878580589491E-2</c:v>
                      </c:pt>
                      <c:pt idx="59">
                        <c:v>1.7863319956717378E-2</c:v>
                      </c:pt>
                      <c:pt idx="60">
                        <c:v>1.9677466980653237E-2</c:v>
                      </c:pt>
                      <c:pt idx="61">
                        <c:v>2.5871661319582854E-2</c:v>
                      </c:pt>
                      <c:pt idx="62">
                        <c:v>4.4111599003781268E-2</c:v>
                      </c:pt>
                      <c:pt idx="63">
                        <c:v>0.18936215939081602</c:v>
                      </c:pt>
                      <c:pt idx="64">
                        <c:v>0.51984233413371506</c:v>
                      </c:pt>
                      <c:pt idx="65">
                        <c:v>0.80613598472706982</c:v>
                      </c:pt>
                      <c:pt idx="66">
                        <c:v>0.65963954150377124</c:v>
                      </c:pt>
                      <c:pt idx="67">
                        <c:v>6.6986234021632257E-2</c:v>
                      </c:pt>
                      <c:pt idx="68">
                        <c:v>2.6980439202464613E-2</c:v>
                      </c:pt>
                      <c:pt idx="69">
                        <c:v>1.7933899549305611E-2</c:v>
                      </c:pt>
                      <c:pt idx="70">
                        <c:v>1.4240381870702866E-2</c:v>
                      </c:pt>
                      <c:pt idx="71">
                        <c:v>1.4398587283334376E-2</c:v>
                      </c:pt>
                      <c:pt idx="72">
                        <c:v>2.9170930884436331E-2</c:v>
                      </c:pt>
                      <c:pt idx="73">
                        <c:v>2.7774158872137938E-2</c:v>
                      </c:pt>
                      <c:pt idx="74">
                        <c:v>3.2382954236684407E-2</c:v>
                      </c:pt>
                      <c:pt idx="75">
                        <c:v>3.6251314550630492E-2</c:v>
                      </c:pt>
                      <c:pt idx="76">
                        <c:v>3.2602732483631491E-2</c:v>
                      </c:pt>
                      <c:pt idx="77">
                        <c:v>2.6513434632879453E-2</c:v>
                      </c:pt>
                      <c:pt idx="78">
                        <c:v>3.7719298245614249E-2</c:v>
                      </c:pt>
                      <c:pt idx="79">
                        <c:v>4.1673729711404053E-2</c:v>
                      </c:pt>
                      <c:pt idx="80">
                        <c:v>3.6829928709329357E-2</c:v>
                      </c:pt>
                      <c:pt idx="81">
                        <c:v>2.8519042554400041E-2</c:v>
                      </c:pt>
                      <c:pt idx="82">
                        <c:v>2.6365969930326912E-2</c:v>
                      </c:pt>
                      <c:pt idx="83">
                        <c:v>2.7018502104144901E-2</c:v>
                      </c:pt>
                      <c:pt idx="84">
                        <c:v>3.5717614606799848E-2</c:v>
                      </c:pt>
                      <c:pt idx="85">
                        <c:v>3.2535438286026369E-2</c:v>
                      </c:pt>
                      <c:pt idx="86">
                        <c:v>2.8798046259795627E-2</c:v>
                      </c:pt>
                      <c:pt idx="87">
                        <c:v>8.7221839888994679E-2</c:v>
                      </c:pt>
                      <c:pt idx="88">
                        <c:v>0.45957989763404383</c:v>
                      </c:pt>
                      <c:pt idx="89">
                        <c:v>0.770360050084686</c:v>
                      </c:pt>
                      <c:pt idx="90">
                        <c:v>0.77117282576303414</c:v>
                      </c:pt>
                      <c:pt idx="91">
                        <c:v>6.3653563655784826E-2</c:v>
                      </c:pt>
                      <c:pt idx="92">
                        <c:v>3.7058550053172934E-2</c:v>
                      </c:pt>
                      <c:pt idx="93">
                        <c:v>3.1722633599996344E-2</c:v>
                      </c:pt>
                      <c:pt idx="94">
                        <c:v>3.9175806376972704E-2</c:v>
                      </c:pt>
                      <c:pt idx="95">
                        <c:v>3.0685224765700382E-2</c:v>
                      </c:pt>
                      <c:pt idx="96">
                        <c:v>2.2728947919044243E-2</c:v>
                      </c:pt>
                      <c:pt idx="97">
                        <c:v>1.5197469716364344E-2</c:v>
                      </c:pt>
                      <c:pt idx="98">
                        <c:v>2.4777357475399102E-2</c:v>
                      </c:pt>
                      <c:pt idx="99">
                        <c:v>1.8428084928437755E-2</c:v>
                      </c:pt>
                      <c:pt idx="100">
                        <c:v>1.6633489955545484E-2</c:v>
                      </c:pt>
                      <c:pt idx="101">
                        <c:v>1.2302817710850657E-2</c:v>
                      </c:pt>
                      <c:pt idx="102">
                        <c:v>5.1989703888892874E-2</c:v>
                      </c:pt>
                      <c:pt idx="103">
                        <c:v>0.3599610168214501</c:v>
                      </c:pt>
                      <c:pt idx="104">
                        <c:v>0.81781312979421428</c:v>
                      </c:pt>
                      <c:pt idx="105">
                        <c:v>0.1815721349035877</c:v>
                      </c:pt>
                      <c:pt idx="106">
                        <c:v>2.7171136631622399E-2</c:v>
                      </c:pt>
                      <c:pt idx="107">
                        <c:v>2.053408761711864E-2</c:v>
                      </c:pt>
                      <c:pt idx="108">
                        <c:v>3.0169242089771627E-2</c:v>
                      </c:pt>
                      <c:pt idx="109">
                        <c:v>2.5242216626050515E-2</c:v>
                      </c:pt>
                      <c:pt idx="110">
                        <c:v>2.8743095457487978E-2</c:v>
                      </c:pt>
                      <c:pt idx="111">
                        <c:v>6.8539246276252908E-2</c:v>
                      </c:pt>
                      <c:pt idx="112">
                        <c:v>0.39083368907452298</c:v>
                      </c:pt>
                      <c:pt idx="113">
                        <c:v>1.8499131658785699</c:v>
                      </c:pt>
                      <c:pt idx="114">
                        <c:v>0.3494371560595631</c:v>
                      </c:pt>
                      <c:pt idx="115">
                        <c:v>3.6384201654713608E-2</c:v>
                      </c:pt>
                      <c:pt idx="116">
                        <c:v>2.7823548305388031E-2</c:v>
                      </c:pt>
                      <c:pt idx="117">
                        <c:v>1.7077209117317055E-2</c:v>
                      </c:pt>
                      <c:pt idx="118">
                        <c:v>2.2359437987128791E-2</c:v>
                      </c:pt>
                      <c:pt idx="119">
                        <c:v>2.1584183219854176E-2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105-49F4-8102-72A099E17B67}"/>
                  </c:ext>
                </c:extLst>
              </c15:ser>
            </c15:filteredScatterSeries>
          </c:ext>
        </c:extLst>
      </c:scatterChart>
      <c:valAx>
        <c:axId val="11082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36496"/>
        <c:crosses val="autoZero"/>
        <c:crossBetween val="midCat"/>
      </c:valAx>
      <c:valAx>
        <c:axId val="11082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439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Med Speed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power"/>
            <c:dispRSqr val="1"/>
            <c:dispEq val="1"/>
            <c:trendlineLbl>
              <c:layout>
                <c:manualLayout>
                  <c:x val="-0.2575328083989501"/>
                  <c:y val="4.4757582385535143E-2"/>
                </c:manualLayout>
              </c:layout>
              <c:numFmt formatCode="#,##0.0000000000" sourceLinked="0"/>
            </c:trendlineLbl>
          </c:trendline>
          <c:xVal>
            <c:numRef>
              <c:f>'Sort by Ave Sp'!$I$170:$I$220</c:f>
              <c:numCache>
                <c:formatCode>General</c:formatCode>
                <c:ptCount val="51"/>
                <c:pt idx="0">
                  <c:v>0.70254297106011121</c:v>
                </c:pt>
                <c:pt idx="1">
                  <c:v>0.70647588930074223</c:v>
                </c:pt>
                <c:pt idx="2">
                  <c:v>0.71151016912866594</c:v>
                </c:pt>
                <c:pt idx="3">
                  <c:v>0.71646339360071765</c:v>
                </c:pt>
                <c:pt idx="4">
                  <c:v>0.72220256065793209</c:v>
                </c:pt>
                <c:pt idx="5">
                  <c:v>0.72887188254769508</c:v>
                </c:pt>
                <c:pt idx="6">
                  <c:v>0.73907332869291598</c:v>
                </c:pt>
                <c:pt idx="7">
                  <c:v>0.74244009794839028</c:v>
                </c:pt>
                <c:pt idx="8">
                  <c:v>0.74342690755765128</c:v>
                </c:pt>
                <c:pt idx="9">
                  <c:v>0.76240519792822792</c:v>
                </c:pt>
                <c:pt idx="10">
                  <c:v>0.76558176673783651</c:v>
                </c:pt>
                <c:pt idx="11">
                  <c:v>0.77009339864160742</c:v>
                </c:pt>
                <c:pt idx="12">
                  <c:v>0.77451217376072901</c:v>
                </c:pt>
                <c:pt idx="13">
                  <c:v>0.7811393793226985</c:v>
                </c:pt>
                <c:pt idx="14">
                  <c:v>0.7915892598663713</c:v>
                </c:pt>
                <c:pt idx="15">
                  <c:v>0.79314827754134132</c:v>
                </c:pt>
                <c:pt idx="16">
                  <c:v>0.79383330547164344</c:v>
                </c:pt>
                <c:pt idx="17">
                  <c:v>0.79410029498525103</c:v>
                </c:pt>
                <c:pt idx="18">
                  <c:v>0.7961311905820575</c:v>
                </c:pt>
                <c:pt idx="19">
                  <c:v>0.79984620302928222</c:v>
                </c:pt>
                <c:pt idx="20">
                  <c:v>0.80013508941399136</c:v>
                </c:pt>
                <c:pt idx="21">
                  <c:v>0.80288446767702071</c:v>
                </c:pt>
                <c:pt idx="22">
                  <c:v>0.8077086638003006</c:v>
                </c:pt>
                <c:pt idx="23">
                  <c:v>0.81343798059076222</c:v>
                </c:pt>
                <c:pt idx="24">
                  <c:v>0.8185979056192707</c:v>
                </c:pt>
                <c:pt idx="25">
                  <c:v>0.82481345244350945</c:v>
                </c:pt>
                <c:pt idx="26">
                  <c:v>0.83246972199284408</c:v>
                </c:pt>
                <c:pt idx="27">
                  <c:v>0.83919860479377928</c:v>
                </c:pt>
                <c:pt idx="28">
                  <c:v>0.83929263067064874</c:v>
                </c:pt>
                <c:pt idx="29">
                  <c:v>0.87889980732177309</c:v>
                </c:pt>
                <c:pt idx="30">
                  <c:v>0.88685569140168008</c:v>
                </c:pt>
                <c:pt idx="31">
                  <c:v>0.89029839087642504</c:v>
                </c:pt>
                <c:pt idx="32">
                  <c:v>0.89166857989647685</c:v>
                </c:pt>
                <c:pt idx="33">
                  <c:v>0.90429928385511005</c:v>
                </c:pt>
                <c:pt idx="34">
                  <c:v>0.90889196941560091</c:v>
                </c:pt>
                <c:pt idx="35">
                  <c:v>0.91905359213424509</c:v>
                </c:pt>
                <c:pt idx="36">
                  <c:v>0.91947785936225224</c:v>
                </c:pt>
                <c:pt idx="37">
                  <c:v>0.92715319075868641</c:v>
                </c:pt>
                <c:pt idx="38">
                  <c:v>0.9446973270440252</c:v>
                </c:pt>
                <c:pt idx="39">
                  <c:v>0.95541129390840374</c:v>
                </c:pt>
                <c:pt idx="40">
                  <c:v>0.95579117574359407</c:v>
                </c:pt>
                <c:pt idx="41">
                  <c:v>0.96154516879548457</c:v>
                </c:pt>
                <c:pt idx="42">
                  <c:v>0.96298506410745854</c:v>
                </c:pt>
                <c:pt idx="43">
                  <c:v>0.97353049468495756</c:v>
                </c:pt>
                <c:pt idx="44">
                  <c:v>0.98331662118123386</c:v>
                </c:pt>
                <c:pt idx="45">
                  <c:v>0.99473003639477531</c:v>
                </c:pt>
                <c:pt idx="46">
                  <c:v>1.0477895702306079</c:v>
                </c:pt>
                <c:pt idx="47">
                  <c:v>1.0513267796819643</c:v>
                </c:pt>
                <c:pt idx="48">
                  <c:v>1.0677421356035735</c:v>
                </c:pt>
                <c:pt idx="49">
                  <c:v>1.0771089925762332</c:v>
                </c:pt>
                <c:pt idx="50">
                  <c:v>1.1195818643300026</c:v>
                </c:pt>
              </c:numCache>
            </c:numRef>
          </c:xVal>
          <c:yVal>
            <c:numRef>
              <c:f>'Sort by Ave Sp'!$J$170:$J$220</c:f>
              <c:numCache>
                <c:formatCode>General</c:formatCode>
                <c:ptCount val="51"/>
                <c:pt idx="0">
                  <c:v>2.4964726678822324E-2</c:v>
                </c:pt>
                <c:pt idx="1">
                  <c:v>2.456983776069992E-2</c:v>
                </c:pt>
                <c:pt idx="2">
                  <c:v>0.2669145493974534</c:v>
                </c:pt>
                <c:pt idx="3">
                  <c:v>1.8127422498347381E-2</c:v>
                </c:pt>
                <c:pt idx="4">
                  <c:v>2.4772561758007652E-2</c:v>
                </c:pt>
                <c:pt idx="5">
                  <c:v>2.0274630152870628E-2</c:v>
                </c:pt>
                <c:pt idx="6">
                  <c:v>3.2578623294543092E-2</c:v>
                </c:pt>
                <c:pt idx="7">
                  <c:v>2.6240975447952664E-2</c:v>
                </c:pt>
                <c:pt idx="8">
                  <c:v>0.55963265111634575</c:v>
                </c:pt>
                <c:pt idx="9">
                  <c:v>0.45125116562037637</c:v>
                </c:pt>
                <c:pt idx="10">
                  <c:v>3.5712164192926124E-2</c:v>
                </c:pt>
                <c:pt idx="11">
                  <c:v>2.10379478363905E-2</c:v>
                </c:pt>
                <c:pt idx="12">
                  <c:v>3.0595567773760761E-2</c:v>
                </c:pt>
                <c:pt idx="13">
                  <c:v>3.8570393360587943E-2</c:v>
                </c:pt>
                <c:pt idx="14">
                  <c:v>0.38909960647806041</c:v>
                </c:pt>
                <c:pt idx="15">
                  <c:v>4.0119849386500296E-2</c:v>
                </c:pt>
                <c:pt idx="16">
                  <c:v>0.10515204530927316</c:v>
                </c:pt>
                <c:pt idx="17">
                  <c:v>4.3075272221929632E-2</c:v>
                </c:pt>
                <c:pt idx="18">
                  <c:v>1.0064228661926118</c:v>
                </c:pt>
                <c:pt idx="19">
                  <c:v>1.8688485047842075E-2</c:v>
                </c:pt>
                <c:pt idx="20">
                  <c:v>4.0690161548383549E-2</c:v>
                </c:pt>
                <c:pt idx="21">
                  <c:v>3.2905844445593829E-2</c:v>
                </c:pt>
                <c:pt idx="22">
                  <c:v>8.9071592308919201E-2</c:v>
                </c:pt>
                <c:pt idx="23">
                  <c:v>2.0405669619906659E-2</c:v>
                </c:pt>
                <c:pt idx="24">
                  <c:v>0.21585018487053131</c:v>
                </c:pt>
                <c:pt idx="25">
                  <c:v>8.9211689518890414E-2</c:v>
                </c:pt>
                <c:pt idx="26">
                  <c:v>1.3222917044287359</c:v>
                </c:pt>
                <c:pt idx="27">
                  <c:v>2.8644901332585126E-2</c:v>
                </c:pt>
                <c:pt idx="28">
                  <c:v>0.12269714735046029</c:v>
                </c:pt>
                <c:pt idx="29">
                  <c:v>0.36281171369732101</c:v>
                </c:pt>
                <c:pt idx="30">
                  <c:v>0.35387047257620707</c:v>
                </c:pt>
                <c:pt idx="31">
                  <c:v>8.4985093062831016E-2</c:v>
                </c:pt>
                <c:pt idx="32">
                  <c:v>8.2967796483855077E-2</c:v>
                </c:pt>
                <c:pt idx="33">
                  <c:v>0.16516651665166548</c:v>
                </c:pt>
                <c:pt idx="34">
                  <c:v>0.7105561807208185</c:v>
                </c:pt>
                <c:pt idx="35">
                  <c:v>0.33629979531302323</c:v>
                </c:pt>
                <c:pt idx="36">
                  <c:v>0.96798742789383452</c:v>
                </c:pt>
                <c:pt idx="37">
                  <c:v>8.87063148103686E-2</c:v>
                </c:pt>
                <c:pt idx="38">
                  <c:v>0.2777492370184288</c:v>
                </c:pt>
                <c:pt idx="39">
                  <c:v>0.5460153917764804</c:v>
                </c:pt>
                <c:pt idx="40">
                  <c:v>0.58066301936708442</c:v>
                </c:pt>
                <c:pt idx="41">
                  <c:v>0.9120442913921033</c:v>
                </c:pt>
                <c:pt idx="42">
                  <c:v>0.4320991012759432</c:v>
                </c:pt>
                <c:pt idx="43">
                  <c:v>0.24392636727764419</c:v>
                </c:pt>
                <c:pt idx="44">
                  <c:v>0.43552905448748225</c:v>
                </c:pt>
                <c:pt idx="45">
                  <c:v>0.31705364940028585</c:v>
                </c:pt>
                <c:pt idx="46">
                  <c:v>0.18034973554238784</c:v>
                </c:pt>
                <c:pt idx="47">
                  <c:v>0.24956082663784473</c:v>
                </c:pt>
                <c:pt idx="48">
                  <c:v>0.1436649684524966</c:v>
                </c:pt>
                <c:pt idx="49">
                  <c:v>0.76492028992006589</c:v>
                </c:pt>
                <c:pt idx="50">
                  <c:v>0.57947260497193398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3-4A73-8D36-DE9B33EB36A6}"/>
            </c:ext>
          </c:extLst>
        </c:ser>
        <c:ser>
          <c:idx val="1"/>
          <c:order val="1"/>
          <c:tx>
            <c:v>Low Speed</c:v>
          </c:tx>
          <c:spPr>
            <a:ln w="19050">
              <a:noFill/>
            </a:ln>
          </c:spPr>
          <c:xVal>
            <c:numRef>
              <c:f>'Sort by Ave Sp'!$F$138:$F$172</c:f>
              <c:numCache>
                <c:formatCode>General</c:formatCode>
                <c:ptCount val="35"/>
                <c:pt idx="0">
                  <c:v>0.75527031930333821</c:v>
                </c:pt>
                <c:pt idx="1">
                  <c:v>0.76096698113207539</c:v>
                </c:pt>
                <c:pt idx="2">
                  <c:v>0.76220912639661642</c:v>
                </c:pt>
                <c:pt idx="3">
                  <c:v>0.77104117966271501</c:v>
                </c:pt>
                <c:pt idx="4">
                  <c:v>0.78622745179348952</c:v>
                </c:pt>
                <c:pt idx="5">
                  <c:v>0.79611624524023439</c:v>
                </c:pt>
                <c:pt idx="6">
                  <c:v>0.7968136896810819</c:v>
                </c:pt>
                <c:pt idx="7">
                  <c:v>0.8056270410649915</c:v>
                </c:pt>
                <c:pt idx="8">
                  <c:v>0.81352493073964205</c:v>
                </c:pt>
                <c:pt idx="9">
                  <c:v>0.82620677832266654</c:v>
                </c:pt>
                <c:pt idx="10">
                  <c:v>0.83581481764271714</c:v>
                </c:pt>
                <c:pt idx="11">
                  <c:v>0.84043039808782471</c:v>
                </c:pt>
                <c:pt idx="12">
                  <c:v>0.84140965166908566</c:v>
                </c:pt>
                <c:pt idx="13">
                  <c:v>0.84301231068618332</c:v>
                </c:pt>
                <c:pt idx="14">
                  <c:v>0.87111810115534871</c:v>
                </c:pt>
                <c:pt idx="15">
                  <c:v>0.8812235059429806</c:v>
                </c:pt>
                <c:pt idx="16">
                  <c:v>0.88845894671366366</c:v>
                </c:pt>
                <c:pt idx="17">
                  <c:v>0.89290020306286477</c:v>
                </c:pt>
                <c:pt idx="18">
                  <c:v>0.8969587744386579</c:v>
                </c:pt>
                <c:pt idx="19">
                  <c:v>0.91206120934162793</c:v>
                </c:pt>
                <c:pt idx="20">
                  <c:v>0.96500524109014674</c:v>
                </c:pt>
                <c:pt idx="21">
                  <c:v>0.97422887344854203</c:v>
                </c:pt>
                <c:pt idx="22">
                  <c:v>1.0283189963780324</c:v>
                </c:pt>
                <c:pt idx="23">
                  <c:v>1.0340037757001437</c:v>
                </c:pt>
                <c:pt idx="24">
                  <c:v>1.0341810844408146</c:v>
                </c:pt>
                <c:pt idx="25">
                  <c:v>1.0537064930437459</c:v>
                </c:pt>
                <c:pt idx="26">
                  <c:v>1.0718547197150761</c:v>
                </c:pt>
                <c:pt idx="27">
                  <c:v>1.124735887934349</c:v>
                </c:pt>
                <c:pt idx="28">
                  <c:v>1.1626312233393503</c:v>
                </c:pt>
                <c:pt idx="29">
                  <c:v>1.2038502651811043</c:v>
                </c:pt>
                <c:pt idx="30">
                  <c:v>1.2183604161037236</c:v>
                </c:pt>
                <c:pt idx="31">
                  <c:v>1.2397706411358724</c:v>
                </c:pt>
                <c:pt idx="32">
                  <c:v>1.2612349346715996</c:v>
                </c:pt>
                <c:pt idx="33">
                  <c:v>1.3504487734753683</c:v>
                </c:pt>
                <c:pt idx="34">
                  <c:v>1.3542101938681308</c:v>
                </c:pt>
              </c:numCache>
            </c:numRef>
          </c:xVal>
          <c:yVal>
            <c:numRef>
              <c:f>'Sort by Ave Sp'!$G$138:$G$172</c:f>
              <c:numCache>
                <c:formatCode>General</c:formatCode>
                <c:ptCount val="35"/>
                <c:pt idx="0">
                  <c:v>0.3494371560595631</c:v>
                </c:pt>
                <c:pt idx="1">
                  <c:v>3.1756295672639816E-2</c:v>
                </c:pt>
                <c:pt idx="2">
                  <c:v>2.6980439202464613E-2</c:v>
                </c:pt>
                <c:pt idx="3">
                  <c:v>5.1989703888892874E-2</c:v>
                </c:pt>
                <c:pt idx="4">
                  <c:v>0.1815721349035877</c:v>
                </c:pt>
                <c:pt idx="5">
                  <c:v>4.4084780481563252E-2</c:v>
                </c:pt>
                <c:pt idx="6">
                  <c:v>0.7209149723345164</c:v>
                </c:pt>
                <c:pt idx="7">
                  <c:v>0.86310966155355251</c:v>
                </c:pt>
                <c:pt idx="8">
                  <c:v>0.59752461282183467</c:v>
                </c:pt>
                <c:pt idx="9">
                  <c:v>0.770360050084686</c:v>
                </c:pt>
                <c:pt idx="10">
                  <c:v>1.7822537600687499E-2</c:v>
                </c:pt>
                <c:pt idx="11">
                  <c:v>6.8539246276252908E-2</c:v>
                </c:pt>
                <c:pt idx="12">
                  <c:v>4.0608171412565293E-2</c:v>
                </c:pt>
                <c:pt idx="13">
                  <c:v>0.45957989763404383</c:v>
                </c:pt>
                <c:pt idx="14">
                  <c:v>1.1613671418732199</c:v>
                </c:pt>
                <c:pt idx="15">
                  <c:v>1.8499131658785699</c:v>
                </c:pt>
                <c:pt idx="16">
                  <c:v>0.81781312979421428</c:v>
                </c:pt>
                <c:pt idx="17">
                  <c:v>0.39083368907452298</c:v>
                </c:pt>
                <c:pt idx="18">
                  <c:v>5.194679181525004E-2</c:v>
                </c:pt>
                <c:pt idx="19">
                  <c:v>6.6986234021632257E-2</c:v>
                </c:pt>
                <c:pt idx="20">
                  <c:v>0.3599610168214501</c:v>
                </c:pt>
                <c:pt idx="21">
                  <c:v>1.4862878580589491E-2</c:v>
                </c:pt>
                <c:pt idx="22">
                  <c:v>0.17414250272153606</c:v>
                </c:pt>
                <c:pt idx="23">
                  <c:v>0.63712639543976957</c:v>
                </c:pt>
                <c:pt idx="24">
                  <c:v>1.7863319956717378E-2</c:v>
                </c:pt>
                <c:pt idx="25">
                  <c:v>4.0589742126191625E-2</c:v>
                </c:pt>
                <c:pt idx="26">
                  <c:v>1.9677466980653237E-2</c:v>
                </c:pt>
                <c:pt idx="27">
                  <c:v>2.5871661319582854E-2</c:v>
                </c:pt>
                <c:pt idx="28">
                  <c:v>0.65963954150377124</c:v>
                </c:pt>
                <c:pt idx="29">
                  <c:v>0.80613598472706982</c:v>
                </c:pt>
                <c:pt idx="30">
                  <c:v>4.4111599003781268E-2</c:v>
                </c:pt>
                <c:pt idx="31">
                  <c:v>2.0681043501737571E-2</c:v>
                </c:pt>
                <c:pt idx="32">
                  <c:v>3.9416911974569334E-2</c:v>
                </c:pt>
                <c:pt idx="33">
                  <c:v>0.51984233413371506</c:v>
                </c:pt>
                <c:pt idx="34">
                  <c:v>0.18936215939081602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B3-4A73-8D36-DE9B33EB3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243984"/>
        <c:axId val="1108236496"/>
        <c:extLst/>
      </c:scatterChart>
      <c:valAx>
        <c:axId val="11082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36496"/>
        <c:crosses val="autoZero"/>
        <c:crossBetween val="midCat"/>
      </c:valAx>
      <c:valAx>
        <c:axId val="11082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439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Slow and Mod</c:v>
          </c:tx>
          <c:spPr>
            <a:ln w="19050">
              <a:noFill/>
            </a:ln>
          </c:spPr>
          <c:trendline>
            <c:trendlineType val="exp"/>
            <c:dispRSqr val="0"/>
            <c:dispEq val="0"/>
          </c:trendline>
          <c:xVal>
            <c:numRef>
              <c:f>'Sort by Ave Sp'!$M$73:$M$166</c:f>
              <c:numCache>
                <c:formatCode>General</c:formatCode>
                <c:ptCount val="94"/>
                <c:pt idx="0">
                  <c:v>0.70198920763273864</c:v>
                </c:pt>
                <c:pt idx="1">
                  <c:v>0.70254297106011121</c:v>
                </c:pt>
                <c:pt idx="2">
                  <c:v>0.70647588930074223</c:v>
                </c:pt>
                <c:pt idx="3">
                  <c:v>0.70845510809300727</c:v>
                </c:pt>
                <c:pt idx="4">
                  <c:v>0.70945858386896121</c:v>
                </c:pt>
                <c:pt idx="5">
                  <c:v>0.71135131772546301</c:v>
                </c:pt>
                <c:pt idx="6">
                  <c:v>0.71151016912866594</c:v>
                </c:pt>
                <c:pt idx="7">
                  <c:v>0.71646339360071765</c:v>
                </c:pt>
                <c:pt idx="8">
                  <c:v>0.71651308505764677</c:v>
                </c:pt>
                <c:pt idx="9">
                  <c:v>0.72220256065793209</c:v>
                </c:pt>
                <c:pt idx="10">
                  <c:v>0.72887188254769508</c:v>
                </c:pt>
                <c:pt idx="11">
                  <c:v>0.73207047043463613</c:v>
                </c:pt>
                <c:pt idx="12">
                  <c:v>0.73662410356014685</c:v>
                </c:pt>
                <c:pt idx="13">
                  <c:v>0.73907332869291598</c:v>
                </c:pt>
                <c:pt idx="14">
                  <c:v>0.74244009794839028</c:v>
                </c:pt>
                <c:pt idx="15">
                  <c:v>0.74342690755765128</c:v>
                </c:pt>
                <c:pt idx="16">
                  <c:v>0.74718441665224156</c:v>
                </c:pt>
                <c:pt idx="17">
                  <c:v>0.75527031930333821</c:v>
                </c:pt>
                <c:pt idx="18">
                  <c:v>0.76096698113207539</c:v>
                </c:pt>
                <c:pt idx="19">
                  <c:v>0.76220912639661642</c:v>
                </c:pt>
                <c:pt idx="20">
                  <c:v>0.76240519792822792</c:v>
                </c:pt>
                <c:pt idx="21">
                  <c:v>0.76558176673783651</c:v>
                </c:pt>
                <c:pt idx="22">
                  <c:v>0.77009339864160742</c:v>
                </c:pt>
                <c:pt idx="23">
                  <c:v>0.77104117966271501</c:v>
                </c:pt>
                <c:pt idx="24">
                  <c:v>0.77451217376072901</c:v>
                </c:pt>
                <c:pt idx="25">
                  <c:v>0.7811393793226985</c:v>
                </c:pt>
                <c:pt idx="26">
                  <c:v>0.78622745179348952</c:v>
                </c:pt>
                <c:pt idx="27">
                  <c:v>0.7915892598663713</c:v>
                </c:pt>
                <c:pt idx="28">
                  <c:v>0.79314827754134132</c:v>
                </c:pt>
                <c:pt idx="29">
                  <c:v>0.79383330547164344</c:v>
                </c:pt>
                <c:pt idx="30">
                  <c:v>0.79410029498525103</c:v>
                </c:pt>
                <c:pt idx="31">
                  <c:v>0.79611624524023439</c:v>
                </c:pt>
                <c:pt idx="32">
                  <c:v>0.7961311905820575</c:v>
                </c:pt>
                <c:pt idx="33">
                  <c:v>0.7968136896810819</c:v>
                </c:pt>
                <c:pt idx="34">
                  <c:v>0.79984620302928222</c:v>
                </c:pt>
                <c:pt idx="35">
                  <c:v>0.80013508941399136</c:v>
                </c:pt>
                <c:pt idx="36">
                  <c:v>0.80288446767702071</c:v>
                </c:pt>
                <c:pt idx="37">
                  <c:v>0.8056270410649915</c:v>
                </c:pt>
                <c:pt idx="38">
                  <c:v>0.8077086638003006</c:v>
                </c:pt>
                <c:pt idx="39">
                  <c:v>0.81343798059076222</c:v>
                </c:pt>
                <c:pt idx="40">
                  <c:v>0.81352493073964205</c:v>
                </c:pt>
                <c:pt idx="41">
                  <c:v>0.8185979056192707</c:v>
                </c:pt>
                <c:pt idx="42">
                  <c:v>0.82481345244350945</c:v>
                </c:pt>
                <c:pt idx="43">
                  <c:v>0.82620677832266654</c:v>
                </c:pt>
                <c:pt idx="44">
                  <c:v>0.83246972199284408</c:v>
                </c:pt>
                <c:pt idx="45">
                  <c:v>0.83581481764271714</c:v>
                </c:pt>
                <c:pt idx="46">
                  <c:v>0.83919860479377928</c:v>
                </c:pt>
                <c:pt idx="47">
                  <c:v>0.83929263067064874</c:v>
                </c:pt>
                <c:pt idx="48">
                  <c:v>0.84043039808782471</c:v>
                </c:pt>
                <c:pt idx="49">
                  <c:v>0.84140965166908566</c:v>
                </c:pt>
                <c:pt idx="50">
                  <c:v>0.84301231068618332</c:v>
                </c:pt>
                <c:pt idx="51">
                  <c:v>0.87111810115534871</c:v>
                </c:pt>
                <c:pt idx="52">
                  <c:v>0.87889980732177309</c:v>
                </c:pt>
                <c:pt idx="53">
                  <c:v>0.8812235059429806</c:v>
                </c:pt>
                <c:pt idx="54">
                  <c:v>0.88685569140168008</c:v>
                </c:pt>
                <c:pt idx="55">
                  <c:v>0.88845894671366366</c:v>
                </c:pt>
                <c:pt idx="56">
                  <c:v>0.89029839087642504</c:v>
                </c:pt>
                <c:pt idx="57">
                  <c:v>0.89166857989647685</c:v>
                </c:pt>
                <c:pt idx="58">
                  <c:v>0.89290020306286477</c:v>
                </c:pt>
                <c:pt idx="59">
                  <c:v>0.8969587744386579</c:v>
                </c:pt>
                <c:pt idx="60">
                  <c:v>0.90429928385511005</c:v>
                </c:pt>
                <c:pt idx="61">
                  <c:v>0.90889196941560091</c:v>
                </c:pt>
                <c:pt idx="62">
                  <c:v>0.91206120934162793</c:v>
                </c:pt>
                <c:pt idx="63">
                  <c:v>0.91905359213424509</c:v>
                </c:pt>
                <c:pt idx="64">
                  <c:v>0.91947785936225224</c:v>
                </c:pt>
                <c:pt idx="65">
                  <c:v>0.92715319075868641</c:v>
                </c:pt>
                <c:pt idx="66">
                  <c:v>0.9446973270440252</c:v>
                </c:pt>
                <c:pt idx="67">
                  <c:v>0.95541129390840374</c:v>
                </c:pt>
                <c:pt idx="68">
                  <c:v>0.95579117574359407</c:v>
                </c:pt>
                <c:pt idx="69">
                  <c:v>0.96154516879548457</c:v>
                </c:pt>
                <c:pt idx="70">
                  <c:v>0.96298506410745854</c:v>
                </c:pt>
                <c:pt idx="71">
                  <c:v>0.96500524109014674</c:v>
                </c:pt>
                <c:pt idx="72">
                  <c:v>0.97353049468495756</c:v>
                </c:pt>
                <c:pt idx="73">
                  <c:v>0.97422887344854203</c:v>
                </c:pt>
                <c:pt idx="74">
                  <c:v>0.98331662118123386</c:v>
                </c:pt>
                <c:pt idx="75">
                  <c:v>0.99473003639477531</c:v>
                </c:pt>
                <c:pt idx="76">
                  <c:v>1.0283189963780324</c:v>
                </c:pt>
                <c:pt idx="77">
                  <c:v>1.0340037757001437</c:v>
                </c:pt>
                <c:pt idx="78">
                  <c:v>1.0341810844408146</c:v>
                </c:pt>
                <c:pt idx="79">
                  <c:v>1.0477895702306079</c:v>
                </c:pt>
                <c:pt idx="80">
                  <c:v>1.0513267796819643</c:v>
                </c:pt>
                <c:pt idx="81">
                  <c:v>1.0537064930437459</c:v>
                </c:pt>
                <c:pt idx="82">
                  <c:v>1.0677421356035735</c:v>
                </c:pt>
                <c:pt idx="83">
                  <c:v>1.0718547197150761</c:v>
                </c:pt>
                <c:pt idx="84">
                  <c:v>1.0771089925762332</c:v>
                </c:pt>
                <c:pt idx="85">
                  <c:v>1.1195818643300026</c:v>
                </c:pt>
                <c:pt idx="86">
                  <c:v>1.124735887934349</c:v>
                </c:pt>
                <c:pt idx="87">
                  <c:v>1.1626312233393503</c:v>
                </c:pt>
                <c:pt idx="88">
                  <c:v>1.2038502651811043</c:v>
                </c:pt>
                <c:pt idx="89">
                  <c:v>1.2183604161037236</c:v>
                </c:pt>
                <c:pt idx="90">
                  <c:v>1.2397706411358724</c:v>
                </c:pt>
                <c:pt idx="91">
                  <c:v>1.2612349346715996</c:v>
                </c:pt>
                <c:pt idx="92">
                  <c:v>1.3504487734753683</c:v>
                </c:pt>
                <c:pt idx="93">
                  <c:v>1.3542101938681308</c:v>
                </c:pt>
              </c:numCache>
            </c:numRef>
          </c:xVal>
          <c:yVal>
            <c:numRef>
              <c:f>'Sort by Ave Sp'!$N$73:$N$166</c:f>
              <c:numCache>
                <c:formatCode>General</c:formatCode>
                <c:ptCount val="94"/>
                <c:pt idx="0">
                  <c:v>2.5242216626050515E-2</c:v>
                </c:pt>
                <c:pt idx="1">
                  <c:v>2.4964726678822324E-2</c:v>
                </c:pt>
                <c:pt idx="2">
                  <c:v>2.456983776069992E-2</c:v>
                </c:pt>
                <c:pt idx="3">
                  <c:v>3.2641605032098356E-2</c:v>
                </c:pt>
                <c:pt idx="4">
                  <c:v>0.77117282576303414</c:v>
                </c:pt>
                <c:pt idx="5">
                  <c:v>3.0169242089771627E-2</c:v>
                </c:pt>
                <c:pt idx="6">
                  <c:v>0.2669145493974534</c:v>
                </c:pt>
                <c:pt idx="7">
                  <c:v>1.8127422498347381E-2</c:v>
                </c:pt>
                <c:pt idx="8">
                  <c:v>6.3362024551599866E-2</c:v>
                </c:pt>
                <c:pt idx="9">
                  <c:v>2.4772561758007652E-2</c:v>
                </c:pt>
                <c:pt idx="10">
                  <c:v>2.0274630152870628E-2</c:v>
                </c:pt>
                <c:pt idx="11">
                  <c:v>8.7221839888994679E-2</c:v>
                </c:pt>
                <c:pt idx="12">
                  <c:v>2.8743095457487978E-2</c:v>
                </c:pt>
                <c:pt idx="13">
                  <c:v>3.2578623294543092E-2</c:v>
                </c:pt>
                <c:pt idx="14">
                  <c:v>2.6240975447952664E-2</c:v>
                </c:pt>
                <c:pt idx="15">
                  <c:v>0.55963265111634575</c:v>
                </c:pt>
                <c:pt idx="16">
                  <c:v>3.5334195703217823E-2</c:v>
                </c:pt>
                <c:pt idx="17">
                  <c:v>0.3494371560595631</c:v>
                </c:pt>
                <c:pt idx="18">
                  <c:v>3.1756295672639816E-2</c:v>
                </c:pt>
                <c:pt idx="19">
                  <c:v>2.6980439202464613E-2</c:v>
                </c:pt>
                <c:pt idx="20">
                  <c:v>0.45125116562037637</c:v>
                </c:pt>
                <c:pt idx="21">
                  <c:v>3.5712164192926124E-2</c:v>
                </c:pt>
                <c:pt idx="22">
                  <c:v>2.10379478363905E-2</c:v>
                </c:pt>
                <c:pt idx="23">
                  <c:v>5.1989703888892874E-2</c:v>
                </c:pt>
                <c:pt idx="24">
                  <c:v>3.0595567773760761E-2</c:v>
                </c:pt>
                <c:pt idx="25">
                  <c:v>3.8570393360587943E-2</c:v>
                </c:pt>
                <c:pt idx="26">
                  <c:v>0.1815721349035877</c:v>
                </c:pt>
                <c:pt idx="27">
                  <c:v>0.38909960647806041</c:v>
                </c:pt>
                <c:pt idx="28">
                  <c:v>4.0119849386500296E-2</c:v>
                </c:pt>
                <c:pt idx="29">
                  <c:v>0.10515204530927316</c:v>
                </c:pt>
                <c:pt idx="30">
                  <c:v>4.3075272221929632E-2</c:v>
                </c:pt>
                <c:pt idx="31">
                  <c:v>4.4084780481563252E-2</c:v>
                </c:pt>
                <c:pt idx="32">
                  <c:v>1.0064228661926118</c:v>
                </c:pt>
                <c:pt idx="33">
                  <c:v>0.7209149723345164</c:v>
                </c:pt>
                <c:pt idx="34">
                  <c:v>1.8688485047842075E-2</c:v>
                </c:pt>
                <c:pt idx="35">
                  <c:v>4.0690161548383549E-2</c:v>
                </c:pt>
                <c:pt idx="36">
                  <c:v>3.2905844445593829E-2</c:v>
                </c:pt>
                <c:pt idx="37">
                  <c:v>0.86310966155355251</c:v>
                </c:pt>
                <c:pt idx="38">
                  <c:v>8.9071592308919201E-2</c:v>
                </c:pt>
                <c:pt idx="39">
                  <c:v>2.0405669619906659E-2</c:v>
                </c:pt>
                <c:pt idx="40">
                  <c:v>0.59752461282183467</c:v>
                </c:pt>
                <c:pt idx="41">
                  <c:v>0.21585018487053131</c:v>
                </c:pt>
                <c:pt idx="42">
                  <c:v>8.9211689518890414E-2</c:v>
                </c:pt>
                <c:pt idx="43">
                  <c:v>0.770360050084686</c:v>
                </c:pt>
                <c:pt idx="44">
                  <c:v>1.3222917044287359</c:v>
                </c:pt>
                <c:pt idx="45">
                  <c:v>1.7822537600687499E-2</c:v>
                </c:pt>
                <c:pt idx="46">
                  <c:v>2.8644901332585126E-2</c:v>
                </c:pt>
                <c:pt idx="47">
                  <c:v>0.12269714735046029</c:v>
                </c:pt>
                <c:pt idx="48">
                  <c:v>6.8539246276252908E-2</c:v>
                </c:pt>
                <c:pt idx="49">
                  <c:v>4.0608171412565293E-2</c:v>
                </c:pt>
                <c:pt idx="50">
                  <c:v>0.45957989763404383</c:v>
                </c:pt>
                <c:pt idx="51">
                  <c:v>1.1613671418732199</c:v>
                </c:pt>
                <c:pt idx="52">
                  <c:v>0.36281171369732101</c:v>
                </c:pt>
                <c:pt idx="53">
                  <c:v>1.8499131658785699</c:v>
                </c:pt>
                <c:pt idx="54">
                  <c:v>0.35387047257620707</c:v>
                </c:pt>
                <c:pt idx="55">
                  <c:v>0.81781312979421428</c:v>
                </c:pt>
                <c:pt idx="56">
                  <c:v>8.4985093062831016E-2</c:v>
                </c:pt>
                <c:pt idx="57">
                  <c:v>8.2967796483855077E-2</c:v>
                </c:pt>
                <c:pt idx="58">
                  <c:v>0.39083368907452298</c:v>
                </c:pt>
                <c:pt idx="59">
                  <c:v>5.194679181525004E-2</c:v>
                </c:pt>
                <c:pt idx="60">
                  <c:v>0.16516651665166548</c:v>
                </c:pt>
                <c:pt idx="61">
                  <c:v>0.7105561807208185</c:v>
                </c:pt>
                <c:pt idx="62">
                  <c:v>6.6986234021632257E-2</c:v>
                </c:pt>
                <c:pt idx="63">
                  <c:v>0.33629979531302323</c:v>
                </c:pt>
                <c:pt idx="64">
                  <c:v>0.96798742789383452</c:v>
                </c:pt>
                <c:pt idx="65">
                  <c:v>8.87063148103686E-2</c:v>
                </c:pt>
                <c:pt idx="66">
                  <c:v>0.2777492370184288</c:v>
                </c:pt>
                <c:pt idx="67">
                  <c:v>0.5460153917764804</c:v>
                </c:pt>
                <c:pt idx="68">
                  <c:v>0.58066301936708442</c:v>
                </c:pt>
                <c:pt idx="69">
                  <c:v>0.9120442913921033</c:v>
                </c:pt>
                <c:pt idx="70">
                  <c:v>0.4320991012759432</c:v>
                </c:pt>
                <c:pt idx="71">
                  <c:v>0.3599610168214501</c:v>
                </c:pt>
                <c:pt idx="72">
                  <c:v>0.24392636727764419</c:v>
                </c:pt>
                <c:pt idx="73">
                  <c:v>1.4862878580589491E-2</c:v>
                </c:pt>
                <c:pt idx="74">
                  <c:v>0.43552905448748225</c:v>
                </c:pt>
                <c:pt idx="75">
                  <c:v>0.31705364940028585</c:v>
                </c:pt>
                <c:pt idx="76">
                  <c:v>0.17414250272153606</c:v>
                </c:pt>
                <c:pt idx="77">
                  <c:v>0.63712639543976957</c:v>
                </c:pt>
                <c:pt idx="78">
                  <c:v>1.7863319956717378E-2</c:v>
                </c:pt>
                <c:pt idx="79">
                  <c:v>0.18034973554238784</c:v>
                </c:pt>
                <c:pt idx="80">
                  <c:v>0.24956082663784473</c:v>
                </c:pt>
                <c:pt idx="81">
                  <c:v>4.0589742126191625E-2</c:v>
                </c:pt>
                <c:pt idx="82">
                  <c:v>0.1436649684524966</c:v>
                </c:pt>
                <c:pt idx="83">
                  <c:v>1.9677466980653237E-2</c:v>
                </c:pt>
                <c:pt idx="84">
                  <c:v>0.76492028992006589</c:v>
                </c:pt>
                <c:pt idx="85">
                  <c:v>0.57947260497193398</c:v>
                </c:pt>
                <c:pt idx="86">
                  <c:v>2.5871661319582854E-2</c:v>
                </c:pt>
                <c:pt idx="87">
                  <c:v>0.65963954150377124</c:v>
                </c:pt>
                <c:pt idx="88">
                  <c:v>0.80613598472706982</c:v>
                </c:pt>
                <c:pt idx="89">
                  <c:v>4.4111599003781268E-2</c:v>
                </c:pt>
                <c:pt idx="90">
                  <c:v>2.0681043501737571E-2</c:v>
                </c:pt>
                <c:pt idx="91">
                  <c:v>3.9416911974569334E-2</c:v>
                </c:pt>
                <c:pt idx="92">
                  <c:v>0.51984233413371506</c:v>
                </c:pt>
                <c:pt idx="93">
                  <c:v>0.18936215939081602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07-40D1-8F8F-D108887DD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243984"/>
        <c:axId val="1108236496"/>
        <c:extLst/>
      </c:scatterChart>
      <c:valAx>
        <c:axId val="11082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36496"/>
        <c:crosses val="autoZero"/>
        <c:crossBetween val="midCat"/>
      </c:valAx>
      <c:valAx>
        <c:axId val="11082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439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 by Ave Sp'!$B$35:$B$538</c:f>
              <c:numCache>
                <c:formatCode>General</c:formatCode>
                <c:ptCount val="504"/>
                <c:pt idx="0">
                  <c:v>0.11119069477860791</c:v>
                </c:pt>
                <c:pt idx="1">
                  <c:v>6.9550631719867792E-2</c:v>
                </c:pt>
                <c:pt idx="2">
                  <c:v>4.6826637693449226E-2</c:v>
                </c:pt>
                <c:pt idx="3">
                  <c:v>4.2291307727864852E-2</c:v>
                </c:pt>
                <c:pt idx="4">
                  <c:v>6.7823675253183183E-2</c:v>
                </c:pt>
                <c:pt idx="5">
                  <c:v>0.18282381864892183</c:v>
                </c:pt>
                <c:pt idx="6">
                  <c:v>0.46546402780096846</c:v>
                </c:pt>
                <c:pt idx="7">
                  <c:v>0.76096698113207539</c:v>
                </c:pt>
                <c:pt idx="8">
                  <c:v>0.84140965166908566</c:v>
                </c:pt>
                <c:pt idx="9">
                  <c:v>0.69061139332365751</c:v>
                </c:pt>
                <c:pt idx="10">
                  <c:v>0.65197589686098656</c:v>
                </c:pt>
                <c:pt idx="11">
                  <c:v>0.70845510809300727</c:v>
                </c:pt>
                <c:pt idx="12">
                  <c:v>0.74718441665224156</c:v>
                </c:pt>
                <c:pt idx="13">
                  <c:v>0.79611624524023439</c:v>
                </c:pt>
                <c:pt idx="14">
                  <c:v>0.8969587744386579</c:v>
                </c:pt>
                <c:pt idx="15">
                  <c:v>1.0283189963780324</c:v>
                </c:pt>
                <c:pt idx="16">
                  <c:v>1.0340037757001437</c:v>
                </c:pt>
                <c:pt idx="17">
                  <c:v>0.87111810115534871</c:v>
                </c:pt>
                <c:pt idx="18">
                  <c:v>0.7968136896810819</c:v>
                </c:pt>
                <c:pt idx="19">
                  <c:v>0.59785639412997904</c:v>
                </c:pt>
                <c:pt idx="20">
                  <c:v>0.50236636971046766</c:v>
                </c:pt>
                <c:pt idx="21">
                  <c:v>0.4902946035242291</c:v>
                </c:pt>
                <c:pt idx="22">
                  <c:v>0.35025160734546368</c:v>
                </c:pt>
                <c:pt idx="23">
                  <c:v>0.21534502686492565</c:v>
                </c:pt>
                <c:pt idx="24">
                  <c:v>8.1651296068450882E-2</c:v>
                </c:pt>
                <c:pt idx="25">
                  <c:v>4.5125684238718877E-2</c:v>
                </c:pt>
                <c:pt idx="26">
                  <c:v>2.9511088528472101E-2</c:v>
                </c:pt>
                <c:pt idx="27">
                  <c:v>2.5838046183751767E-2</c:v>
                </c:pt>
                <c:pt idx="28">
                  <c:v>4.3337590869430141E-2</c:v>
                </c:pt>
                <c:pt idx="29">
                  <c:v>0.16319696304497211</c:v>
                </c:pt>
                <c:pt idx="30">
                  <c:v>0.36360637205980428</c:v>
                </c:pt>
                <c:pt idx="31">
                  <c:v>0.54419383573846425</c:v>
                </c:pt>
                <c:pt idx="32">
                  <c:v>0.57352300291904779</c:v>
                </c:pt>
                <c:pt idx="33">
                  <c:v>0.48537866801641882</c:v>
                </c:pt>
                <c:pt idx="34">
                  <c:v>0.46224585299317278</c:v>
                </c:pt>
                <c:pt idx="35">
                  <c:v>0.49239168368928293</c:v>
                </c:pt>
                <c:pt idx="36">
                  <c:v>0.5139980582429059</c:v>
                </c:pt>
                <c:pt idx="37">
                  <c:v>0.55736864494595273</c:v>
                </c:pt>
                <c:pt idx="38">
                  <c:v>0.60366731077580893</c:v>
                </c:pt>
                <c:pt idx="39">
                  <c:v>0.71651308505764677</c:v>
                </c:pt>
                <c:pt idx="40">
                  <c:v>0.81352493073964205</c:v>
                </c:pt>
                <c:pt idx="41">
                  <c:v>0.8056270410649915</c:v>
                </c:pt>
                <c:pt idx="42">
                  <c:v>0.69753965969893283</c:v>
                </c:pt>
                <c:pt idx="43">
                  <c:v>0.4941001435881463</c:v>
                </c:pt>
                <c:pt idx="44">
                  <c:v>0.42166034384861423</c:v>
                </c:pt>
                <c:pt idx="45">
                  <c:v>0.38857874773084194</c:v>
                </c:pt>
                <c:pt idx="46">
                  <c:v>0.2725386541027689</c:v>
                </c:pt>
                <c:pt idx="47">
                  <c:v>0.15746440087639504</c:v>
                </c:pt>
                <c:pt idx="48">
                  <c:v>0.1546445052277102</c:v>
                </c:pt>
                <c:pt idx="49">
                  <c:v>9.0837414995041971E-2</c:v>
                </c:pt>
                <c:pt idx="50">
                  <c:v>6.4153162846386697E-2</c:v>
                </c:pt>
                <c:pt idx="51">
                  <c:v>6.6046321813360911E-2</c:v>
                </c:pt>
                <c:pt idx="52">
                  <c:v>0.14172244243974999</c:v>
                </c:pt>
                <c:pt idx="53">
                  <c:v>0.40082138918872967</c:v>
                </c:pt>
                <c:pt idx="54">
                  <c:v>0.83581481764271714</c:v>
                </c:pt>
                <c:pt idx="55">
                  <c:v>1.2397706411358724</c:v>
                </c:pt>
                <c:pt idx="56">
                  <c:v>1.2612349346715996</c:v>
                </c:pt>
                <c:pt idx="57">
                  <c:v>1.0537064930437459</c:v>
                </c:pt>
                <c:pt idx="58">
                  <c:v>0.97422887344854203</c:v>
                </c:pt>
                <c:pt idx="59">
                  <c:v>1.0341810844408146</c:v>
                </c:pt>
                <c:pt idx="60">
                  <c:v>1.0718547197150761</c:v>
                </c:pt>
                <c:pt idx="61">
                  <c:v>1.124735887934349</c:v>
                </c:pt>
                <c:pt idx="62">
                  <c:v>1.2183604161037236</c:v>
                </c:pt>
                <c:pt idx="63">
                  <c:v>1.3542101938681308</c:v>
                </c:pt>
                <c:pt idx="64">
                  <c:v>1.3504487734753683</c:v>
                </c:pt>
                <c:pt idx="65">
                  <c:v>1.2038502651811043</c:v>
                </c:pt>
                <c:pt idx="66">
                  <c:v>1.1626312233393503</c:v>
                </c:pt>
                <c:pt idx="67">
                  <c:v>0.91206120934162793</c:v>
                </c:pt>
                <c:pt idx="68">
                  <c:v>0.76220912639661642</c:v>
                </c:pt>
                <c:pt idx="69">
                  <c:v>0.69766001518547149</c:v>
                </c:pt>
                <c:pt idx="70">
                  <c:v>0.48710944881981055</c:v>
                </c:pt>
                <c:pt idx="71">
                  <c:v>0.29221335264334525</c:v>
                </c:pt>
                <c:pt idx="72">
                  <c:v>8.6028185808956992E-2</c:v>
                </c:pt>
                <c:pt idx="73">
                  <c:v>4.9453781952056228E-2</c:v>
                </c:pt>
                <c:pt idx="74">
                  <c:v>3.3450816196735213E-2</c:v>
                </c:pt>
                <c:pt idx="75">
                  <c:v>3.0188941883430687E-2</c:v>
                </c:pt>
                <c:pt idx="76">
                  <c:v>4.8878272471319914E-2</c:v>
                </c:pt>
                <c:pt idx="77">
                  <c:v>0.17494551255053908</c:v>
                </c:pt>
                <c:pt idx="78">
                  <c:v>0.38017746076139591</c:v>
                </c:pt>
                <c:pt idx="79">
                  <c:v>0.60183962264150948</c:v>
                </c:pt>
                <c:pt idx="80">
                  <c:v>0.6514993261455525</c:v>
                </c:pt>
                <c:pt idx="81">
                  <c:v>0.54999352063031304</c:v>
                </c:pt>
                <c:pt idx="82">
                  <c:v>0.50407051146459092</c:v>
                </c:pt>
                <c:pt idx="83">
                  <c:v>0.53675403397933918</c:v>
                </c:pt>
                <c:pt idx="84">
                  <c:v>0.54898022084048026</c:v>
                </c:pt>
                <c:pt idx="85">
                  <c:v>0.57536569853720587</c:v>
                </c:pt>
                <c:pt idx="86">
                  <c:v>0.6161503364708889</c:v>
                </c:pt>
                <c:pt idx="87">
                  <c:v>0.73207047043463613</c:v>
                </c:pt>
                <c:pt idx="88">
                  <c:v>0.84301231068618332</c:v>
                </c:pt>
                <c:pt idx="89">
                  <c:v>0.82620677832266654</c:v>
                </c:pt>
                <c:pt idx="90">
                  <c:v>0.70945858386896121</c:v>
                </c:pt>
                <c:pt idx="91">
                  <c:v>0.48831297638385607</c:v>
                </c:pt>
                <c:pt idx="92">
                  <c:v>0.40961964743455059</c:v>
                </c:pt>
                <c:pt idx="93">
                  <c:v>0.37603898262821051</c:v>
                </c:pt>
                <c:pt idx="94">
                  <c:v>0.272447682480985</c:v>
                </c:pt>
                <c:pt idx="95">
                  <c:v>0.15900677870798449</c:v>
                </c:pt>
                <c:pt idx="96">
                  <c:v>7.5301538558946432E-2</c:v>
                </c:pt>
                <c:pt idx="97">
                  <c:v>4.4915910136802906E-2</c:v>
                </c:pt>
                <c:pt idx="98">
                  <c:v>3.5499258002967993E-2</c:v>
                </c:pt>
                <c:pt idx="99">
                  <c:v>4.4104824137496321E-2</c:v>
                </c:pt>
                <c:pt idx="100">
                  <c:v>9.9944320712694865E-2</c:v>
                </c:pt>
                <c:pt idx="101">
                  <c:v>0.30806730121293802</c:v>
                </c:pt>
                <c:pt idx="102">
                  <c:v>0.77104117966271501</c:v>
                </c:pt>
                <c:pt idx="103">
                  <c:v>0.96500524109014674</c:v>
                </c:pt>
                <c:pt idx="104">
                  <c:v>0.88845894671366366</c:v>
                </c:pt>
                <c:pt idx="105">
                  <c:v>0.78622745179348952</c:v>
                </c:pt>
                <c:pt idx="106">
                  <c:v>0.67369433112357635</c:v>
                </c:pt>
                <c:pt idx="107">
                  <c:v>0.69324545532868098</c:v>
                </c:pt>
                <c:pt idx="108">
                  <c:v>0.71135131772546301</c:v>
                </c:pt>
                <c:pt idx="109">
                  <c:v>0.70198920763273864</c:v>
                </c:pt>
                <c:pt idx="110">
                  <c:v>0.73662410356014685</c:v>
                </c:pt>
                <c:pt idx="111">
                  <c:v>0.84043039808782471</c:v>
                </c:pt>
                <c:pt idx="112">
                  <c:v>0.89290020306286477</c:v>
                </c:pt>
                <c:pt idx="113">
                  <c:v>0.8812235059429806</c:v>
                </c:pt>
                <c:pt idx="114">
                  <c:v>0.75527031930333821</c:v>
                </c:pt>
                <c:pt idx="115">
                  <c:v>0.5165146403432046</c:v>
                </c:pt>
                <c:pt idx="116">
                  <c:v>0.40768269109551625</c:v>
                </c:pt>
                <c:pt idx="117">
                  <c:v>0.3426993288172222</c:v>
                </c:pt>
                <c:pt idx="118">
                  <c:v>0.24438742278438461</c:v>
                </c:pt>
                <c:pt idx="119">
                  <c:v>0.14368700279062019</c:v>
                </c:pt>
                <c:pt idx="120">
                  <c:v>0.10844312759091131</c:v>
                </c:pt>
                <c:pt idx="121">
                  <c:v>6.2238850288021855E-2</c:v>
                </c:pt>
                <c:pt idx="122">
                  <c:v>4.3422687266018362E-2</c:v>
                </c:pt>
                <c:pt idx="123">
                  <c:v>4.4725555572749702E-2</c:v>
                </c:pt>
                <c:pt idx="124">
                  <c:v>9.7492021583684391E-2</c:v>
                </c:pt>
                <c:pt idx="125">
                  <c:v>0.279629877071085</c:v>
                </c:pt>
                <c:pt idx="126">
                  <c:v>0.63407836422716535</c:v>
                </c:pt>
                <c:pt idx="127">
                  <c:v>0.97353049468495756</c:v>
                </c:pt>
                <c:pt idx="128">
                  <c:v>0.98331662118123386</c:v>
                </c:pt>
                <c:pt idx="129">
                  <c:v>0.79383330547164344</c:v>
                </c:pt>
                <c:pt idx="130">
                  <c:v>0.72220256065793209</c:v>
                </c:pt>
                <c:pt idx="131">
                  <c:v>0.77009339864160742</c:v>
                </c:pt>
                <c:pt idx="132">
                  <c:v>0.80013508941399136</c:v>
                </c:pt>
                <c:pt idx="133">
                  <c:v>0.83919860479377928</c:v>
                </c:pt>
                <c:pt idx="134">
                  <c:v>0.92715319075868641</c:v>
                </c:pt>
                <c:pt idx="135">
                  <c:v>1.0677421356035735</c:v>
                </c:pt>
                <c:pt idx="136">
                  <c:v>1.1195818643300026</c:v>
                </c:pt>
                <c:pt idx="137">
                  <c:v>1.0771089925762332</c:v>
                </c:pt>
                <c:pt idx="138">
                  <c:v>0.96298506410745854</c:v>
                </c:pt>
                <c:pt idx="139">
                  <c:v>0.68990741691178126</c:v>
                </c:pt>
                <c:pt idx="140">
                  <c:v>0.56825250958540807</c:v>
                </c:pt>
                <c:pt idx="141">
                  <c:v>0.51603067454328411</c:v>
                </c:pt>
                <c:pt idx="142">
                  <c:v>0.35822821425127876</c:v>
                </c:pt>
                <c:pt idx="143">
                  <c:v>0.20703239759168343</c:v>
                </c:pt>
                <c:pt idx="144">
                  <c:v>9.6027440767325056E-2</c:v>
                </c:pt>
                <c:pt idx="145">
                  <c:v>5.4707095291214536E-2</c:v>
                </c:pt>
                <c:pt idx="146">
                  <c:v>3.9755235130957682E-2</c:v>
                </c:pt>
                <c:pt idx="147">
                  <c:v>3.7220499602308756E-2</c:v>
                </c:pt>
                <c:pt idx="148">
                  <c:v>6.1836070046208627E-2</c:v>
                </c:pt>
                <c:pt idx="149">
                  <c:v>0.15336845874469288</c:v>
                </c:pt>
                <c:pt idx="150">
                  <c:v>0.34382832881477315</c:v>
                </c:pt>
                <c:pt idx="151">
                  <c:v>0.42888281034957343</c:v>
                </c:pt>
                <c:pt idx="152">
                  <c:v>0.46296621249655939</c:v>
                </c:pt>
                <c:pt idx="153">
                  <c:v>0.469122986381451</c:v>
                </c:pt>
                <c:pt idx="154">
                  <c:v>0.49075403717048155</c:v>
                </c:pt>
                <c:pt idx="155">
                  <c:v>0.52086826711104195</c:v>
                </c:pt>
                <c:pt idx="156">
                  <c:v>0.55310349573355344</c:v>
                </c:pt>
                <c:pt idx="157">
                  <c:v>0.59750394114555971</c:v>
                </c:pt>
                <c:pt idx="158">
                  <c:v>0.67675959236652894</c:v>
                </c:pt>
                <c:pt idx="159">
                  <c:v>0.82481345244350945</c:v>
                </c:pt>
                <c:pt idx="160">
                  <c:v>0.91905359213424509</c:v>
                </c:pt>
                <c:pt idx="161">
                  <c:v>0.83246972199284408</c:v>
                </c:pt>
                <c:pt idx="162">
                  <c:v>0.71151016912866594</c:v>
                </c:pt>
                <c:pt idx="163">
                  <c:v>0.52284345320306247</c:v>
                </c:pt>
                <c:pt idx="164">
                  <c:v>0.44457232314891287</c:v>
                </c:pt>
                <c:pt idx="165">
                  <c:v>0.40917958731513493</c:v>
                </c:pt>
                <c:pt idx="166">
                  <c:v>0.3065092481238656</c:v>
                </c:pt>
                <c:pt idx="167">
                  <c:v>0.18580875505833971</c:v>
                </c:pt>
                <c:pt idx="168">
                  <c:v>9.6214252474828663E-2</c:v>
                </c:pt>
                <c:pt idx="169">
                  <c:v>5.9576949052382762E-2</c:v>
                </c:pt>
                <c:pt idx="170">
                  <c:v>4.4475526694305774E-2</c:v>
                </c:pt>
                <c:pt idx="171">
                  <c:v>3.9763090947636213E-2</c:v>
                </c:pt>
                <c:pt idx="172">
                  <c:v>6.4783471613881399E-2</c:v>
                </c:pt>
                <c:pt idx="173">
                  <c:v>0.12901285587938005</c:v>
                </c:pt>
                <c:pt idx="174">
                  <c:v>0.27475893304391386</c:v>
                </c:pt>
                <c:pt idx="175">
                  <c:v>0.4277248148767937</c:v>
                </c:pt>
                <c:pt idx="176">
                  <c:v>0.48305644826871241</c:v>
                </c:pt>
                <c:pt idx="177">
                  <c:v>0.47125492432096205</c:v>
                </c:pt>
                <c:pt idx="178">
                  <c:v>0.4809668224892123</c:v>
                </c:pt>
                <c:pt idx="179">
                  <c:v>0.52729205796977718</c:v>
                </c:pt>
                <c:pt idx="180">
                  <c:v>0.56142259862778732</c:v>
                </c:pt>
                <c:pt idx="181">
                  <c:v>0.60216769132923476</c:v>
                </c:pt>
                <c:pt idx="182">
                  <c:v>0.69483326635079112</c:v>
                </c:pt>
                <c:pt idx="183">
                  <c:v>0.89166857989647685</c:v>
                </c:pt>
                <c:pt idx="184">
                  <c:v>1.0477895702306079</c:v>
                </c:pt>
                <c:pt idx="185">
                  <c:v>1.0513267796819643</c:v>
                </c:pt>
                <c:pt idx="186">
                  <c:v>0.8185979056192707</c:v>
                </c:pt>
                <c:pt idx="187">
                  <c:v>0.54687694381090601</c:v>
                </c:pt>
                <c:pt idx="188">
                  <c:v>0.44705608900281552</c:v>
                </c:pt>
                <c:pt idx="189">
                  <c:v>0.41815048523470366</c:v>
                </c:pt>
                <c:pt idx="190">
                  <c:v>0.29436712073779508</c:v>
                </c:pt>
                <c:pt idx="191">
                  <c:v>0.17823619729011017</c:v>
                </c:pt>
                <c:pt idx="192">
                  <c:v>8.8421790155894214E-2</c:v>
                </c:pt>
                <c:pt idx="193">
                  <c:v>5.2870564564257289E-2</c:v>
                </c:pt>
                <c:pt idx="194">
                  <c:v>3.8468998457719748E-2</c:v>
                </c:pt>
                <c:pt idx="195">
                  <c:v>4.1894726072944928E-2</c:v>
                </c:pt>
                <c:pt idx="196">
                  <c:v>9.590430883080138E-2</c:v>
                </c:pt>
                <c:pt idx="197">
                  <c:v>0.28022064214708353</c:v>
                </c:pt>
                <c:pt idx="198">
                  <c:v>0.63404948249697346</c:v>
                </c:pt>
                <c:pt idx="199">
                  <c:v>0.79984620302928222</c:v>
                </c:pt>
                <c:pt idx="200">
                  <c:v>0.76558176673783651</c:v>
                </c:pt>
                <c:pt idx="201">
                  <c:v>0.65130568356374829</c:v>
                </c:pt>
                <c:pt idx="202">
                  <c:v>0.60380330066180732</c:v>
                </c:pt>
                <c:pt idx="203">
                  <c:v>0.6409596618807879</c:v>
                </c:pt>
                <c:pt idx="204">
                  <c:v>0.66269574356279548</c:v>
                </c:pt>
                <c:pt idx="205">
                  <c:v>0.69061356525428252</c:v>
                </c:pt>
                <c:pt idx="206">
                  <c:v>0.72887188254769508</c:v>
                </c:pt>
                <c:pt idx="207">
                  <c:v>0.81343798059076222</c:v>
                </c:pt>
                <c:pt idx="208">
                  <c:v>0.88685569140168008</c:v>
                </c:pt>
                <c:pt idx="209">
                  <c:v>0.91947785936225224</c:v>
                </c:pt>
                <c:pt idx="210">
                  <c:v>0.74342690755765128</c:v>
                </c:pt>
                <c:pt idx="211">
                  <c:v>0.53185900082576354</c:v>
                </c:pt>
                <c:pt idx="212">
                  <c:v>0.43861028658716533</c:v>
                </c:pt>
                <c:pt idx="213">
                  <c:v>0.38054776288834669</c:v>
                </c:pt>
                <c:pt idx="214">
                  <c:v>0.28106838554782826</c:v>
                </c:pt>
                <c:pt idx="215">
                  <c:v>0.18200775042757264</c:v>
                </c:pt>
                <c:pt idx="216">
                  <c:v>2.6163471812763097E-2</c:v>
                </c:pt>
                <c:pt idx="217">
                  <c:v>6.545203823340516E-2</c:v>
                </c:pt>
                <c:pt idx="218">
                  <c:v>4.4106313045449409E-2</c:v>
                </c:pt>
                <c:pt idx="219">
                  <c:v>4.000528920624126E-2</c:v>
                </c:pt>
                <c:pt idx="220">
                  <c:v>6.6171748082662712E-2</c:v>
                </c:pt>
                <c:pt idx="221">
                  <c:v>0.2194699459745364</c:v>
                </c:pt>
                <c:pt idx="222">
                  <c:v>0.4510635082549394</c:v>
                </c:pt>
                <c:pt idx="223">
                  <c:v>0.63981190026517043</c:v>
                </c:pt>
                <c:pt idx="224">
                  <c:v>0.70254297106011121</c:v>
                </c:pt>
                <c:pt idx="225">
                  <c:v>0.64750096339113672</c:v>
                </c:pt>
                <c:pt idx="226">
                  <c:v>0.61770914215051864</c:v>
                </c:pt>
                <c:pt idx="227">
                  <c:v>0.64707658110200261</c:v>
                </c:pt>
                <c:pt idx="228">
                  <c:v>0.67453179190751444</c:v>
                </c:pt>
                <c:pt idx="229">
                  <c:v>0.71646339360071765</c:v>
                </c:pt>
                <c:pt idx="230">
                  <c:v>0.73907332869291598</c:v>
                </c:pt>
                <c:pt idx="231">
                  <c:v>0.83929263067064874</c:v>
                </c:pt>
                <c:pt idx="232">
                  <c:v>0.90429928385511005</c:v>
                </c:pt>
                <c:pt idx="233">
                  <c:v>0.87889980732177309</c:v>
                </c:pt>
                <c:pt idx="234">
                  <c:v>0.7915892598663713</c:v>
                </c:pt>
                <c:pt idx="235">
                  <c:v>0.58275816020908444</c:v>
                </c:pt>
                <c:pt idx="236">
                  <c:v>0.48954768309200852</c:v>
                </c:pt>
                <c:pt idx="237">
                  <c:v>0.44649840706614008</c:v>
                </c:pt>
                <c:pt idx="238">
                  <c:v>0.33744603336249795</c:v>
                </c:pt>
                <c:pt idx="239">
                  <c:v>0.2176650466357998</c:v>
                </c:pt>
                <c:pt idx="240">
                  <c:v>8.3583955932632653E-2</c:v>
                </c:pt>
                <c:pt idx="241">
                  <c:v>5.2516853815328099E-2</c:v>
                </c:pt>
                <c:pt idx="242">
                  <c:v>3.6956325429202783E-2</c:v>
                </c:pt>
                <c:pt idx="243">
                  <c:v>3.3828439686241253E-2</c:v>
                </c:pt>
                <c:pt idx="244">
                  <c:v>5.4050508797964809E-2</c:v>
                </c:pt>
                <c:pt idx="245">
                  <c:v>0.11758456569777324</c:v>
                </c:pt>
                <c:pt idx="246">
                  <c:v>0.25284282345013476</c:v>
                </c:pt>
                <c:pt idx="247">
                  <c:v>0.40807571495050343</c:v>
                </c:pt>
                <c:pt idx="248">
                  <c:v>0.44421856043174496</c:v>
                </c:pt>
                <c:pt idx="249">
                  <c:v>0.42787254737899005</c:v>
                </c:pt>
                <c:pt idx="250">
                  <c:v>0.43827237898061988</c:v>
                </c:pt>
                <c:pt idx="251">
                  <c:v>0.47718106530541915</c:v>
                </c:pt>
                <c:pt idx="252">
                  <c:v>0.51153009780162717</c:v>
                </c:pt>
                <c:pt idx="253">
                  <c:v>0.55048292902066487</c:v>
                </c:pt>
                <c:pt idx="254">
                  <c:v>0.64674432687404382</c:v>
                </c:pt>
                <c:pt idx="255">
                  <c:v>0.8077086638003006</c:v>
                </c:pt>
                <c:pt idx="256">
                  <c:v>0.9446973270440252</c:v>
                </c:pt>
                <c:pt idx="257">
                  <c:v>0.95579117574359407</c:v>
                </c:pt>
                <c:pt idx="258">
                  <c:v>0.76240519792822792</c:v>
                </c:pt>
                <c:pt idx="259">
                  <c:v>0.51405675859791089</c:v>
                </c:pt>
                <c:pt idx="260">
                  <c:v>0.42856324711566496</c:v>
                </c:pt>
                <c:pt idx="261">
                  <c:v>0.39067748289446402</c:v>
                </c:pt>
                <c:pt idx="262">
                  <c:v>0.27090074379123419</c:v>
                </c:pt>
                <c:pt idx="263">
                  <c:v>0.16316797867466368</c:v>
                </c:pt>
                <c:pt idx="264">
                  <c:v>0.1079101524614967</c:v>
                </c:pt>
                <c:pt idx="265">
                  <c:v>6.893693739880126E-2</c:v>
                </c:pt>
                <c:pt idx="266">
                  <c:v>5.4043009918402683E-2</c:v>
                </c:pt>
                <c:pt idx="267">
                  <c:v>6.1802936090048118E-2</c:v>
                </c:pt>
                <c:pt idx="268">
                  <c:v>0.13502442884668317</c:v>
                </c:pt>
                <c:pt idx="269">
                  <c:v>0.36649291219377955</c:v>
                </c:pt>
                <c:pt idx="270">
                  <c:v>0.79410029498525103</c:v>
                </c:pt>
                <c:pt idx="271">
                  <c:v>0.99473003639477531</c:v>
                </c:pt>
                <c:pt idx="272">
                  <c:v>0.95541129390840374</c:v>
                </c:pt>
                <c:pt idx="273">
                  <c:v>0.79314827754134132</c:v>
                </c:pt>
                <c:pt idx="274">
                  <c:v>0.70647588930074223</c:v>
                </c:pt>
                <c:pt idx="275">
                  <c:v>0.74244009794839028</c:v>
                </c:pt>
                <c:pt idx="276">
                  <c:v>0.77451217376072901</c:v>
                </c:pt>
                <c:pt idx="277">
                  <c:v>0.7811393793226985</c:v>
                </c:pt>
                <c:pt idx="278">
                  <c:v>0.80288446767702071</c:v>
                </c:pt>
                <c:pt idx="279">
                  <c:v>0.89029839087642504</c:v>
                </c:pt>
                <c:pt idx="280">
                  <c:v>0.90889196941560091</c:v>
                </c:pt>
                <c:pt idx="281">
                  <c:v>0.96154516879548457</c:v>
                </c:pt>
                <c:pt idx="282">
                  <c:v>0.7961311905820575</c:v>
                </c:pt>
                <c:pt idx="283">
                  <c:v>0.57443461913086391</c:v>
                </c:pt>
                <c:pt idx="284">
                  <c:v>0.47470594041136172</c:v>
                </c:pt>
                <c:pt idx="285">
                  <c:v>0.40891921944097825</c:v>
                </c:pt>
                <c:pt idx="286">
                  <c:v>0.29795864069587291</c:v>
                </c:pt>
                <c:pt idx="287">
                  <c:v>0.19071146329118246</c:v>
                </c:pt>
                <c:pt idx="288">
                  <c:v>5.3782290743320249E-2</c:v>
                </c:pt>
                <c:pt idx="289">
                  <c:v>3.9500777408917095E-2</c:v>
                </c:pt>
                <c:pt idx="290">
                  <c:v>3.2749894000423996E-2</c:v>
                </c:pt>
                <c:pt idx="291">
                  <c:v>4.8758772114132036E-2</c:v>
                </c:pt>
                <c:pt idx="292">
                  <c:v>0.1169842837332437</c:v>
                </c:pt>
                <c:pt idx="293">
                  <c:v>0.35719286977762799</c:v>
                </c:pt>
                <c:pt idx="294">
                  <c:v>0.80266817290031722</c:v>
                </c:pt>
                <c:pt idx="295">
                  <c:v>1.0015212264150943</c:v>
                </c:pt>
                <c:pt idx="296">
                  <c:v>0.92330121441575641</c:v>
                </c:pt>
                <c:pt idx="297">
                  <c:v>0.70477529545925766</c:v>
                </c:pt>
                <c:pt idx="298">
                  <c:v>0.58431074964040952</c:v>
                </c:pt>
                <c:pt idx="299">
                  <c:v>0.58387315376077864</c:v>
                </c:pt>
                <c:pt idx="300">
                  <c:v>0.58230541109726219</c:v>
                </c:pt>
                <c:pt idx="301">
                  <c:v>0.57872726691937471</c:v>
                </c:pt>
                <c:pt idx="302">
                  <c:v>0.59602444932980447</c:v>
                </c:pt>
                <c:pt idx="303">
                  <c:v>0.65221365708496903</c:v>
                </c:pt>
                <c:pt idx="304">
                  <c:v>0.67952290802944415</c:v>
                </c:pt>
                <c:pt idx="305">
                  <c:v>0.69641836713490146</c:v>
                </c:pt>
                <c:pt idx="306">
                  <c:v>0.5901111859838275</c:v>
                </c:pt>
                <c:pt idx="307">
                  <c:v>0.39892722520721396</c:v>
                </c:pt>
                <c:pt idx="308">
                  <c:v>0.32445660167247975</c:v>
                </c:pt>
                <c:pt idx="309">
                  <c:v>0.27173236623018032</c:v>
                </c:pt>
                <c:pt idx="310">
                  <c:v>0.19009831460674156</c:v>
                </c:pt>
                <c:pt idx="311">
                  <c:v>0.10487912735849056</c:v>
                </c:pt>
                <c:pt idx="312">
                  <c:v>7.854581573467824E-2</c:v>
                </c:pt>
                <c:pt idx="313">
                  <c:v>4.6843177189409377E-2</c:v>
                </c:pt>
                <c:pt idx="314">
                  <c:v>3.5050382541171793E-2</c:v>
                </c:pt>
                <c:pt idx="315">
                  <c:v>4.1593523814707781E-2</c:v>
                </c:pt>
                <c:pt idx="316">
                  <c:v>9.2974203820211487E-2</c:v>
                </c:pt>
                <c:pt idx="317">
                  <c:v>0.27067270390844733</c:v>
                </c:pt>
                <c:pt idx="318">
                  <c:v>0.69781284357370787</c:v>
                </c:pt>
                <c:pt idx="319">
                  <c:v>0.97429131779437228</c:v>
                </c:pt>
                <c:pt idx="320">
                  <c:v>0.89440701864327099</c:v>
                </c:pt>
                <c:pt idx="321">
                  <c:v>0.73798864135944897</c:v>
                </c:pt>
                <c:pt idx="322">
                  <c:v>0.64551980905161732</c:v>
                </c:pt>
                <c:pt idx="323">
                  <c:v>0.67392672364354467</c:v>
                </c:pt>
                <c:pt idx="324">
                  <c:v>0.69791880765086534</c:v>
                </c:pt>
                <c:pt idx="325">
                  <c:v>0.69242279396483641</c:v>
                </c:pt>
                <c:pt idx="326">
                  <c:v>0.73857489102487306</c:v>
                </c:pt>
                <c:pt idx="327">
                  <c:v>0.85773839831248144</c:v>
                </c:pt>
                <c:pt idx="328">
                  <c:v>0.94416690260260239</c:v>
                </c:pt>
                <c:pt idx="329">
                  <c:v>0.9998863537806798</c:v>
                </c:pt>
                <c:pt idx="330">
                  <c:v>0.81344643136903771</c:v>
                </c:pt>
                <c:pt idx="331">
                  <c:v>0.52932775237572871</c:v>
                </c:pt>
                <c:pt idx="332">
                  <c:v>0.41798701799427579</c:v>
                </c:pt>
                <c:pt idx="333">
                  <c:v>0.35409021715399919</c:v>
                </c:pt>
                <c:pt idx="334">
                  <c:v>0.24985749428843185</c:v>
                </c:pt>
                <c:pt idx="335">
                  <c:v>0.14570585476022413</c:v>
                </c:pt>
                <c:pt idx="336">
                  <c:v>3.328927655419308E-2</c:v>
                </c:pt>
                <c:pt idx="337">
                  <c:v>5.5806650608982974E-2</c:v>
                </c:pt>
                <c:pt idx="338">
                  <c:v>4.5068462151295653E-2</c:v>
                </c:pt>
                <c:pt idx="339">
                  <c:v>6.6081398196455601E-2</c:v>
                </c:pt>
                <c:pt idx="340">
                  <c:v>0.14792322409430367</c:v>
                </c:pt>
                <c:pt idx="341">
                  <c:v>0.45006480281429384</c:v>
                </c:pt>
                <c:pt idx="342">
                  <c:v>0.99630623958526232</c:v>
                </c:pt>
                <c:pt idx="343">
                  <c:v>1.3018725437072187</c:v>
                </c:pt>
                <c:pt idx="344">
                  <c:v>1.2063256076967412</c:v>
                </c:pt>
                <c:pt idx="345">
                  <c:v>0.8931610103355726</c:v>
                </c:pt>
                <c:pt idx="346">
                  <c:v>0.73479254941436178</c:v>
                </c:pt>
                <c:pt idx="347">
                  <c:v>0.72999440271303839</c:v>
                </c:pt>
                <c:pt idx="348">
                  <c:v>0.73282767984643138</c:v>
                </c:pt>
                <c:pt idx="349">
                  <c:v>0.73468539632386098</c:v>
                </c:pt>
                <c:pt idx="350">
                  <c:v>0.74431452607746984</c:v>
                </c:pt>
                <c:pt idx="351">
                  <c:v>0.78855463924409874</c:v>
                </c:pt>
                <c:pt idx="352">
                  <c:v>0.82227528462516897</c:v>
                </c:pt>
                <c:pt idx="353">
                  <c:v>0.81852862223384881</c:v>
                </c:pt>
                <c:pt idx="354">
                  <c:v>0.72873984382507717</c:v>
                </c:pt>
                <c:pt idx="355">
                  <c:v>0.52577300499907442</c:v>
                </c:pt>
                <c:pt idx="356">
                  <c:v>0.43115795789665756</c:v>
                </c:pt>
                <c:pt idx="357">
                  <c:v>0.37737745632470227</c:v>
                </c:pt>
                <c:pt idx="358">
                  <c:v>0.29748439104491103</c:v>
                </c:pt>
                <c:pt idx="359">
                  <c:v>0.17288718095856279</c:v>
                </c:pt>
                <c:pt idx="360">
                  <c:v>4.9549797422327256E-2</c:v>
                </c:pt>
                <c:pt idx="361">
                  <c:v>3.4241865190770278E-2</c:v>
                </c:pt>
                <c:pt idx="362">
                  <c:v>2.8516676355963215E-2</c:v>
                </c:pt>
                <c:pt idx="363">
                  <c:v>4.424647364513732E-2</c:v>
                </c:pt>
                <c:pt idx="364">
                  <c:v>0.10190081801238568</c:v>
                </c:pt>
                <c:pt idx="365">
                  <c:v>0.31396079187969617</c:v>
                </c:pt>
                <c:pt idx="366">
                  <c:v>0.73153732872326727</c:v>
                </c:pt>
                <c:pt idx="367">
                  <c:v>0.96511389332001241</c:v>
                </c:pt>
                <c:pt idx="368">
                  <c:v>0.88947568246838304</c:v>
                </c:pt>
                <c:pt idx="369">
                  <c:v>0.64230998533700712</c:v>
                </c:pt>
                <c:pt idx="370">
                  <c:v>0.51687983119092173</c:v>
                </c:pt>
                <c:pt idx="371">
                  <c:v>0.51355678918434811</c:v>
                </c:pt>
                <c:pt idx="372">
                  <c:v>0.51690778369610468</c:v>
                </c:pt>
                <c:pt idx="373">
                  <c:v>0.51271644136034777</c:v>
                </c:pt>
                <c:pt idx="374">
                  <c:v>0.52215442085252384</c:v>
                </c:pt>
                <c:pt idx="375">
                  <c:v>0.54802044649336268</c:v>
                </c:pt>
                <c:pt idx="376">
                  <c:v>0.57591240875912375</c:v>
                </c:pt>
                <c:pt idx="377">
                  <c:v>0.58292461689503483</c:v>
                </c:pt>
                <c:pt idx="378">
                  <c:v>0.50419032170857003</c:v>
                </c:pt>
                <c:pt idx="379">
                  <c:v>0.3411860121177423</c:v>
                </c:pt>
                <c:pt idx="380">
                  <c:v>0.27807045382418266</c:v>
                </c:pt>
                <c:pt idx="381">
                  <c:v>0.23611146069301117</c:v>
                </c:pt>
                <c:pt idx="382">
                  <c:v>0.17452161625176615</c:v>
                </c:pt>
                <c:pt idx="383">
                  <c:v>0.10105079739478745</c:v>
                </c:pt>
                <c:pt idx="384">
                  <c:v>8.8038673405576945E-2</c:v>
                </c:pt>
                <c:pt idx="385">
                  <c:v>5.4564889947038529E-2</c:v>
                </c:pt>
                <c:pt idx="386">
                  <c:v>4.3478104560281665E-2</c:v>
                </c:pt>
                <c:pt idx="387">
                  <c:v>5.7201763167511625E-2</c:v>
                </c:pt>
                <c:pt idx="388">
                  <c:v>0.11934829938612916</c:v>
                </c:pt>
                <c:pt idx="389">
                  <c:v>0.36444056845079026</c:v>
                </c:pt>
                <c:pt idx="390">
                  <c:v>0.79130700065744974</c:v>
                </c:pt>
                <c:pt idx="391">
                  <c:v>1.1005848190425289</c:v>
                </c:pt>
                <c:pt idx="392">
                  <c:v>1.0468088162235087</c:v>
                </c:pt>
                <c:pt idx="393">
                  <c:v>0.8866810367612078</c:v>
                </c:pt>
                <c:pt idx="394">
                  <c:v>0.77020647050043101</c:v>
                </c:pt>
                <c:pt idx="395">
                  <c:v>0.79465599671994314</c:v>
                </c:pt>
                <c:pt idx="396">
                  <c:v>0.80008973271419392</c:v>
                </c:pt>
                <c:pt idx="397">
                  <c:v>0.81705128158514428</c:v>
                </c:pt>
                <c:pt idx="398">
                  <c:v>0.84422635559177828</c:v>
                </c:pt>
                <c:pt idx="399">
                  <c:v>0.92753707910208449</c:v>
                </c:pt>
                <c:pt idx="400">
                  <c:v>0.97868217518748524</c:v>
                </c:pt>
                <c:pt idx="401">
                  <c:v>0.98729153765919431</c:v>
                </c:pt>
                <c:pt idx="402">
                  <c:v>0.85165598698468825</c:v>
                </c:pt>
                <c:pt idx="403">
                  <c:v>0.59336710073469467</c:v>
                </c:pt>
                <c:pt idx="404">
                  <c:v>0.48015603294452069</c:v>
                </c:pt>
                <c:pt idx="405">
                  <c:v>0.42825017137369142</c:v>
                </c:pt>
                <c:pt idx="406">
                  <c:v>0.30504154966378166</c:v>
                </c:pt>
                <c:pt idx="407">
                  <c:v>0.17695557734351311</c:v>
                </c:pt>
                <c:pt idx="408">
                  <c:v>7.9294352285678105E-2</c:v>
                </c:pt>
                <c:pt idx="409">
                  <c:v>4.8647136342718486E-2</c:v>
                </c:pt>
                <c:pt idx="410">
                  <c:v>3.8577220691117235E-2</c:v>
                </c:pt>
                <c:pt idx="411">
                  <c:v>4.4976782787746354E-2</c:v>
                </c:pt>
                <c:pt idx="412">
                  <c:v>0.10179329327226121</c:v>
                </c:pt>
                <c:pt idx="413">
                  <c:v>0.26758997009770891</c:v>
                </c:pt>
                <c:pt idx="414">
                  <c:v>0.58841469777926192</c:v>
                </c:pt>
                <c:pt idx="415">
                  <c:v>0.83455712788259961</c:v>
                </c:pt>
                <c:pt idx="416">
                  <c:v>0.83223875181422358</c:v>
                </c:pt>
                <c:pt idx="417">
                  <c:v>0.6926650423904912</c:v>
                </c:pt>
                <c:pt idx="418">
                  <c:v>0.58381763474067183</c:v>
                </c:pt>
                <c:pt idx="419">
                  <c:v>0.59656633118859226</c:v>
                </c:pt>
                <c:pt idx="420">
                  <c:v>0.61525628206242933</c:v>
                </c:pt>
                <c:pt idx="421">
                  <c:v>0.64066845291575758</c:v>
                </c:pt>
                <c:pt idx="422">
                  <c:v>0.67119600017075043</c:v>
                </c:pt>
                <c:pt idx="423">
                  <c:v>0.76792426507749334</c:v>
                </c:pt>
                <c:pt idx="424">
                  <c:v>0.83694422116930367</c:v>
                </c:pt>
                <c:pt idx="425">
                  <c:v>0.84879555938824702</c:v>
                </c:pt>
                <c:pt idx="426">
                  <c:v>0.74098719676549873</c:v>
                </c:pt>
                <c:pt idx="427">
                  <c:v>0.52410814694489571</c:v>
                </c:pt>
                <c:pt idx="428">
                  <c:v>0.42723478799848724</c:v>
                </c:pt>
                <c:pt idx="429">
                  <c:v>0.37901177167317757</c:v>
                </c:pt>
                <c:pt idx="430">
                  <c:v>0.27739972475522123</c:v>
                </c:pt>
                <c:pt idx="431">
                  <c:v>0.1611947602982215</c:v>
                </c:pt>
                <c:pt idx="432">
                  <c:v>9.1939015014282519E-2</c:v>
                </c:pt>
                <c:pt idx="433">
                  <c:v>5.5664649256181115E-2</c:v>
                </c:pt>
                <c:pt idx="434">
                  <c:v>4.4671682249486498E-2</c:v>
                </c:pt>
                <c:pt idx="435">
                  <c:v>5.5653099291852318E-2</c:v>
                </c:pt>
                <c:pt idx="436">
                  <c:v>0.11967683991624598</c:v>
                </c:pt>
                <c:pt idx="437">
                  <c:v>0.3698676223562648</c:v>
                </c:pt>
                <c:pt idx="438">
                  <c:v>0.86497921229005359</c:v>
                </c:pt>
                <c:pt idx="439">
                  <c:v>1.1690207256963003</c:v>
                </c:pt>
                <c:pt idx="440">
                  <c:v>1.1102789247097105</c:v>
                </c:pt>
                <c:pt idx="441">
                  <c:v>0.93386804284755232</c:v>
                </c:pt>
                <c:pt idx="442">
                  <c:v>0.79210309293309888</c:v>
                </c:pt>
                <c:pt idx="443">
                  <c:v>0.80963101801346671</c:v>
                </c:pt>
                <c:pt idx="444">
                  <c:v>0.82489739578991761</c:v>
                </c:pt>
                <c:pt idx="445">
                  <c:v>0.83419685351425443</c:v>
                </c:pt>
                <c:pt idx="446">
                  <c:v>0.87555956477891905</c:v>
                </c:pt>
                <c:pt idx="447">
                  <c:v>0.97837171680537527</c:v>
                </c:pt>
                <c:pt idx="448">
                  <c:v>1.031036531924332</c:v>
                </c:pt>
                <c:pt idx="449">
                  <c:v>1.0400890475304732</c:v>
                </c:pt>
                <c:pt idx="450">
                  <c:v>0.9078861277685436</c:v>
                </c:pt>
                <c:pt idx="451">
                  <c:v>0.6232834609344674</c:v>
                </c:pt>
                <c:pt idx="452">
                  <c:v>0.51665617162195465</c:v>
                </c:pt>
                <c:pt idx="453">
                  <c:v>0.46261981507686295</c:v>
                </c:pt>
                <c:pt idx="454">
                  <c:v>0.32505514362339732</c:v>
                </c:pt>
                <c:pt idx="455">
                  <c:v>0.18279113175067813</c:v>
                </c:pt>
                <c:pt idx="456">
                  <c:v>6.9357326258496346E-2</c:v>
                </c:pt>
                <c:pt idx="457">
                  <c:v>4.3599843129230792E-2</c:v>
                </c:pt>
                <c:pt idx="458">
                  <c:v>3.4767525815037441E-2</c:v>
                </c:pt>
                <c:pt idx="459">
                  <c:v>4.4943475369584131E-2</c:v>
                </c:pt>
                <c:pt idx="460">
                  <c:v>9.0727573447917154E-2</c:v>
                </c:pt>
                <c:pt idx="461">
                  <c:v>0.29908467113817488</c:v>
                </c:pt>
                <c:pt idx="462">
                  <c:v>0.72536299201761611</c:v>
                </c:pt>
                <c:pt idx="463">
                  <c:v>1.0519484802721806</c:v>
                </c:pt>
                <c:pt idx="464">
                  <c:v>1.0284054019809596</c:v>
                </c:pt>
                <c:pt idx="465">
                  <c:v>0.78376199819695602</c:v>
                </c:pt>
                <c:pt idx="466">
                  <c:v>0.6417556875030036</c:v>
                </c:pt>
                <c:pt idx="467">
                  <c:v>0.63838150289017359</c:v>
                </c:pt>
                <c:pt idx="468">
                  <c:v>0.62364734676873368</c:v>
                </c:pt>
                <c:pt idx="469">
                  <c:v>0.62159771982632306</c:v>
                </c:pt>
                <c:pt idx="470">
                  <c:v>0.63442910574634426</c:v>
                </c:pt>
                <c:pt idx="471">
                  <c:v>0.66835160454454834</c:v>
                </c:pt>
                <c:pt idx="472">
                  <c:v>0.69184270845566076</c:v>
                </c:pt>
                <c:pt idx="473">
                  <c:v>0.69621760488812512</c:v>
                </c:pt>
                <c:pt idx="474">
                  <c:v>0.60494569584489044</c:v>
                </c:pt>
                <c:pt idx="475">
                  <c:v>0.44733519130195465</c:v>
                </c:pt>
                <c:pt idx="476">
                  <c:v>0.36326268464996792</c:v>
                </c:pt>
                <c:pt idx="477">
                  <c:v>0.32147601090828443</c:v>
                </c:pt>
                <c:pt idx="478">
                  <c:v>0.25332620032446523</c:v>
                </c:pt>
                <c:pt idx="479">
                  <c:v>0.14716806304258406</c:v>
                </c:pt>
                <c:pt idx="480">
                  <c:v>6.1398404262197538E-2</c:v>
                </c:pt>
                <c:pt idx="481">
                  <c:v>4.1407835581245986E-2</c:v>
                </c:pt>
                <c:pt idx="482">
                  <c:v>3.3425146448384235E-2</c:v>
                </c:pt>
                <c:pt idx="483">
                  <c:v>3.9397333401993709E-2</c:v>
                </c:pt>
                <c:pt idx="484">
                  <c:v>7.5166061044945304E-2</c:v>
                </c:pt>
                <c:pt idx="485">
                  <c:v>0.22885528488852194</c:v>
                </c:pt>
                <c:pt idx="486">
                  <c:v>0.53514587276416525</c:v>
                </c:pt>
                <c:pt idx="487">
                  <c:v>0.79528152429886556</c:v>
                </c:pt>
                <c:pt idx="488">
                  <c:v>0.79264519680704659</c:v>
                </c:pt>
                <c:pt idx="489">
                  <c:v>0.61237384668924477</c:v>
                </c:pt>
                <c:pt idx="490">
                  <c:v>0.52274899124739727</c:v>
                </c:pt>
                <c:pt idx="491">
                  <c:v>0.52452418940008239</c:v>
                </c:pt>
                <c:pt idx="492">
                  <c:v>0.52117008232615203</c:v>
                </c:pt>
                <c:pt idx="493">
                  <c:v>0.51667434746160701</c:v>
                </c:pt>
                <c:pt idx="494">
                  <c:v>0.54929234541951266</c:v>
                </c:pt>
                <c:pt idx="495">
                  <c:v>0.59894048527326205</c:v>
                </c:pt>
                <c:pt idx="496">
                  <c:v>0.6295566672714864</c:v>
                </c:pt>
                <c:pt idx="497">
                  <c:v>0.620821184374307</c:v>
                </c:pt>
                <c:pt idx="498">
                  <c:v>0.50692921721823436</c:v>
                </c:pt>
                <c:pt idx="499">
                  <c:v>0.36896221720323075</c:v>
                </c:pt>
                <c:pt idx="500">
                  <c:v>0.30350468392617314</c:v>
                </c:pt>
                <c:pt idx="501">
                  <c:v>0.27177582972859188</c:v>
                </c:pt>
                <c:pt idx="502">
                  <c:v>0.19456467165312769</c:v>
                </c:pt>
                <c:pt idx="503">
                  <c:v>0.11486344515475928</c:v>
                </c:pt>
              </c:numCache>
            </c:numRef>
          </c:xVal>
          <c:yVal>
            <c:numRef>
              <c:f>'Sort by Ave Sp'!$C$35:$C$538</c:f>
              <c:numCache>
                <c:formatCode>General</c:formatCode>
                <c:ptCount val="504"/>
                <c:pt idx="0">
                  <c:v>3.0405379149268684E-2</c:v>
                </c:pt>
                <c:pt idx="1">
                  <c:v>3.21986295383681E-2</c:v>
                </c:pt>
                <c:pt idx="2">
                  <c:v>3.6207747912383056E-2</c:v>
                </c:pt>
                <c:pt idx="3">
                  <c:v>3.3928877124701634E-2</c:v>
                </c:pt>
                <c:pt idx="4">
                  <c:v>3.046235235478267E-2</c:v>
                </c:pt>
                <c:pt idx="5">
                  <c:v>3.4615771047820688E-2</c:v>
                </c:pt>
                <c:pt idx="6">
                  <c:v>3.6270349110342791E-2</c:v>
                </c:pt>
                <c:pt idx="7">
                  <c:v>3.1756295672639816E-2</c:v>
                </c:pt>
                <c:pt idx="8">
                  <c:v>4.0608171412565293E-2</c:v>
                </c:pt>
                <c:pt idx="9">
                  <c:v>3.5564446009912452E-2</c:v>
                </c:pt>
                <c:pt idx="10">
                  <c:v>3.4368294681872157E-2</c:v>
                </c:pt>
                <c:pt idx="11">
                  <c:v>3.2641605032098356E-2</c:v>
                </c:pt>
                <c:pt idx="12">
                  <c:v>3.5334195703217823E-2</c:v>
                </c:pt>
                <c:pt idx="13">
                  <c:v>4.4084780481563252E-2</c:v>
                </c:pt>
                <c:pt idx="14">
                  <c:v>5.194679181525004E-2</c:v>
                </c:pt>
                <c:pt idx="15">
                  <c:v>0.17414250272153606</c:v>
                </c:pt>
                <c:pt idx="16">
                  <c:v>0.63712639543976957</c:v>
                </c:pt>
                <c:pt idx="17">
                  <c:v>1.1613671418732199</c:v>
                </c:pt>
                <c:pt idx="18">
                  <c:v>0.7209149723345164</c:v>
                </c:pt>
                <c:pt idx="19">
                  <c:v>5.8321611911950594E-2</c:v>
                </c:pt>
                <c:pt idx="20">
                  <c:v>3.9806091959880788E-2</c:v>
                </c:pt>
                <c:pt idx="21">
                  <c:v>3.6407229618007964E-2</c:v>
                </c:pt>
                <c:pt idx="22">
                  <c:v>3.5213281334960857E-2</c:v>
                </c:pt>
                <c:pt idx="23">
                  <c:v>3.5497169513694957E-2</c:v>
                </c:pt>
                <c:pt idx="24">
                  <c:v>1.8555926783103849E-2</c:v>
                </c:pt>
                <c:pt idx="25">
                  <c:v>1.6894348500084349E-2</c:v>
                </c:pt>
                <c:pt idx="26">
                  <c:v>2.2363039318179526E-2</c:v>
                </c:pt>
                <c:pt idx="27">
                  <c:v>2.3848377012760099E-2</c:v>
                </c:pt>
                <c:pt idx="28">
                  <c:v>1.9766655865988258E-2</c:v>
                </c:pt>
                <c:pt idx="29">
                  <c:v>1.4456967223692998E-2</c:v>
                </c:pt>
                <c:pt idx="30">
                  <c:v>1.9432056999333095E-2</c:v>
                </c:pt>
                <c:pt idx="31">
                  <c:v>2.9625422414486225E-2</c:v>
                </c:pt>
                <c:pt idx="32">
                  <c:v>2.5064856641906993E-2</c:v>
                </c:pt>
                <c:pt idx="33">
                  <c:v>1.5116270470424057E-2</c:v>
                </c:pt>
                <c:pt idx="34">
                  <c:v>1.39236273271875E-2</c:v>
                </c:pt>
                <c:pt idx="35">
                  <c:v>1.4386985759125641E-2</c:v>
                </c:pt>
                <c:pt idx="36">
                  <c:v>1.6936749860785638E-2</c:v>
                </c:pt>
                <c:pt idx="37">
                  <c:v>1.5737324254715041E-2</c:v>
                </c:pt>
                <c:pt idx="38">
                  <c:v>3.0735826746161689E-2</c:v>
                </c:pt>
                <c:pt idx="39">
                  <c:v>6.3362024551599866E-2</c:v>
                </c:pt>
                <c:pt idx="40">
                  <c:v>0.59752461282183467</c:v>
                </c:pt>
                <c:pt idx="41">
                  <c:v>0.86310966155355251</c:v>
                </c:pt>
                <c:pt idx="42">
                  <c:v>0.72086951986152092</c:v>
                </c:pt>
                <c:pt idx="43">
                  <c:v>5.2474073705574532E-2</c:v>
                </c:pt>
                <c:pt idx="44">
                  <c:v>2.6578698452773598E-2</c:v>
                </c:pt>
                <c:pt idx="45">
                  <c:v>3.0961087276040019E-2</c:v>
                </c:pt>
                <c:pt idx="46">
                  <c:v>2.6492174059671282E-2</c:v>
                </c:pt>
                <c:pt idx="47">
                  <c:v>2.0522702866878895E-2</c:v>
                </c:pt>
                <c:pt idx="48">
                  <c:v>1.7755054937822552E-2</c:v>
                </c:pt>
                <c:pt idx="49">
                  <c:v>2.1981371938563608E-2</c:v>
                </c:pt>
                <c:pt idx="50">
                  <c:v>2.1158950389464647E-2</c:v>
                </c:pt>
                <c:pt idx="51">
                  <c:v>2.3535915056739899E-2</c:v>
                </c:pt>
                <c:pt idx="52">
                  <c:v>1.9101335732765169E-2</c:v>
                </c:pt>
                <c:pt idx="53">
                  <c:v>1.2839027157912963E-2</c:v>
                </c:pt>
                <c:pt idx="54">
                  <c:v>1.7822537600687499E-2</c:v>
                </c:pt>
                <c:pt idx="55">
                  <c:v>2.0681043501737571E-2</c:v>
                </c:pt>
                <c:pt idx="56">
                  <c:v>3.9416911974569334E-2</c:v>
                </c:pt>
                <c:pt idx="57">
                  <c:v>4.0589742126191625E-2</c:v>
                </c:pt>
                <c:pt idx="58">
                  <c:v>1.4862878580589491E-2</c:v>
                </c:pt>
                <c:pt idx="59">
                  <c:v>1.7863319956717378E-2</c:v>
                </c:pt>
                <c:pt idx="60">
                  <c:v>1.9677466980653237E-2</c:v>
                </c:pt>
                <c:pt idx="61">
                  <c:v>2.5871661319582854E-2</c:v>
                </c:pt>
                <c:pt idx="62">
                  <c:v>4.4111599003781268E-2</c:v>
                </c:pt>
                <c:pt idx="63">
                  <c:v>0.18936215939081602</c:v>
                </c:pt>
                <c:pt idx="64">
                  <c:v>0.51984233413371506</c:v>
                </c:pt>
                <c:pt idx="65">
                  <c:v>0.80613598472706982</c:v>
                </c:pt>
                <c:pt idx="66">
                  <c:v>0.65963954150377124</c:v>
                </c:pt>
                <c:pt idx="67">
                  <c:v>6.6986234021632257E-2</c:v>
                </c:pt>
                <c:pt idx="68">
                  <c:v>2.6980439202464613E-2</c:v>
                </c:pt>
                <c:pt idx="69">
                  <c:v>1.7933899549305611E-2</c:v>
                </c:pt>
                <c:pt idx="70">
                  <c:v>1.4240381870702866E-2</c:v>
                </c:pt>
                <c:pt idx="71">
                  <c:v>1.4398587283334376E-2</c:v>
                </c:pt>
                <c:pt idx="72">
                  <c:v>2.9170930884436331E-2</c:v>
                </c:pt>
                <c:pt idx="73">
                  <c:v>2.7774158872137938E-2</c:v>
                </c:pt>
                <c:pt idx="74">
                  <c:v>3.2382954236684407E-2</c:v>
                </c:pt>
                <c:pt idx="75">
                  <c:v>3.6251314550630492E-2</c:v>
                </c:pt>
                <c:pt idx="76">
                  <c:v>3.2602732483631491E-2</c:v>
                </c:pt>
                <c:pt idx="77">
                  <c:v>2.6513434632879453E-2</c:v>
                </c:pt>
                <c:pt idx="78">
                  <c:v>3.7719298245614249E-2</c:v>
                </c:pt>
                <c:pt idx="79">
                  <c:v>4.1673729711404053E-2</c:v>
                </c:pt>
                <c:pt idx="80">
                  <c:v>3.6829928709329357E-2</c:v>
                </c:pt>
                <c:pt idx="81">
                  <c:v>2.8519042554400041E-2</c:v>
                </c:pt>
                <c:pt idx="82">
                  <c:v>2.6365969930326912E-2</c:v>
                </c:pt>
                <c:pt idx="83">
                  <c:v>2.7018502104144901E-2</c:v>
                </c:pt>
                <c:pt idx="84">
                  <c:v>3.5717614606799848E-2</c:v>
                </c:pt>
                <c:pt idx="85">
                  <c:v>3.2535438286026369E-2</c:v>
                </c:pt>
                <c:pt idx="86">
                  <c:v>2.8798046259795627E-2</c:v>
                </c:pt>
                <c:pt idx="87">
                  <c:v>8.7221839888994679E-2</c:v>
                </c:pt>
                <c:pt idx="88">
                  <c:v>0.45957989763404383</c:v>
                </c:pt>
                <c:pt idx="89">
                  <c:v>0.770360050084686</c:v>
                </c:pt>
                <c:pt idx="90">
                  <c:v>0.77117282576303414</c:v>
                </c:pt>
                <c:pt idx="91">
                  <c:v>6.3653563655784826E-2</c:v>
                </c:pt>
                <c:pt idx="92">
                  <c:v>3.7058550053172934E-2</c:v>
                </c:pt>
                <c:pt idx="93">
                  <c:v>3.1722633599996344E-2</c:v>
                </c:pt>
                <c:pt idx="94">
                  <c:v>3.9175806376972704E-2</c:v>
                </c:pt>
                <c:pt idx="95">
                  <c:v>3.0685224765700382E-2</c:v>
                </c:pt>
                <c:pt idx="96">
                  <c:v>2.2728947919044243E-2</c:v>
                </c:pt>
                <c:pt idx="97">
                  <c:v>1.5197469716364344E-2</c:v>
                </c:pt>
                <c:pt idx="98">
                  <c:v>2.4777357475399102E-2</c:v>
                </c:pt>
                <c:pt idx="99">
                  <c:v>1.8428084928437755E-2</c:v>
                </c:pt>
                <c:pt idx="100">
                  <c:v>1.6633489955545484E-2</c:v>
                </c:pt>
                <c:pt idx="101">
                  <c:v>1.2302817710850657E-2</c:v>
                </c:pt>
                <c:pt idx="102">
                  <c:v>5.1989703888892874E-2</c:v>
                </c:pt>
                <c:pt idx="103">
                  <c:v>0.3599610168214501</c:v>
                </c:pt>
                <c:pt idx="104">
                  <c:v>0.81781312979421428</c:v>
                </c:pt>
                <c:pt idx="105">
                  <c:v>0.1815721349035877</c:v>
                </c:pt>
                <c:pt idx="106">
                  <c:v>2.7171136631622399E-2</c:v>
                </c:pt>
                <c:pt idx="107">
                  <c:v>2.053408761711864E-2</c:v>
                </c:pt>
                <c:pt idx="108">
                  <c:v>3.0169242089771627E-2</c:v>
                </c:pt>
                <c:pt idx="109">
                  <c:v>2.5242216626050515E-2</c:v>
                </c:pt>
                <c:pt idx="110">
                  <c:v>2.8743095457487978E-2</c:v>
                </c:pt>
                <c:pt idx="111">
                  <c:v>6.8539246276252908E-2</c:v>
                </c:pt>
                <c:pt idx="112">
                  <c:v>0.39083368907452298</c:v>
                </c:pt>
                <c:pt idx="113">
                  <c:v>1.8499131658785699</c:v>
                </c:pt>
                <c:pt idx="114">
                  <c:v>0.3494371560595631</c:v>
                </c:pt>
                <c:pt idx="115">
                  <c:v>3.6384201654713608E-2</c:v>
                </c:pt>
                <c:pt idx="116">
                  <c:v>2.7823548305388031E-2</c:v>
                </c:pt>
                <c:pt idx="117">
                  <c:v>1.7077209117317055E-2</c:v>
                </c:pt>
                <c:pt idx="118">
                  <c:v>2.2359437987128791E-2</c:v>
                </c:pt>
                <c:pt idx="119">
                  <c:v>2.1584183219854176E-2</c:v>
                </c:pt>
                <c:pt idx="120">
                  <c:v>3.0350018174229498E-2</c:v>
                </c:pt>
                <c:pt idx="121">
                  <c:v>2.8405267917218931E-2</c:v>
                </c:pt>
                <c:pt idx="122">
                  <c:v>2.6899427340543312E-2</c:v>
                </c:pt>
                <c:pt idx="123">
                  <c:v>2.1665884710692914E-2</c:v>
                </c:pt>
                <c:pt idx="124">
                  <c:v>1.72102552898881E-2</c:v>
                </c:pt>
                <c:pt idx="125">
                  <c:v>1.9756407013876758E-2</c:v>
                </c:pt>
                <c:pt idx="126">
                  <c:v>4.6873357029072471E-2</c:v>
                </c:pt>
                <c:pt idx="127">
                  <c:v>0.24392636727764419</c:v>
                </c:pt>
                <c:pt idx="128">
                  <c:v>0.43552905448748225</c:v>
                </c:pt>
                <c:pt idx="129">
                  <c:v>0.10515204530927316</c:v>
                </c:pt>
                <c:pt idx="130">
                  <c:v>2.4772561758007652E-2</c:v>
                </c:pt>
                <c:pt idx="131">
                  <c:v>2.10379478363905E-2</c:v>
                </c:pt>
                <c:pt idx="132">
                  <c:v>4.0690161548383549E-2</c:v>
                </c:pt>
                <c:pt idx="133">
                  <c:v>2.8644901332585126E-2</c:v>
                </c:pt>
                <c:pt idx="134">
                  <c:v>8.87063148103686E-2</c:v>
                </c:pt>
                <c:pt idx="135">
                  <c:v>0.1436649684524966</c:v>
                </c:pt>
                <c:pt idx="136">
                  <c:v>0.57947260497193398</c:v>
                </c:pt>
                <c:pt idx="137">
                  <c:v>0.76492028992006589</c:v>
                </c:pt>
                <c:pt idx="138">
                  <c:v>0.4320991012759432</c:v>
                </c:pt>
                <c:pt idx="139">
                  <c:v>5.0174915134651284E-2</c:v>
                </c:pt>
                <c:pt idx="140">
                  <c:v>2.7582641486482193E-2</c:v>
                </c:pt>
                <c:pt idx="141">
                  <c:v>3.0899264978546809E-2</c:v>
                </c:pt>
                <c:pt idx="142">
                  <c:v>3.4028170322820211E-2</c:v>
                </c:pt>
                <c:pt idx="143">
                  <c:v>3.1668778734839767E-2</c:v>
                </c:pt>
                <c:pt idx="144">
                  <c:v>1.7271781509637374E-2</c:v>
                </c:pt>
                <c:pt idx="145">
                  <c:v>1.3425878499124445E-2</c:v>
                </c:pt>
                <c:pt idx="146">
                  <c:v>1.6834760652762001E-2</c:v>
                </c:pt>
                <c:pt idx="147">
                  <c:v>1.6873005003569454E-2</c:v>
                </c:pt>
                <c:pt idx="148">
                  <c:v>1.9497545301060182E-2</c:v>
                </c:pt>
                <c:pt idx="149">
                  <c:v>1.4404782313091707E-2</c:v>
                </c:pt>
                <c:pt idx="150">
                  <c:v>1.4243107919922756E-2</c:v>
                </c:pt>
                <c:pt idx="151">
                  <c:v>9.9609609250013928E-3</c:v>
                </c:pt>
                <c:pt idx="152">
                  <c:v>1.5089733107690321E-2</c:v>
                </c:pt>
                <c:pt idx="153">
                  <c:v>1.0419271726930296E-2</c:v>
                </c:pt>
                <c:pt idx="154">
                  <c:v>1.4211460265338604E-2</c:v>
                </c:pt>
                <c:pt idx="155">
                  <c:v>1.2420490664065401E-2</c:v>
                </c:pt>
                <c:pt idx="156">
                  <c:v>1.0703585330451449E-2</c:v>
                </c:pt>
                <c:pt idx="157">
                  <c:v>1.4803729350909327E-2</c:v>
                </c:pt>
                <c:pt idx="158">
                  <c:v>1.550215985786396E-2</c:v>
                </c:pt>
                <c:pt idx="159">
                  <c:v>8.9211689518890414E-2</c:v>
                </c:pt>
                <c:pt idx="160">
                  <c:v>0.33629979531302323</c:v>
                </c:pt>
                <c:pt idx="161">
                  <c:v>1.3222917044287359</c:v>
                </c:pt>
                <c:pt idx="162">
                  <c:v>0.2669145493974534</c:v>
                </c:pt>
                <c:pt idx="163">
                  <c:v>5.2864609042417979E-2</c:v>
                </c:pt>
                <c:pt idx="164">
                  <c:v>1.8238226829268601E-2</c:v>
                </c:pt>
                <c:pt idx="165">
                  <c:v>1.9564054731901728E-2</c:v>
                </c:pt>
                <c:pt idx="166">
                  <c:v>1.8892454684406857E-2</c:v>
                </c:pt>
                <c:pt idx="167">
                  <c:v>1.254078755110781E-2</c:v>
                </c:pt>
                <c:pt idx="168">
                  <c:v>8.4126589044335495E-2</c:v>
                </c:pt>
                <c:pt idx="169">
                  <c:v>8.8158068491430777E-2</c:v>
                </c:pt>
                <c:pt idx="170">
                  <c:v>9.0407561698688368E-2</c:v>
                </c:pt>
                <c:pt idx="171">
                  <c:v>8.1499939770841329E-2</c:v>
                </c:pt>
                <c:pt idx="172">
                  <c:v>5.7004626133902711E-2</c:v>
                </c:pt>
                <c:pt idx="173">
                  <c:v>2.5604788774398476E-2</c:v>
                </c:pt>
                <c:pt idx="174">
                  <c:v>2.885765034546962E-2</c:v>
                </c:pt>
                <c:pt idx="175">
                  <c:v>2.1716233359142495E-2</c:v>
                </c:pt>
                <c:pt idx="176">
                  <c:v>2.64159585864648E-2</c:v>
                </c:pt>
                <c:pt idx="177">
                  <c:v>2.9535966313227555E-2</c:v>
                </c:pt>
                <c:pt idx="178">
                  <c:v>2.4345761084603703E-2</c:v>
                </c:pt>
                <c:pt idx="179">
                  <c:v>2.4370525644797421E-2</c:v>
                </c:pt>
                <c:pt idx="180">
                  <c:v>3.2128151622921514E-2</c:v>
                </c:pt>
                <c:pt idx="181">
                  <c:v>2.454503316849373E-2</c:v>
                </c:pt>
                <c:pt idx="182">
                  <c:v>4.1660768693116419E-2</c:v>
                </c:pt>
                <c:pt idx="183">
                  <c:v>8.2967796483855077E-2</c:v>
                </c:pt>
                <c:pt idx="184">
                  <c:v>0.18034973554238784</c:v>
                </c:pt>
                <c:pt idx="185">
                  <c:v>0.24956082663784473</c:v>
                </c:pt>
                <c:pt idx="186">
                  <c:v>0.21585018487053131</c:v>
                </c:pt>
                <c:pt idx="187">
                  <c:v>4.390587800198803E-2</c:v>
                </c:pt>
                <c:pt idx="188">
                  <c:v>4.0056621983287501E-2</c:v>
                </c:pt>
                <c:pt idx="189">
                  <c:v>7.9574040262150023E-2</c:v>
                </c:pt>
                <c:pt idx="190">
                  <c:v>8.861365472770133E-2</c:v>
                </c:pt>
                <c:pt idx="191">
                  <c:v>7.3838193693588391E-2</c:v>
                </c:pt>
                <c:pt idx="192">
                  <c:v>1.8657639828853018E-2</c:v>
                </c:pt>
                <c:pt idx="193">
                  <c:v>1.7948380128651777E-2</c:v>
                </c:pt>
                <c:pt idx="194">
                  <c:v>1.8337115918714397E-2</c:v>
                </c:pt>
                <c:pt idx="195">
                  <c:v>1.8797448114633523E-2</c:v>
                </c:pt>
                <c:pt idx="196">
                  <c:v>1.6318449368984651E-2</c:v>
                </c:pt>
                <c:pt idx="197">
                  <c:v>1.4694483109262397E-2</c:v>
                </c:pt>
                <c:pt idx="198">
                  <c:v>1.8400784740712901E-2</c:v>
                </c:pt>
                <c:pt idx="199">
                  <c:v>1.8688485047842075E-2</c:v>
                </c:pt>
                <c:pt idx="200">
                  <c:v>3.5712164192926124E-2</c:v>
                </c:pt>
                <c:pt idx="201">
                  <c:v>1.6716468524624661E-2</c:v>
                </c:pt>
                <c:pt idx="202">
                  <c:v>1.4510579970305691E-2</c:v>
                </c:pt>
                <c:pt idx="203">
                  <c:v>1.7931480379787038E-2</c:v>
                </c:pt>
                <c:pt idx="204">
                  <c:v>1.8488544777873015E-2</c:v>
                </c:pt>
                <c:pt idx="205">
                  <c:v>2.5136552547761072E-2</c:v>
                </c:pt>
                <c:pt idx="206">
                  <c:v>2.0274630152870628E-2</c:v>
                </c:pt>
                <c:pt idx="207">
                  <c:v>2.0405669619906659E-2</c:v>
                </c:pt>
                <c:pt idx="208">
                  <c:v>0.35387047257620707</c:v>
                </c:pt>
                <c:pt idx="209">
                  <c:v>0.96798742789383452</c:v>
                </c:pt>
                <c:pt idx="210">
                  <c:v>0.55963265111634575</c:v>
                </c:pt>
                <c:pt idx="211">
                  <c:v>6.4038513615362322E-2</c:v>
                </c:pt>
                <c:pt idx="212">
                  <c:v>5.9716470515998335E-2</c:v>
                </c:pt>
                <c:pt idx="213">
                  <c:v>3.4355517825398682E-2</c:v>
                </c:pt>
                <c:pt idx="214">
                  <c:v>2.4187673443582219E-2</c:v>
                </c:pt>
                <c:pt idx="215">
                  <c:v>1.5504479364748826E-2</c:v>
                </c:pt>
                <c:pt idx="216">
                  <c:v>1.9541676960182424E-2</c:v>
                </c:pt>
                <c:pt idx="217">
                  <c:v>1.7338148277062312E-2</c:v>
                </c:pt>
                <c:pt idx="218">
                  <c:v>1.5466279076575501E-2</c:v>
                </c:pt>
                <c:pt idx="219">
                  <c:v>1.5741260377117809E-2</c:v>
                </c:pt>
                <c:pt idx="220">
                  <c:v>2.1086924621099186E-2</c:v>
                </c:pt>
                <c:pt idx="221">
                  <c:v>1.592029984097755E-2</c:v>
                </c:pt>
                <c:pt idx="222">
                  <c:v>2.351856235451931E-2</c:v>
                </c:pt>
                <c:pt idx="223">
                  <c:v>2.2114464886922664E-2</c:v>
                </c:pt>
                <c:pt idx="224">
                  <c:v>2.4964726678822324E-2</c:v>
                </c:pt>
                <c:pt idx="225">
                  <c:v>2.16447550353281E-2</c:v>
                </c:pt>
                <c:pt idx="226">
                  <c:v>1.687090098406531E-2</c:v>
                </c:pt>
                <c:pt idx="227">
                  <c:v>1.7612664350135535E-2</c:v>
                </c:pt>
                <c:pt idx="228">
                  <c:v>1.9134538699449321E-2</c:v>
                </c:pt>
                <c:pt idx="229">
                  <c:v>1.8127422498347381E-2</c:v>
                </c:pt>
                <c:pt idx="230">
                  <c:v>3.2578623294543092E-2</c:v>
                </c:pt>
                <c:pt idx="231">
                  <c:v>0.12269714735046029</c:v>
                </c:pt>
                <c:pt idx="232">
                  <c:v>0.16516651665166548</c:v>
                </c:pt>
                <c:pt idx="233">
                  <c:v>0.36281171369732101</c:v>
                </c:pt>
                <c:pt idx="234">
                  <c:v>0.38909960647806041</c:v>
                </c:pt>
                <c:pt idx="235">
                  <c:v>5.7191541747047769E-2</c:v>
                </c:pt>
                <c:pt idx="236">
                  <c:v>4.6622383757362988E-2</c:v>
                </c:pt>
                <c:pt idx="237">
                  <c:v>2.5665177137183293E-2</c:v>
                </c:pt>
                <c:pt idx="238">
                  <c:v>2.0389081367873121E-2</c:v>
                </c:pt>
                <c:pt idx="239">
                  <c:v>1.8916672689166695E-2</c:v>
                </c:pt>
                <c:pt idx="240">
                  <c:v>6.7965083473359889E-2</c:v>
                </c:pt>
                <c:pt idx="241">
                  <c:v>5.8734413465302643E-2</c:v>
                </c:pt>
                <c:pt idx="242">
                  <c:v>6.4393838329438235E-2</c:v>
                </c:pt>
                <c:pt idx="243">
                  <c:v>5.8632389956440323E-2</c:v>
                </c:pt>
                <c:pt idx="244">
                  <c:v>4.9500256283758641E-2</c:v>
                </c:pt>
                <c:pt idx="245">
                  <c:v>3.6324588559255688E-2</c:v>
                </c:pt>
                <c:pt idx="246">
                  <c:v>3.0878586776401637E-2</c:v>
                </c:pt>
                <c:pt idx="247">
                  <c:v>2.6454709514491657E-2</c:v>
                </c:pt>
                <c:pt idx="248">
                  <c:v>1.9085018871988393E-2</c:v>
                </c:pt>
                <c:pt idx="249">
                  <c:v>3.5010267929152683E-2</c:v>
                </c:pt>
                <c:pt idx="250">
                  <c:v>2.5432393667596941E-2</c:v>
                </c:pt>
                <c:pt idx="251">
                  <c:v>3.5548921115281171E-2</c:v>
                </c:pt>
                <c:pt idx="252">
                  <c:v>2.7576110566258673E-2</c:v>
                </c:pt>
                <c:pt idx="253">
                  <c:v>2.9177189430465461E-2</c:v>
                </c:pt>
                <c:pt idx="254">
                  <c:v>4.18171252487686E-2</c:v>
                </c:pt>
                <c:pt idx="255">
                  <c:v>8.9071592308919201E-2</c:v>
                </c:pt>
                <c:pt idx="256">
                  <c:v>0.2777492370184288</c:v>
                </c:pt>
                <c:pt idx="257">
                  <c:v>0.58066301936708442</c:v>
                </c:pt>
                <c:pt idx="258">
                  <c:v>0.45125116562037637</c:v>
                </c:pt>
                <c:pt idx="259">
                  <c:v>6.4835835082772436E-2</c:v>
                </c:pt>
                <c:pt idx="260">
                  <c:v>3.2842960287189714E-2</c:v>
                </c:pt>
                <c:pt idx="261">
                  <c:v>6.6439532581303098E-2</c:v>
                </c:pt>
                <c:pt idx="262">
                  <c:v>7.4071346244294775E-2</c:v>
                </c:pt>
                <c:pt idx="263">
                  <c:v>8.4243676931804456E-2</c:v>
                </c:pt>
                <c:pt idx="264">
                  <c:v>5.1600963077638215E-2</c:v>
                </c:pt>
                <c:pt idx="265">
                  <c:v>6.2681671455415547E-2</c:v>
                </c:pt>
                <c:pt idx="266">
                  <c:v>6.6827678247639508E-2</c:v>
                </c:pt>
                <c:pt idx="267">
                  <c:v>4.8794563327163309E-2</c:v>
                </c:pt>
                <c:pt idx="268">
                  <c:v>3.6997805468406711E-2</c:v>
                </c:pt>
                <c:pt idx="269">
                  <c:v>2.7064655763846732E-2</c:v>
                </c:pt>
                <c:pt idx="270">
                  <c:v>4.3075272221929632E-2</c:v>
                </c:pt>
                <c:pt idx="271">
                  <c:v>0.31705364940028585</c:v>
                </c:pt>
                <c:pt idx="272">
                  <c:v>0.5460153917764804</c:v>
                </c:pt>
                <c:pt idx="273">
                  <c:v>4.0119849386500296E-2</c:v>
                </c:pt>
                <c:pt idx="274">
                  <c:v>2.456983776069992E-2</c:v>
                </c:pt>
                <c:pt idx="275">
                  <c:v>2.6240975447952664E-2</c:v>
                </c:pt>
                <c:pt idx="276">
                  <c:v>3.0595567773760761E-2</c:v>
                </c:pt>
                <c:pt idx="277">
                  <c:v>3.8570393360587943E-2</c:v>
                </c:pt>
                <c:pt idx="278">
                  <c:v>3.2905844445593829E-2</c:v>
                </c:pt>
                <c:pt idx="279">
                  <c:v>8.4985093062831016E-2</c:v>
                </c:pt>
                <c:pt idx="280">
                  <c:v>0.7105561807208185</c:v>
                </c:pt>
                <c:pt idx="281">
                  <c:v>0.9120442913921033</c:v>
                </c:pt>
                <c:pt idx="282">
                  <c:v>1.0064228661926118</c:v>
                </c:pt>
                <c:pt idx="283">
                  <c:v>6.6431878229907926E-2</c:v>
                </c:pt>
                <c:pt idx="284">
                  <c:v>3.0070029423486539E-2</c:v>
                </c:pt>
                <c:pt idx="285">
                  <c:v>3.4694611785296148E-2</c:v>
                </c:pt>
                <c:pt idx="286">
                  <c:v>2.9735264745267321E-2</c:v>
                </c:pt>
                <c:pt idx="287">
                  <c:v>4.4788817023749601E-2</c:v>
                </c:pt>
                <c:pt idx="288">
                  <c:v>7.909486617541156E-2</c:v>
                </c:pt>
                <c:pt idx="289">
                  <c:v>7.0602581472342232E-2</c:v>
                </c:pt>
                <c:pt idx="290">
                  <c:v>7.2696751804517915E-2</c:v>
                </c:pt>
                <c:pt idx="291">
                  <c:v>6.1328980100564451E-2</c:v>
                </c:pt>
                <c:pt idx="292">
                  <c:v>4.9501404162638415E-2</c:v>
                </c:pt>
                <c:pt idx="293">
                  <c:v>2.4432098988354533E-2</c:v>
                </c:pt>
                <c:pt idx="294">
                  <c:v>5.9099843719927297E-2</c:v>
                </c:pt>
                <c:pt idx="295">
                  <c:v>0.19262056900188021</c:v>
                </c:pt>
                <c:pt idx="296">
                  <c:v>0.3100640234214242</c:v>
                </c:pt>
                <c:pt idx="297">
                  <c:v>8.0099349508615178E-2</c:v>
                </c:pt>
                <c:pt idx="298">
                  <c:v>2.9806582810661186E-2</c:v>
                </c:pt>
                <c:pt idx="299">
                  <c:v>3.7672292972328242E-2</c:v>
                </c:pt>
                <c:pt idx="300">
                  <c:v>3.6821239997633419E-2</c:v>
                </c:pt>
                <c:pt idx="301">
                  <c:v>3.5769034474023437E-2</c:v>
                </c:pt>
                <c:pt idx="302">
                  <c:v>5.9241047465684891E-2</c:v>
                </c:pt>
                <c:pt idx="303">
                  <c:v>5.5329533762213175E-2</c:v>
                </c:pt>
                <c:pt idx="304">
                  <c:v>4.5948702411092168E-2</c:v>
                </c:pt>
                <c:pt idx="305">
                  <c:v>4.7722622085931823E-2</c:v>
                </c:pt>
                <c:pt idx="306">
                  <c:v>5.4451327327924501E-2</c:v>
                </c:pt>
                <c:pt idx="307">
                  <c:v>3.3725972754913611E-2</c:v>
                </c:pt>
                <c:pt idx="308">
                  <c:v>3.493959265139799E-2</c:v>
                </c:pt>
                <c:pt idx="309">
                  <c:v>5.9353967822408399E-2</c:v>
                </c:pt>
                <c:pt idx="310">
                  <c:v>8.2514844677636215E-2</c:v>
                </c:pt>
                <c:pt idx="311">
                  <c:v>7.3533707961712255E-2</c:v>
                </c:pt>
                <c:pt idx="312">
                  <c:v>3.5041794776466448E-2</c:v>
                </c:pt>
                <c:pt idx="313">
                  <c:v>4.567151054965933E-2</c:v>
                </c:pt>
                <c:pt idx="314">
                  <c:v>4.3931535718020526E-2</c:v>
                </c:pt>
                <c:pt idx="315">
                  <c:v>3.3938057875510144E-2</c:v>
                </c:pt>
                <c:pt idx="316">
                  <c:v>2.5947014492635354E-2</c:v>
                </c:pt>
                <c:pt idx="317">
                  <c:v>3.2322023056779052E-2</c:v>
                </c:pt>
                <c:pt idx="318">
                  <c:v>4.5792656955447278E-2</c:v>
                </c:pt>
                <c:pt idx="319">
                  <c:v>0.26512183994840044</c:v>
                </c:pt>
                <c:pt idx="320">
                  <c:v>0.97377665590568241</c:v>
                </c:pt>
                <c:pt idx="321">
                  <c:v>0.14337135220750277</c:v>
                </c:pt>
                <c:pt idx="322">
                  <c:v>2.2509182475192378E-2</c:v>
                </c:pt>
                <c:pt idx="323">
                  <c:v>2.3057241420906375E-2</c:v>
                </c:pt>
                <c:pt idx="324">
                  <c:v>3.3379983510182024E-2</c:v>
                </c:pt>
                <c:pt idx="325">
                  <c:v>2.7635453304299475E-2</c:v>
                </c:pt>
                <c:pt idx="326">
                  <c:v>3.1017154340251103E-2</c:v>
                </c:pt>
                <c:pt idx="327">
                  <c:v>5.3588180112570258E-2</c:v>
                </c:pt>
                <c:pt idx="328">
                  <c:v>7.1642929076983344E-2</c:v>
                </c:pt>
                <c:pt idx="329">
                  <c:v>0.1687315501296518</c:v>
                </c:pt>
                <c:pt idx="330">
                  <c:v>7.345454427651861E-2</c:v>
                </c:pt>
                <c:pt idx="331">
                  <c:v>5.144107643015268E-2</c:v>
                </c:pt>
                <c:pt idx="332">
                  <c:v>5.1250860562262829E-2</c:v>
                </c:pt>
                <c:pt idx="333">
                  <c:v>5.3488245999754623E-2</c:v>
                </c:pt>
                <c:pt idx="334">
                  <c:v>4.7770402071974832E-2</c:v>
                </c:pt>
                <c:pt idx="335">
                  <c:v>3.5706835447034041E-2</c:v>
                </c:pt>
                <c:pt idx="336">
                  <c:v>0.13893653516294965</c:v>
                </c:pt>
                <c:pt idx="337">
                  <c:v>0.12827218702421228</c:v>
                </c:pt>
                <c:pt idx="338">
                  <c:v>0.1844669827396539</c:v>
                </c:pt>
                <c:pt idx="339">
                  <c:v>0.118323814976123</c:v>
                </c:pt>
                <c:pt idx="340">
                  <c:v>8.8134149448823904E-2</c:v>
                </c:pt>
                <c:pt idx="341">
                  <c:v>1.9679202717108133E-2</c:v>
                </c:pt>
                <c:pt idx="342">
                  <c:v>2.7670317250307788E-2</c:v>
                </c:pt>
                <c:pt idx="343">
                  <c:v>0.12604303908651698</c:v>
                </c:pt>
                <c:pt idx="344">
                  <c:v>0.19808360393361099</c:v>
                </c:pt>
                <c:pt idx="345">
                  <c:v>3.3719125636587043E-2</c:v>
                </c:pt>
                <c:pt idx="346">
                  <c:v>2.1430285941388301E-2</c:v>
                </c:pt>
                <c:pt idx="347">
                  <c:v>1.890708599435895E-2</c:v>
                </c:pt>
                <c:pt idx="348">
                  <c:v>2.0476113447643402E-2</c:v>
                </c:pt>
                <c:pt idx="349">
                  <c:v>2.738044915935979E-2</c:v>
                </c:pt>
                <c:pt idx="350">
                  <c:v>2.729174878761223E-2</c:v>
                </c:pt>
                <c:pt idx="351">
                  <c:v>4.6483180428134575E-2</c:v>
                </c:pt>
                <c:pt idx="352">
                  <c:v>2.3500377862843695E-2</c:v>
                </c:pt>
                <c:pt idx="353">
                  <c:v>3.0417370785446218E-2</c:v>
                </c:pt>
                <c:pt idx="354">
                  <c:v>3.8568980015871175E-2</c:v>
                </c:pt>
                <c:pt idx="355">
                  <c:v>6.8127718093164105E-2</c:v>
                </c:pt>
                <c:pt idx="356">
                  <c:v>2.5666241646546312E-2</c:v>
                </c:pt>
                <c:pt idx="357">
                  <c:v>6.4509278529469805E-2</c:v>
                </c:pt>
                <c:pt idx="358">
                  <c:v>9.8862365101372446E-2</c:v>
                </c:pt>
                <c:pt idx="359">
                  <c:v>9.445756165467914E-2</c:v>
                </c:pt>
                <c:pt idx="360">
                  <c:v>0.11350337302333288</c:v>
                </c:pt>
                <c:pt idx="361">
                  <c:v>0.10271130049702273</c:v>
                </c:pt>
                <c:pt idx="362">
                  <c:v>0.11335712633422564</c:v>
                </c:pt>
                <c:pt idx="363">
                  <c:v>0.10946339799153375</c:v>
                </c:pt>
                <c:pt idx="364">
                  <c:v>7.4679301450955235E-2</c:v>
                </c:pt>
                <c:pt idx="365">
                  <c:v>2.6481815847842625E-2</c:v>
                </c:pt>
                <c:pt idx="366">
                  <c:v>3.2319479792663773E-2</c:v>
                </c:pt>
                <c:pt idx="367">
                  <c:v>8.1859047046943828E-2</c:v>
                </c:pt>
                <c:pt idx="368">
                  <c:v>0.20282406888448828</c:v>
                </c:pt>
                <c:pt idx="369">
                  <c:v>3.6861586234109865E-2</c:v>
                </c:pt>
                <c:pt idx="370">
                  <c:v>3.3340398304862476E-2</c:v>
                </c:pt>
                <c:pt idx="371">
                  <c:v>3.0074549670055798E-2</c:v>
                </c:pt>
                <c:pt idx="372">
                  <c:v>2.6057730429991884E-2</c:v>
                </c:pt>
                <c:pt idx="373">
                  <c:v>2.7514220979991569E-2</c:v>
                </c:pt>
                <c:pt idx="374">
                  <c:v>3.2745660368492878E-2</c:v>
                </c:pt>
                <c:pt idx="375">
                  <c:v>3.6268881454952287E-2</c:v>
                </c:pt>
                <c:pt idx="376">
                  <c:v>2.5990102697440134E-2</c:v>
                </c:pt>
                <c:pt idx="377">
                  <c:v>3.3439287537181339E-2</c:v>
                </c:pt>
                <c:pt idx="378">
                  <c:v>3.113363195950156E-2</c:v>
                </c:pt>
                <c:pt idx="379">
                  <c:v>4.0817146876839246E-2</c:v>
                </c:pt>
                <c:pt idx="380">
                  <c:v>2.8726925188750047E-2</c:v>
                </c:pt>
                <c:pt idx="381">
                  <c:v>8.0342683792537298E-2</c:v>
                </c:pt>
                <c:pt idx="382">
                  <c:v>9.4496016113266523E-2</c:v>
                </c:pt>
                <c:pt idx="383">
                  <c:v>9.7509188407543704E-2</c:v>
                </c:pt>
                <c:pt idx="384">
                  <c:v>0.1237086490786551</c:v>
                </c:pt>
                <c:pt idx="385">
                  <c:v>0.12870872153031715</c:v>
                </c:pt>
                <c:pt idx="386">
                  <c:v>0.11935725807814435</c:v>
                </c:pt>
                <c:pt idx="387">
                  <c:v>0.12239411316699547</c:v>
                </c:pt>
                <c:pt idx="388">
                  <c:v>0.14436909764764871</c:v>
                </c:pt>
                <c:pt idx="389">
                  <c:v>0.12479557388558855</c:v>
                </c:pt>
                <c:pt idx="390">
                  <c:v>0.10001325650203167</c:v>
                </c:pt>
                <c:pt idx="391">
                  <c:v>9.1884002228829961E-2</c:v>
                </c:pt>
                <c:pt idx="392">
                  <c:v>0.25257005141241717</c:v>
                </c:pt>
                <c:pt idx="393">
                  <c:v>0.11787727459496107</c:v>
                </c:pt>
                <c:pt idx="394">
                  <c:v>8.6836517652534001E-2</c:v>
                </c:pt>
                <c:pt idx="395">
                  <c:v>7.3535457980969443E-2</c:v>
                </c:pt>
                <c:pt idx="396">
                  <c:v>7.3188266170722382E-2</c:v>
                </c:pt>
                <c:pt idx="397">
                  <c:v>8.288733365914798E-2</c:v>
                </c:pt>
                <c:pt idx="398">
                  <c:v>6.6585309093267556E-2</c:v>
                </c:pt>
                <c:pt idx="399">
                  <c:v>6.8498951756777934E-2</c:v>
                </c:pt>
                <c:pt idx="400">
                  <c:v>0.20696347367564402</c:v>
                </c:pt>
                <c:pt idx="401">
                  <c:v>0.41364687753990448</c:v>
                </c:pt>
                <c:pt idx="402">
                  <c:v>0.11456603646998383</c:v>
                </c:pt>
                <c:pt idx="403">
                  <c:v>8.7768656363550662E-2</c:v>
                </c:pt>
                <c:pt idx="404">
                  <c:v>9.0441195072357719E-2</c:v>
                </c:pt>
                <c:pt idx="405">
                  <c:v>0.12625972095527083</c:v>
                </c:pt>
                <c:pt idx="406">
                  <c:v>0.12808594153496528</c:v>
                </c:pt>
                <c:pt idx="407">
                  <c:v>0.12800661299807761</c:v>
                </c:pt>
                <c:pt idx="408">
                  <c:v>2.5406245821687042E-2</c:v>
                </c:pt>
                <c:pt idx="409">
                  <c:v>1.7594122546759176E-2</c:v>
                </c:pt>
                <c:pt idx="410">
                  <c:v>2.0963032247466384E-2</c:v>
                </c:pt>
                <c:pt idx="411">
                  <c:v>1.6413828516183369E-2</c:v>
                </c:pt>
                <c:pt idx="412">
                  <c:v>2.1058982587384558E-2</c:v>
                </c:pt>
                <c:pt idx="413">
                  <c:v>1.7423311132448532E-2</c:v>
                </c:pt>
                <c:pt idx="414">
                  <c:v>2.3345820698658093E-2</c:v>
                </c:pt>
                <c:pt idx="415">
                  <c:v>0.15748902609708393</c:v>
                </c:pt>
                <c:pt idx="416">
                  <c:v>0.54650410855046794</c:v>
                </c:pt>
                <c:pt idx="417">
                  <c:v>8.2300002258647587E-2</c:v>
                </c:pt>
                <c:pt idx="418">
                  <c:v>2.259661691704154E-2</c:v>
                </c:pt>
                <c:pt idx="419">
                  <c:v>1.3943537424034194E-2</c:v>
                </c:pt>
                <c:pt idx="420">
                  <c:v>1.6570701783776547E-2</c:v>
                </c:pt>
                <c:pt idx="421">
                  <c:v>2.3957584388768771E-2</c:v>
                </c:pt>
                <c:pt idx="422">
                  <c:v>1.8614229035576243E-2</c:v>
                </c:pt>
                <c:pt idx="423">
                  <c:v>0.112558671512292</c:v>
                </c:pt>
                <c:pt idx="424">
                  <c:v>0.28040646152732435</c:v>
                </c:pt>
                <c:pt idx="425">
                  <c:v>0.67048122289915413</c:v>
                </c:pt>
                <c:pt idx="426">
                  <c:v>0.24411744001233829</c:v>
                </c:pt>
                <c:pt idx="427">
                  <c:v>7.0156530372339709E-2</c:v>
                </c:pt>
                <c:pt idx="428">
                  <c:v>2.5888068751300501E-2</c:v>
                </c:pt>
                <c:pt idx="429">
                  <c:v>2.8337334636985959E-2</c:v>
                </c:pt>
                <c:pt idx="430">
                  <c:v>1.9224634788531654E-2</c:v>
                </c:pt>
                <c:pt idx="431">
                  <c:v>1.6665368075433278E-2</c:v>
                </c:pt>
                <c:pt idx="432">
                  <c:v>2.7362777757955377E-2</c:v>
                </c:pt>
                <c:pt idx="433">
                  <c:v>2.2253199211342618E-2</c:v>
                </c:pt>
                <c:pt idx="434">
                  <c:v>2.5668323624646147E-2</c:v>
                </c:pt>
                <c:pt idx="435">
                  <c:v>3.2731874424170443E-2</c:v>
                </c:pt>
                <c:pt idx="436">
                  <c:v>2.6161574894189819E-2</c:v>
                </c:pt>
                <c:pt idx="437">
                  <c:v>2.3023721361131545E-2</c:v>
                </c:pt>
                <c:pt idx="438">
                  <c:v>2.4072340358606052E-2</c:v>
                </c:pt>
                <c:pt idx="439">
                  <c:v>6.7989764232739197E-2</c:v>
                </c:pt>
                <c:pt idx="440">
                  <c:v>0.14062821435749207</c:v>
                </c:pt>
                <c:pt idx="441">
                  <c:v>7.1861785161790051E-2</c:v>
                </c:pt>
                <c:pt idx="442">
                  <c:v>3.0567690404111468E-2</c:v>
                </c:pt>
                <c:pt idx="443">
                  <c:v>2.2320481895775769E-2</c:v>
                </c:pt>
                <c:pt idx="444">
                  <c:v>4.239300974245467E-2</c:v>
                </c:pt>
                <c:pt idx="445">
                  <c:v>5.5204806909198108E-2</c:v>
                </c:pt>
                <c:pt idx="446">
                  <c:v>7.3053996930405138E-2</c:v>
                </c:pt>
                <c:pt idx="447">
                  <c:v>8.1048974847976865E-2</c:v>
                </c:pt>
                <c:pt idx="448">
                  <c:v>9.8046331166854919E-2</c:v>
                </c:pt>
                <c:pt idx="449">
                  <c:v>0.15011632968215735</c:v>
                </c:pt>
                <c:pt idx="450">
                  <c:v>0.13309151881978612</c:v>
                </c:pt>
                <c:pt idx="451">
                  <c:v>5.4661243403241681E-2</c:v>
                </c:pt>
                <c:pt idx="452">
                  <c:v>2.9174408615651914E-2</c:v>
                </c:pt>
                <c:pt idx="453">
                  <c:v>2.8843851441986489E-2</c:v>
                </c:pt>
                <c:pt idx="454">
                  <c:v>3.20892468365825E-2</c:v>
                </c:pt>
                <c:pt idx="455">
                  <c:v>2.4345113157592083E-2</c:v>
                </c:pt>
                <c:pt idx="456">
                  <c:v>1.8154938463421869E-2</c:v>
                </c:pt>
                <c:pt idx="457">
                  <c:v>1.6913291281522493E-2</c:v>
                </c:pt>
                <c:pt idx="458">
                  <c:v>1.5495129801914975E-2</c:v>
                </c:pt>
                <c:pt idx="459">
                  <c:v>1.6714122185737531E-2</c:v>
                </c:pt>
                <c:pt idx="460">
                  <c:v>1.4379868554051427E-2</c:v>
                </c:pt>
                <c:pt idx="461">
                  <c:v>1.482363301316012E-2</c:v>
                </c:pt>
                <c:pt idx="462">
                  <c:v>3.3004137161781182E-2</c:v>
                </c:pt>
                <c:pt idx="463">
                  <c:v>8.5052162140638987E-2</c:v>
                </c:pt>
                <c:pt idx="464">
                  <c:v>0.11341583034269957</c:v>
                </c:pt>
                <c:pt idx="465">
                  <c:v>1.8789104853813011E-2</c:v>
                </c:pt>
                <c:pt idx="466">
                  <c:v>2.1174682236884627E-2</c:v>
                </c:pt>
                <c:pt idx="467">
                  <c:v>1.1235688841365176E-2</c:v>
                </c:pt>
                <c:pt idx="468">
                  <c:v>1.5584941317233904E-2</c:v>
                </c:pt>
                <c:pt idx="469">
                  <c:v>1.5006663154811081E-2</c:v>
                </c:pt>
                <c:pt idx="470">
                  <c:v>2.3422972374191064E-2</c:v>
                </c:pt>
                <c:pt idx="471">
                  <c:v>2.8920380717085133E-2</c:v>
                </c:pt>
                <c:pt idx="472">
                  <c:v>1.436351205674702E-2</c:v>
                </c:pt>
                <c:pt idx="473">
                  <c:v>1.6921258410620203E-2</c:v>
                </c:pt>
                <c:pt idx="474">
                  <c:v>3.4321581196581213E-2</c:v>
                </c:pt>
                <c:pt idx="475">
                  <c:v>4.5877059789216537E-2</c:v>
                </c:pt>
                <c:pt idx="476">
                  <c:v>2.2236074946918125E-2</c:v>
                </c:pt>
                <c:pt idx="477">
                  <c:v>1.6843084263383545E-2</c:v>
                </c:pt>
                <c:pt idx="478">
                  <c:v>1.2844988759465121E-2</c:v>
                </c:pt>
                <c:pt idx="479">
                  <c:v>1.6179653106543027E-2</c:v>
                </c:pt>
                <c:pt idx="480">
                  <c:v>0.18755175000622593</c:v>
                </c:pt>
                <c:pt idx="481">
                  <c:v>0.29022006900497765</c:v>
                </c:pt>
                <c:pt idx="482">
                  <c:v>0.3025342685387018</c:v>
                </c:pt>
                <c:pt idx="483">
                  <c:v>0.30913315506633082</c:v>
                </c:pt>
                <c:pt idx="484">
                  <c:v>0.20916558177955016</c:v>
                </c:pt>
                <c:pt idx="485">
                  <c:v>0.1266291259385183</c:v>
                </c:pt>
                <c:pt idx="486">
                  <c:v>0.11919979924479449</c:v>
                </c:pt>
                <c:pt idx="487">
                  <c:v>7.3755733932470785E-2</c:v>
                </c:pt>
                <c:pt idx="488">
                  <c:v>9.4740086837137041E-2</c:v>
                </c:pt>
                <c:pt idx="489">
                  <c:v>8.530510988437226E-2</c:v>
                </c:pt>
                <c:pt idx="490">
                  <c:v>0.11075001129893002</c:v>
                </c:pt>
                <c:pt idx="491">
                  <c:v>0.11582962702663623</c:v>
                </c:pt>
                <c:pt idx="492">
                  <c:v>0.13143400430405114</c:v>
                </c:pt>
                <c:pt idx="493">
                  <c:v>0.13931398142742901</c:v>
                </c:pt>
                <c:pt idx="494">
                  <c:v>0.13928460766665632</c:v>
                </c:pt>
                <c:pt idx="495">
                  <c:v>0.14335029861940932</c:v>
                </c:pt>
                <c:pt idx="496">
                  <c:v>0.13309940897085082</c:v>
                </c:pt>
                <c:pt idx="497">
                  <c:v>0.23111906157651987</c:v>
                </c:pt>
                <c:pt idx="498">
                  <c:v>0.14466549248507116</c:v>
                </c:pt>
                <c:pt idx="499">
                  <c:v>0.12749227274584113</c:v>
                </c:pt>
                <c:pt idx="500">
                  <c:v>0.13077860875303748</c:v>
                </c:pt>
                <c:pt idx="501">
                  <c:v>0.13414585064337464</c:v>
                </c:pt>
                <c:pt idx="502">
                  <c:v>0.17425849050505729</c:v>
                </c:pt>
                <c:pt idx="503">
                  <c:v>0.19287908594290198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E-487F-B9F6-B3BAA37B0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243984"/>
        <c:axId val="1108236496"/>
      </c:scatterChart>
      <c:valAx>
        <c:axId val="11082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36496"/>
        <c:crosses val="autoZero"/>
        <c:crossBetween val="midCat"/>
      </c:valAx>
      <c:valAx>
        <c:axId val="11082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4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</xdr:row>
      <xdr:rowOff>42861</xdr:rowOff>
    </xdr:from>
    <xdr:to>
      <xdr:col>11</xdr:col>
      <xdr:colOff>381000</xdr:colOff>
      <xdr:row>18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15</xdr:col>
      <xdr:colOff>286871</xdr:colOff>
      <xdr:row>35</xdr:row>
      <xdr:rowOff>13820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0CD2CD-9098-4C0F-B8E1-0CD9BAC16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15</xdr:col>
      <xdr:colOff>304800</xdr:colOff>
      <xdr:row>17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3F24CE-3D2D-4E6F-8DF8-BA04FE5C4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35</xdr:row>
      <xdr:rowOff>0</xdr:rowOff>
    </xdr:from>
    <xdr:to>
      <xdr:col>8</xdr:col>
      <xdr:colOff>965200</xdr:colOff>
      <xdr:row>49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18</xdr:col>
      <xdr:colOff>196850</xdr:colOff>
      <xdr:row>49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35</xdr:row>
      <xdr:rowOff>31750</xdr:rowOff>
    </xdr:from>
    <xdr:to>
      <xdr:col>13</xdr:col>
      <xdr:colOff>342900</xdr:colOff>
      <xdr:row>50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514350</xdr:colOff>
      <xdr:row>55</xdr:row>
      <xdr:rowOff>63500</xdr:rowOff>
    </xdr:from>
    <xdr:to>
      <xdr:col>14</xdr:col>
      <xdr:colOff>679450</xdr:colOff>
      <xdr:row>70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622300</xdr:colOff>
      <xdr:row>69</xdr:row>
      <xdr:rowOff>25400</xdr:rowOff>
    </xdr:from>
    <xdr:to>
      <xdr:col>18</xdr:col>
      <xdr:colOff>819150</xdr:colOff>
      <xdr:row>84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984250</xdr:colOff>
      <xdr:row>38</xdr:row>
      <xdr:rowOff>31750</xdr:rowOff>
    </xdr:from>
    <xdr:to>
      <xdr:col>22</xdr:col>
      <xdr:colOff>831850</xdr:colOff>
      <xdr:row>53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C43"/>
  <sheetViews>
    <sheetView tabSelected="1" workbookViewId="0">
      <selection activeCell="B10" sqref="B2:C43"/>
    </sheetView>
  </sheetViews>
  <sheetFormatPr defaultRowHeight="15" x14ac:dyDescent="0.25"/>
  <cols>
    <col min="1" max="1" width="9.140625" style="11"/>
    <col min="2" max="3" width="9.140625" style="12"/>
    <col min="4" max="16384" width="9.140625" style="11"/>
  </cols>
  <sheetData>
    <row r="2" spans="2:3" x14ac:dyDescent="0.25">
      <c r="B2" s="21" t="s">
        <v>78</v>
      </c>
      <c r="C2" s="21" t="s">
        <v>0</v>
      </c>
    </row>
    <row r="3" spans="2:3" x14ac:dyDescent="0.25">
      <c r="B3" s="30">
        <v>0</v>
      </c>
      <c r="C3" s="31">
        <f>ROUND(VLOOKUP(B3, 'Eqtn Simplified'!$B$7:$F$48, 5, FALSE),3)</f>
        <v>0.04</v>
      </c>
    </row>
    <row r="4" spans="2:3" x14ac:dyDescent="0.25">
      <c r="B4" s="22">
        <v>0.05</v>
      </c>
      <c r="C4" s="31">
        <f>ROUND(VLOOKUP(B4, 'Eqtn Simplified'!$B$7:$F$48, 5, FALSE),3)</f>
        <v>0.04</v>
      </c>
    </row>
    <row r="5" spans="2:3" x14ac:dyDescent="0.25">
      <c r="B5" s="30">
        <v>0.1</v>
      </c>
      <c r="C5" s="31">
        <f>ROUND(VLOOKUP(B5, 'Eqtn Simplified'!$B$7:$F$48, 5, FALSE),3)</f>
        <v>0.04</v>
      </c>
    </row>
    <row r="6" spans="2:3" x14ac:dyDescent="0.25">
      <c r="B6" s="22">
        <v>0.15</v>
      </c>
      <c r="C6" s="31">
        <f>ROUND(VLOOKUP(B6, 'Eqtn Simplified'!$B$7:$F$48, 5, FALSE),3)</f>
        <v>0.04</v>
      </c>
    </row>
    <row r="7" spans="2:3" x14ac:dyDescent="0.25">
      <c r="B7" s="30">
        <v>0.2</v>
      </c>
      <c r="C7" s="31">
        <f>ROUND(VLOOKUP(B7, 'Eqtn Simplified'!$B$7:$F$48, 5, FALSE),3)</f>
        <v>0.04</v>
      </c>
    </row>
    <row r="8" spans="2:3" x14ac:dyDescent="0.25">
      <c r="B8" s="22">
        <v>0.25</v>
      </c>
      <c r="C8" s="31">
        <f>ROUND(VLOOKUP(B8, 'Eqtn Simplified'!$B$7:$F$48, 5, FALSE),3)</f>
        <v>0.04</v>
      </c>
    </row>
    <row r="9" spans="2:3" x14ac:dyDescent="0.25">
      <c r="B9" s="30">
        <v>0.3</v>
      </c>
      <c r="C9" s="31">
        <f>ROUND(VLOOKUP(B9, 'Eqtn Simplified'!$B$7:$F$48, 5, FALSE),3)</f>
        <v>0.04</v>
      </c>
    </row>
    <row r="10" spans="2:3" x14ac:dyDescent="0.25">
      <c r="B10" s="22">
        <v>0.35</v>
      </c>
      <c r="C10" s="31">
        <f>ROUND(VLOOKUP(B10, 'Eqtn Simplified'!$B$7:$F$48, 5, FALSE),3)</f>
        <v>0.04</v>
      </c>
    </row>
    <row r="11" spans="2:3" x14ac:dyDescent="0.25">
      <c r="B11" s="30">
        <v>0.4</v>
      </c>
      <c r="C11" s="31">
        <f>ROUND(VLOOKUP(B11, 'Eqtn Simplified'!$B$7:$F$48, 5, FALSE),3)</f>
        <v>0.04</v>
      </c>
    </row>
    <row r="12" spans="2:3" x14ac:dyDescent="0.25">
      <c r="B12" s="22">
        <v>0.45</v>
      </c>
      <c r="C12" s="31">
        <f>ROUND(VLOOKUP(B12, 'Eqtn Simplified'!$B$7:$F$48, 5, FALSE),3)</f>
        <v>0.04</v>
      </c>
    </row>
    <row r="13" spans="2:3" x14ac:dyDescent="0.25">
      <c r="B13" s="30">
        <v>0.5</v>
      </c>
      <c r="C13" s="31">
        <f>ROUND(VLOOKUP(B13, 'Eqtn Simplified'!$B$7:$F$48, 5, FALSE),3)</f>
        <v>0.04</v>
      </c>
    </row>
    <row r="14" spans="2:3" x14ac:dyDescent="0.25">
      <c r="B14" s="22">
        <v>0.55000000000000004</v>
      </c>
      <c r="C14" s="31">
        <f>ROUND(VLOOKUP(B14, 'Eqtn Simplified'!$B$7:$F$48, 5, FALSE),3)</f>
        <v>0.04</v>
      </c>
    </row>
    <row r="15" spans="2:3" x14ac:dyDescent="0.25">
      <c r="B15" s="30">
        <v>0.6</v>
      </c>
      <c r="C15" s="31">
        <f>ROUND(VLOOKUP(B15, 'Eqtn Simplified'!$B$7:$F$48, 5, FALSE),3)</f>
        <v>0.04</v>
      </c>
    </row>
    <row r="16" spans="2:3" x14ac:dyDescent="0.25">
      <c r="B16" s="22">
        <v>0.65</v>
      </c>
      <c r="C16" s="31">
        <f>ROUND(VLOOKUP(B16, 'Eqtn Simplified'!$B$7:$F$48, 5, FALSE),3)</f>
        <v>0.08</v>
      </c>
    </row>
    <row r="17" spans="2:3" x14ac:dyDescent="0.25">
      <c r="B17" s="30">
        <v>0.7</v>
      </c>
      <c r="C17" s="31">
        <f>ROUND(VLOOKUP(B17, 'Eqtn Simplified'!$B$7:$F$48, 5, FALSE),3)</f>
        <v>0.12</v>
      </c>
    </row>
    <row r="18" spans="2:3" x14ac:dyDescent="0.25">
      <c r="B18" s="22">
        <v>0.75</v>
      </c>
      <c r="C18" s="31">
        <f>ROUND(VLOOKUP(B18, 'Eqtn Simplified'!$B$7:$F$48, 5, FALSE),3)</f>
        <v>0.16</v>
      </c>
    </row>
    <row r="19" spans="2:3" x14ac:dyDescent="0.25">
      <c r="B19" s="30">
        <v>0.8</v>
      </c>
      <c r="C19" s="31">
        <f>ROUND(VLOOKUP(B19, 'Eqtn Simplified'!$B$7:$F$48, 5, FALSE),3)</f>
        <v>0.2</v>
      </c>
    </row>
    <row r="20" spans="2:3" x14ac:dyDescent="0.25">
      <c r="B20" s="22">
        <v>0.85</v>
      </c>
      <c r="C20" s="31">
        <f>ROUND(VLOOKUP(B20, 'Eqtn Simplified'!$B$7:$F$48, 5, FALSE),3)</f>
        <v>0.217</v>
      </c>
    </row>
    <row r="21" spans="2:3" x14ac:dyDescent="0.25">
      <c r="B21" s="30">
        <v>0.9</v>
      </c>
      <c r="C21" s="31">
        <f>ROUND(VLOOKUP(B21, 'Eqtn Simplified'!$B$7:$F$48, 5, FALSE),3)</f>
        <v>0.23300000000000001</v>
      </c>
    </row>
    <row r="22" spans="2:3" x14ac:dyDescent="0.25">
      <c r="B22" s="22">
        <v>0.95</v>
      </c>
      <c r="C22" s="31">
        <f>ROUND(VLOOKUP(B22, 'Eqtn Simplified'!$B$7:$F$48, 5, FALSE),3)</f>
        <v>0.25</v>
      </c>
    </row>
    <row r="23" spans="2:3" x14ac:dyDescent="0.25">
      <c r="B23" s="30">
        <v>1</v>
      </c>
      <c r="C23" s="31">
        <f>ROUND(VLOOKUP(B23, 'Eqtn Simplified'!$B$7:$F$48, 5, FALSE),3)</f>
        <v>0.26700000000000002</v>
      </c>
    </row>
    <row r="24" spans="2:3" x14ac:dyDescent="0.25">
      <c r="B24" s="22">
        <v>1.05</v>
      </c>
      <c r="C24" s="31">
        <f>ROUND(VLOOKUP(B24, 'Eqtn Simplified'!$B$7:$F$48, 5, FALSE),3)</f>
        <v>0.28299999999999997</v>
      </c>
    </row>
    <row r="25" spans="2:3" x14ac:dyDescent="0.25">
      <c r="B25" s="30">
        <v>1.1000000000000001</v>
      </c>
      <c r="C25" s="31">
        <f>ROUND(VLOOKUP(B25, 'Eqtn Simplified'!$B$7:$F$48, 5, FALSE),3)</f>
        <v>0.3</v>
      </c>
    </row>
    <row r="26" spans="2:3" x14ac:dyDescent="0.25">
      <c r="B26" s="22">
        <v>1.1499999999999999</v>
      </c>
      <c r="C26" s="31">
        <f>ROUND(VLOOKUP(B26, 'Eqtn Simplified'!$B$7:$F$48, 5, FALSE),3)</f>
        <v>0.317</v>
      </c>
    </row>
    <row r="27" spans="2:3" x14ac:dyDescent="0.25">
      <c r="B27" s="30">
        <v>1.2</v>
      </c>
      <c r="C27" s="31">
        <f>ROUND(VLOOKUP(B27, 'Eqtn Simplified'!$B$7:$F$48, 5, FALSE),3)</f>
        <v>0.33300000000000002</v>
      </c>
    </row>
    <row r="28" spans="2:3" x14ac:dyDescent="0.25">
      <c r="B28" s="22">
        <v>1.25</v>
      </c>
      <c r="C28" s="31">
        <f>ROUND(VLOOKUP(B28, 'Eqtn Simplified'!$B$7:$F$48, 5, FALSE),3)</f>
        <v>0.35</v>
      </c>
    </row>
    <row r="29" spans="2:3" x14ac:dyDescent="0.25">
      <c r="B29" s="30">
        <v>1.3</v>
      </c>
      <c r="C29" s="31">
        <f>ROUND(VLOOKUP(B29, 'Eqtn Simplified'!$B$7:$F$48, 5, FALSE),3)</f>
        <v>0.36699999999999999</v>
      </c>
    </row>
    <row r="30" spans="2:3" x14ac:dyDescent="0.25">
      <c r="B30" s="22">
        <v>1.35</v>
      </c>
      <c r="C30" s="31">
        <f>ROUND(VLOOKUP(B30, 'Eqtn Simplified'!$B$7:$F$48, 5, FALSE),3)</f>
        <v>0.38300000000000001</v>
      </c>
    </row>
    <row r="31" spans="2:3" x14ac:dyDescent="0.25">
      <c r="B31" s="30">
        <v>1.4</v>
      </c>
      <c r="C31" s="31">
        <f>ROUND(VLOOKUP(B31, 'Eqtn Simplified'!$B$7:$F$48, 5, FALSE),3)</f>
        <v>0.4</v>
      </c>
    </row>
    <row r="32" spans="2:3" x14ac:dyDescent="0.25">
      <c r="B32" s="22">
        <v>1.45</v>
      </c>
      <c r="C32" s="31">
        <f>ROUND(VLOOKUP(B32, 'Eqtn Simplified'!$B$7:$F$48, 5, FALSE),3)</f>
        <v>0.41699999999999998</v>
      </c>
    </row>
    <row r="33" spans="2:3" x14ac:dyDescent="0.25">
      <c r="B33" s="30">
        <v>1.5</v>
      </c>
      <c r="C33" s="31">
        <f>ROUND(VLOOKUP(B33, 'Eqtn Simplified'!$B$7:$F$48, 5, FALSE),3)</f>
        <v>0.433</v>
      </c>
    </row>
    <row r="34" spans="2:3" x14ac:dyDescent="0.25">
      <c r="B34" s="22">
        <v>1.55</v>
      </c>
      <c r="C34" s="31">
        <f>ROUND(VLOOKUP(B34, 'Eqtn Simplified'!$B$7:$F$48, 5, FALSE),3)</f>
        <v>0.45</v>
      </c>
    </row>
    <row r="35" spans="2:3" x14ac:dyDescent="0.25">
      <c r="B35" s="30">
        <v>1.6</v>
      </c>
      <c r="C35" s="31">
        <f>ROUND(VLOOKUP(B35, 'Eqtn Simplified'!$B$7:$F$48, 5, FALSE),3)</f>
        <v>0.46700000000000003</v>
      </c>
    </row>
    <row r="36" spans="2:3" x14ac:dyDescent="0.25">
      <c r="B36" s="22">
        <v>1.65</v>
      </c>
      <c r="C36" s="31">
        <f>ROUND(VLOOKUP(B36, 'Eqtn Simplified'!$B$7:$F$48, 5, FALSE),3)</f>
        <v>0.48299999999999998</v>
      </c>
    </row>
    <row r="37" spans="2:3" x14ac:dyDescent="0.25">
      <c r="B37" s="30">
        <v>1.7</v>
      </c>
      <c r="C37" s="31">
        <f>ROUND(VLOOKUP(B37, 'Eqtn Simplified'!$B$7:$F$48, 5, FALSE),3)</f>
        <v>0.5</v>
      </c>
    </row>
    <row r="38" spans="2:3" x14ac:dyDescent="0.25">
      <c r="B38" s="22">
        <v>1.75</v>
      </c>
      <c r="C38" s="31">
        <f>ROUND(VLOOKUP(B38, 'Eqtn Simplified'!$B$7:$F$48, 5, FALSE),3)</f>
        <v>0.51700000000000002</v>
      </c>
    </row>
    <row r="39" spans="2:3" x14ac:dyDescent="0.25">
      <c r="B39" s="30">
        <v>1.8</v>
      </c>
      <c r="C39" s="31">
        <f>ROUND(VLOOKUP(B39, 'Eqtn Simplified'!$B$7:$F$48, 5, FALSE),3)</f>
        <v>0.53300000000000003</v>
      </c>
    </row>
    <row r="40" spans="2:3" x14ac:dyDescent="0.25">
      <c r="B40" s="22">
        <v>1.85</v>
      </c>
      <c r="C40" s="31">
        <f>ROUND(VLOOKUP(B40, 'Eqtn Simplified'!$B$7:$F$48, 5, FALSE),3)</f>
        <v>0.55000000000000004</v>
      </c>
    </row>
    <row r="41" spans="2:3" x14ac:dyDescent="0.25">
      <c r="B41" s="30">
        <v>1.9</v>
      </c>
      <c r="C41" s="31">
        <f>ROUND(VLOOKUP(B41, 'Eqtn Simplified'!$B$7:$F$48, 5, FALSE),3)</f>
        <v>0.56699999999999995</v>
      </c>
    </row>
    <row r="42" spans="2:3" x14ac:dyDescent="0.25">
      <c r="B42" s="22">
        <v>1.95</v>
      </c>
      <c r="C42" s="31">
        <f>ROUND(VLOOKUP(B42, 'Eqtn Simplified'!$B$7:$F$48, 5, FALSE),3)</f>
        <v>0.58299999999999996</v>
      </c>
    </row>
    <row r="43" spans="2:3" x14ac:dyDescent="0.25">
      <c r="B43" s="30">
        <v>2</v>
      </c>
      <c r="C43" s="31">
        <f>ROUND(VLOOKUP(B43, 'Eqtn Simplified'!$B$7:$F$48, 5, FALSE),3)</f>
        <v>0.6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B1:Y355"/>
  <sheetViews>
    <sheetView topLeftCell="A4" zoomScale="80" zoomScaleNormal="80" workbookViewId="0">
      <selection activeCell="D3" sqref="D3"/>
    </sheetView>
  </sheetViews>
  <sheetFormatPr defaultRowHeight="15" x14ac:dyDescent="0.25"/>
  <cols>
    <col min="2" max="2" width="13.85546875" bestFit="1" customWidth="1"/>
  </cols>
  <sheetData>
    <row r="1" spans="2:25" x14ac:dyDescent="0.25">
      <c r="C1" s="13" t="s">
        <v>62</v>
      </c>
      <c r="D1" s="13" t="s">
        <v>63</v>
      </c>
      <c r="E1" s="13" t="s">
        <v>67</v>
      </c>
      <c r="F1" s="13" t="s">
        <v>68</v>
      </c>
    </row>
    <row r="2" spans="2:25" x14ac:dyDescent="0.25">
      <c r="B2" t="s">
        <v>65</v>
      </c>
      <c r="C2" s="16">
        <v>0</v>
      </c>
      <c r="D2" s="16">
        <v>0.6</v>
      </c>
      <c r="E2" s="16">
        <v>0.04</v>
      </c>
      <c r="F2" s="16"/>
    </row>
    <row r="3" spans="2:25" x14ac:dyDescent="0.25">
      <c r="B3" t="s">
        <v>66</v>
      </c>
      <c r="C3" s="23">
        <f>D2</f>
        <v>0.6</v>
      </c>
      <c r="D3" s="16">
        <v>0.8</v>
      </c>
      <c r="E3" s="23">
        <f>E2</f>
        <v>0.04</v>
      </c>
      <c r="F3" s="16">
        <v>0.2</v>
      </c>
      <c r="S3" s="25" t="s">
        <v>75</v>
      </c>
      <c r="T3" s="24">
        <v>0.7</v>
      </c>
      <c r="W3" s="25" t="s">
        <v>75</v>
      </c>
      <c r="X3" s="24">
        <v>1.3</v>
      </c>
    </row>
    <row r="4" spans="2:25" x14ac:dyDescent="0.25">
      <c r="B4" t="s">
        <v>72</v>
      </c>
      <c r="C4" s="23">
        <f>D3</f>
        <v>0.8</v>
      </c>
      <c r="D4" s="16">
        <v>2</v>
      </c>
      <c r="E4" s="23">
        <f>F3</f>
        <v>0.2</v>
      </c>
      <c r="F4" s="16">
        <v>0.6</v>
      </c>
      <c r="S4" s="25" t="s">
        <v>76</v>
      </c>
      <c r="T4" s="27">
        <f>MEDIAN(T9:T352)</f>
        <v>3.0377698661749091E-2</v>
      </c>
      <c r="W4" s="25" t="s">
        <v>76</v>
      </c>
      <c r="X4" s="27">
        <f>MEDIAN(X9:X355)</f>
        <v>8.5052162140638987E-2</v>
      </c>
    </row>
    <row r="5" spans="2:25" x14ac:dyDescent="0.25">
      <c r="S5" s="25" t="s">
        <v>77</v>
      </c>
      <c r="T5" s="27">
        <f>AVERAGE(T9:T352)</f>
        <v>4.8946167375137746E-2</v>
      </c>
      <c r="W5" s="25" t="s">
        <v>77</v>
      </c>
      <c r="X5" s="27">
        <f>AVERAGE(X9:X355)</f>
        <v>0.22341033740115718</v>
      </c>
    </row>
    <row r="6" spans="2:25" ht="15.75" thickBot="1" x14ac:dyDescent="0.3"/>
    <row r="7" spans="2:25" ht="30" x14ac:dyDescent="0.25">
      <c r="B7" s="18" t="s">
        <v>2</v>
      </c>
      <c r="C7" s="19" t="str">
        <f>B2</f>
        <v>Low v/c</v>
      </c>
      <c r="D7" s="19" t="str">
        <f>B3</f>
        <v>High v/c</v>
      </c>
      <c r="E7" s="19" t="str">
        <f>B4</f>
        <v>Super High v/c</v>
      </c>
      <c r="F7" s="20" t="s">
        <v>69</v>
      </c>
      <c r="R7" s="26" t="s">
        <v>73</v>
      </c>
      <c r="S7" s="26"/>
      <c r="T7" s="26"/>
      <c r="U7" s="26"/>
      <c r="V7" s="26" t="s">
        <v>74</v>
      </c>
      <c r="W7" s="26"/>
      <c r="X7" s="26"/>
      <c r="Y7" s="26"/>
    </row>
    <row r="8" spans="2:25" x14ac:dyDescent="0.25">
      <c r="B8" s="14">
        <v>0</v>
      </c>
      <c r="C8" s="15">
        <f>IF(B8&gt;=$C$2,IF(B8&lt;$D$2,$E$2,""),"")</f>
        <v>0.04</v>
      </c>
      <c r="D8" s="15" t="str">
        <f>IF(B8&gt;=$C$3,IF(B8&lt;=$D$3,($F$3-$E$3)/($D$3-$C$3)*(B8-$C$3)+$E$3,""),"")</f>
        <v/>
      </c>
      <c r="E8" s="15" t="str">
        <f>IF(B8&gt;$C$4,IF(B8&lt;=$D$4,($F$4-$E$4)/($D$4-$C$4)*(B8-$C$4)+$E$4,""),"")</f>
        <v/>
      </c>
      <c r="F8" s="17">
        <f>IF(ISNUMBER(C8)=TRUE,C8,IF(ISNUMBER(D8)=TRUE,D8,E8))</f>
        <v>0.04</v>
      </c>
      <c r="G8" s="2"/>
      <c r="H8" s="2"/>
      <c r="R8" t="s">
        <v>71</v>
      </c>
      <c r="S8" t="s">
        <v>70</v>
      </c>
      <c r="T8" t="s">
        <v>0</v>
      </c>
      <c r="V8" t="s">
        <v>71</v>
      </c>
      <c r="W8" t="s">
        <v>70</v>
      </c>
      <c r="X8" t="s">
        <v>0</v>
      </c>
    </row>
    <row r="9" spans="2:25" x14ac:dyDescent="0.25">
      <c r="B9" s="14">
        <v>0.05</v>
      </c>
      <c r="C9" s="15">
        <f t="shared" ref="C9:C48" si="0">IF(B9&gt;=$C$2,IF(B9&lt;$D$2,$E$2,""),"")</f>
        <v>0.04</v>
      </c>
      <c r="D9" s="15" t="str">
        <f t="shared" ref="D9:D48" si="1">IF(B9&gt;=$C$3,IF(B9&lt;=$D$3,($F$3-$E$3)/($D$3-$C$3)*(B9-$C$3)+$E$3,""),"")</f>
        <v/>
      </c>
      <c r="E9" s="15" t="str">
        <f t="shared" ref="E9:E48" si="2">IF(B9&gt;$C$4,IF(B9&lt;=$D$4,($F$4-$E$4)/($D$4-$C$4)*(B9-$C$4)+$E$4,""),"")</f>
        <v/>
      </c>
      <c r="F9" s="17">
        <f>IF(ISNUMBER(C9)=TRUE,C9,IF(ISNUMBER(D9)=TRUE,D9,E9))</f>
        <v>0.04</v>
      </c>
      <c r="G9" s="2"/>
      <c r="H9" s="2"/>
      <c r="R9" s="29">
        <v>48.51537558685451</v>
      </c>
      <c r="S9" s="28">
        <v>2.5838046183751767E-2</v>
      </c>
      <c r="T9" s="27">
        <v>2.3848377012760099E-2</v>
      </c>
      <c r="V9" s="29">
        <v>51.921287519747246</v>
      </c>
      <c r="W9" s="28">
        <v>0.70198920763273864</v>
      </c>
      <c r="X9" s="27">
        <v>2.5242216626050515E-2</v>
      </c>
    </row>
    <row r="10" spans="2:25" x14ac:dyDescent="0.25">
      <c r="B10" s="14">
        <v>0.1</v>
      </c>
      <c r="C10" s="15">
        <f t="shared" si="0"/>
        <v>0.04</v>
      </c>
      <c r="D10" s="15" t="str">
        <f t="shared" si="1"/>
        <v/>
      </c>
      <c r="E10" s="15" t="str">
        <f t="shared" si="2"/>
        <v/>
      </c>
      <c r="F10" s="17">
        <f t="shared" ref="F10:F48" si="3">IF(ISNUMBER(C10)=TRUE,C10,IF(ISNUMBER(D10)=TRUE,D10,E10))</f>
        <v>0.04</v>
      </c>
      <c r="G10" s="2"/>
      <c r="H10" s="2"/>
      <c r="R10" s="29">
        <v>59.077887788778867</v>
      </c>
      <c r="S10" s="28">
        <v>2.6163471812763097E-2</v>
      </c>
      <c r="T10" s="27">
        <v>1.9541676960182424E-2</v>
      </c>
      <c r="V10" s="29">
        <v>59.077887788778867</v>
      </c>
      <c r="W10" s="28">
        <v>0.70254297106011121</v>
      </c>
      <c r="X10" s="27">
        <v>2.4964726678822324E-2</v>
      </c>
    </row>
    <row r="11" spans="2:25" x14ac:dyDescent="0.25">
      <c r="B11" s="14">
        <v>0.15</v>
      </c>
      <c r="C11" s="15">
        <f t="shared" si="0"/>
        <v>0.04</v>
      </c>
      <c r="D11" s="15" t="str">
        <f t="shared" si="1"/>
        <v/>
      </c>
      <c r="E11" s="15" t="str">
        <f t="shared" si="2"/>
        <v/>
      </c>
      <c r="F11" s="17">
        <f t="shared" si="3"/>
        <v>0.04</v>
      </c>
      <c r="G11" s="2"/>
      <c r="H11" s="2"/>
      <c r="R11" s="29">
        <v>64.173904761904751</v>
      </c>
      <c r="S11" s="28">
        <v>2.8516676355963215E-2</v>
      </c>
      <c r="T11" s="27">
        <v>0.11335712633422564</v>
      </c>
      <c r="V11" s="29">
        <v>61.154601226993904</v>
      </c>
      <c r="W11" s="28">
        <v>0.70477529545925766</v>
      </c>
      <c r="X11" s="27">
        <v>8.0099349508615178E-2</v>
      </c>
    </row>
    <row r="12" spans="2:25" x14ac:dyDescent="0.25">
      <c r="B12" s="14">
        <v>0.2</v>
      </c>
      <c r="C12" s="15">
        <f t="shared" si="0"/>
        <v>0.04</v>
      </c>
      <c r="D12" s="15" t="str">
        <f t="shared" si="1"/>
        <v/>
      </c>
      <c r="E12" s="15" t="str">
        <f t="shared" si="2"/>
        <v/>
      </c>
      <c r="F12" s="17">
        <f t="shared" si="3"/>
        <v>0.04</v>
      </c>
      <c r="G12" s="2"/>
      <c r="H12" s="2"/>
      <c r="R12" s="29">
        <v>48.51537558685451</v>
      </c>
      <c r="S12" s="28">
        <v>2.9511088528472101E-2</v>
      </c>
      <c r="T12" s="27">
        <v>2.2363039318179526E-2</v>
      </c>
      <c r="V12" s="29">
        <v>59.980829420970281</v>
      </c>
      <c r="W12" s="28">
        <v>0.70647588930074223</v>
      </c>
      <c r="X12" s="27">
        <v>2.456983776069992E-2</v>
      </c>
    </row>
    <row r="13" spans="2:25" x14ac:dyDescent="0.25">
      <c r="B13" s="14">
        <v>0.25</v>
      </c>
      <c r="C13" s="15">
        <f t="shared" si="0"/>
        <v>0.04</v>
      </c>
      <c r="D13" s="15" t="str">
        <f t="shared" si="1"/>
        <v/>
      </c>
      <c r="E13" s="15" t="str">
        <f t="shared" si="2"/>
        <v/>
      </c>
      <c r="F13" s="17">
        <f t="shared" si="3"/>
        <v>0.04</v>
      </c>
      <c r="G13" s="2"/>
      <c r="H13" s="2"/>
      <c r="R13" s="29">
        <v>51.632550860719867</v>
      </c>
      <c r="S13" s="28">
        <v>3.0188941883430687E-2</v>
      </c>
      <c r="T13" s="27">
        <v>3.6251314550630492E-2</v>
      </c>
      <c r="V13" s="29">
        <v>42.553716744913906</v>
      </c>
      <c r="W13" s="28">
        <v>0.70845510809300727</v>
      </c>
      <c r="X13" s="27">
        <v>3.2641605032098356E-2</v>
      </c>
    </row>
    <row r="14" spans="2:25" x14ac:dyDescent="0.25">
      <c r="B14" s="14">
        <v>0.3</v>
      </c>
      <c r="C14" s="15">
        <f t="shared" si="0"/>
        <v>0.04</v>
      </c>
      <c r="D14" s="15" t="str">
        <f t="shared" si="1"/>
        <v/>
      </c>
      <c r="E14" s="15" t="str">
        <f t="shared" si="2"/>
        <v/>
      </c>
      <c r="F14" s="17">
        <f t="shared" si="3"/>
        <v>0.04</v>
      </c>
      <c r="G14" s="2"/>
      <c r="H14" s="2"/>
      <c r="R14" s="29">
        <v>61.154601226993904</v>
      </c>
      <c r="S14" s="28">
        <v>3.2749894000423996E-2</v>
      </c>
      <c r="T14" s="27">
        <v>7.2696751804517915E-2</v>
      </c>
      <c r="V14" s="29">
        <v>51.632550860719867</v>
      </c>
      <c r="W14" s="28">
        <v>0.70945858386896121</v>
      </c>
      <c r="X14" s="27">
        <v>0.77117282576303414</v>
      </c>
    </row>
    <row r="15" spans="2:25" x14ac:dyDescent="0.25">
      <c r="B15" s="14">
        <v>0.35</v>
      </c>
      <c r="C15" s="15">
        <f t="shared" si="0"/>
        <v>0.04</v>
      </c>
      <c r="D15" s="15" t="str">
        <f t="shared" si="1"/>
        <v/>
      </c>
      <c r="E15" s="15" t="str">
        <f t="shared" si="2"/>
        <v/>
      </c>
      <c r="F15" s="17">
        <f t="shared" si="3"/>
        <v>0.04</v>
      </c>
      <c r="G15" s="2"/>
      <c r="H15" s="2"/>
      <c r="R15" s="29">
        <v>62.400681818181816</v>
      </c>
      <c r="S15" s="28">
        <v>3.328927655419308E-2</v>
      </c>
      <c r="T15" s="27">
        <v>0.13893653516294965</v>
      </c>
      <c r="V15" s="29">
        <v>51.921287519747246</v>
      </c>
      <c r="W15" s="28">
        <v>0.71135131772546301</v>
      </c>
      <c r="X15" s="27">
        <v>3.0169242089771627E-2</v>
      </c>
    </row>
    <row r="16" spans="2:25" x14ac:dyDescent="0.25">
      <c r="B16" s="14">
        <v>0.4</v>
      </c>
      <c r="C16" s="15">
        <f t="shared" si="0"/>
        <v>0.04</v>
      </c>
      <c r="D16" s="15" t="str">
        <f t="shared" si="1"/>
        <v/>
      </c>
      <c r="E16" s="15" t="str">
        <f t="shared" si="2"/>
        <v/>
      </c>
      <c r="F16" s="17">
        <f t="shared" si="3"/>
        <v>0.04</v>
      </c>
      <c r="G16" s="2"/>
      <c r="H16" s="2"/>
      <c r="R16" s="29">
        <v>71.99595352564107</v>
      </c>
      <c r="S16" s="28">
        <v>3.3425146448384235E-2</v>
      </c>
      <c r="T16" s="27">
        <v>0.3025342685387018</v>
      </c>
      <c r="V16" s="29">
        <v>56.942592592592618</v>
      </c>
      <c r="W16" s="28">
        <v>0.71151016912866594</v>
      </c>
      <c r="X16" s="27">
        <v>0.2669145493974534</v>
      </c>
    </row>
    <row r="17" spans="2:24" x14ac:dyDescent="0.25">
      <c r="B17" s="14">
        <v>0.45</v>
      </c>
      <c r="C17" s="15">
        <f t="shared" si="0"/>
        <v>0.04</v>
      </c>
      <c r="D17" s="15" t="str">
        <f t="shared" si="1"/>
        <v/>
      </c>
      <c r="E17" s="15" t="str">
        <f t="shared" si="2"/>
        <v/>
      </c>
      <c r="F17" s="17">
        <f t="shared" si="3"/>
        <v>0.04</v>
      </c>
      <c r="G17" s="2"/>
      <c r="H17" s="2"/>
      <c r="R17" s="29">
        <v>51.632550860719867</v>
      </c>
      <c r="S17" s="28">
        <v>3.3450816196735213E-2</v>
      </c>
      <c r="T17" s="27">
        <v>3.2382954236684407E-2</v>
      </c>
      <c r="V17" s="29">
        <v>59.077887788778867</v>
      </c>
      <c r="W17" s="28">
        <v>0.71646339360071765</v>
      </c>
      <c r="X17" s="27">
        <v>1.8127422498347381E-2</v>
      </c>
    </row>
    <row r="18" spans="2:24" x14ac:dyDescent="0.25">
      <c r="B18" s="14">
        <v>0.5</v>
      </c>
      <c r="C18" s="15">
        <f t="shared" si="0"/>
        <v>0.04</v>
      </c>
      <c r="D18" s="15" t="str">
        <f t="shared" si="1"/>
        <v/>
      </c>
      <c r="E18" s="15" t="str">
        <f t="shared" si="2"/>
        <v/>
      </c>
      <c r="F18" s="17">
        <f t="shared" si="3"/>
        <v>0.04</v>
      </c>
      <c r="G18" s="2"/>
      <c r="H18" s="2"/>
      <c r="R18" s="29">
        <v>59.290669856459331</v>
      </c>
      <c r="S18" s="28">
        <v>3.3828439686241253E-2</v>
      </c>
      <c r="T18" s="27">
        <v>5.8632389956440323E-2</v>
      </c>
      <c r="V18" s="29">
        <v>48.51537558685451</v>
      </c>
      <c r="W18" s="28">
        <v>0.71651308505764677</v>
      </c>
      <c r="X18" s="27">
        <v>6.3362024551599866E-2</v>
      </c>
    </row>
    <row r="19" spans="2:24" x14ac:dyDescent="0.25">
      <c r="B19" s="14">
        <v>0.55000000000000004</v>
      </c>
      <c r="C19" s="15">
        <f t="shared" si="0"/>
        <v>0.04</v>
      </c>
      <c r="D19" s="15" t="str">
        <f t="shared" si="1"/>
        <v/>
      </c>
      <c r="E19" s="15" t="str">
        <f t="shared" si="2"/>
        <v/>
      </c>
      <c r="F19" s="17">
        <f t="shared" si="3"/>
        <v>0.04</v>
      </c>
      <c r="G19" s="2"/>
      <c r="H19" s="2"/>
      <c r="R19" s="29">
        <v>64.173904761904751</v>
      </c>
      <c r="S19" s="28">
        <v>3.4241865190770278E-2</v>
      </c>
      <c r="T19" s="27">
        <v>0.10271130049702273</v>
      </c>
      <c r="V19" s="29">
        <v>55.692059748427681</v>
      </c>
      <c r="W19" s="28">
        <v>0.72220256065793209</v>
      </c>
      <c r="X19" s="27">
        <v>2.4772561758007652E-2</v>
      </c>
    </row>
    <row r="20" spans="2:24" x14ac:dyDescent="0.25">
      <c r="B20" s="14">
        <v>0.6</v>
      </c>
      <c r="C20" s="15" t="str">
        <f t="shared" si="0"/>
        <v/>
      </c>
      <c r="D20" s="15">
        <f t="shared" si="1"/>
        <v>0.04</v>
      </c>
      <c r="E20" s="15" t="str">
        <f t="shared" si="2"/>
        <v/>
      </c>
      <c r="F20" s="17">
        <f t="shared" si="3"/>
        <v>0.04</v>
      </c>
      <c r="G20" s="2"/>
      <c r="H20" s="2"/>
      <c r="R20" s="29">
        <v>67.751353276353271</v>
      </c>
      <c r="S20" s="28">
        <v>3.4767525815037441E-2</v>
      </c>
      <c r="T20" s="27">
        <v>1.5495129801914975E-2</v>
      </c>
      <c r="V20" s="29">
        <v>67.751353276353271</v>
      </c>
      <c r="W20" s="28">
        <v>0.72536299201761611</v>
      </c>
      <c r="X20" s="27">
        <v>3.3004137161781182E-2</v>
      </c>
    </row>
    <row r="21" spans="2:24" x14ac:dyDescent="0.25">
      <c r="B21" s="14">
        <v>0.65</v>
      </c>
      <c r="C21" s="15" t="str">
        <f t="shared" si="0"/>
        <v/>
      </c>
      <c r="D21" s="15">
        <f t="shared" si="1"/>
        <v>8.0000000000000016E-2</v>
      </c>
      <c r="E21" s="15" t="str">
        <f t="shared" si="2"/>
        <v/>
      </c>
      <c r="F21" s="17">
        <f t="shared" si="3"/>
        <v>8.0000000000000016E-2</v>
      </c>
      <c r="G21" s="2"/>
      <c r="H21" s="2"/>
      <c r="R21" s="29">
        <v>62.149292452830181</v>
      </c>
      <c r="S21" s="28">
        <v>3.5050382541171793E-2</v>
      </c>
      <c r="T21" s="27">
        <v>4.3931535718020526E-2</v>
      </c>
      <c r="V21" s="29">
        <v>62.400681818181816</v>
      </c>
      <c r="W21" s="28">
        <v>0.72873984382507717</v>
      </c>
      <c r="X21" s="27">
        <v>3.8568980015871175E-2</v>
      </c>
    </row>
    <row r="22" spans="2:24" x14ac:dyDescent="0.25">
      <c r="B22" s="14">
        <v>0.7</v>
      </c>
      <c r="C22" s="15" t="str">
        <f t="shared" si="0"/>
        <v/>
      </c>
      <c r="D22" s="15">
        <f t="shared" si="1"/>
        <v>0.11999999999999997</v>
      </c>
      <c r="E22" s="15" t="str">
        <f t="shared" si="2"/>
        <v/>
      </c>
      <c r="F22" s="17">
        <f t="shared" si="3"/>
        <v>0.11999999999999997</v>
      </c>
      <c r="G22" s="2"/>
      <c r="H22" s="2"/>
      <c r="R22" s="29">
        <v>51.921287519747246</v>
      </c>
      <c r="S22" s="28">
        <v>3.5499258002967993E-2</v>
      </c>
      <c r="T22" s="27">
        <v>2.4777357475399102E-2</v>
      </c>
      <c r="V22" s="29">
        <v>58.93384351256573</v>
      </c>
      <c r="W22" s="28">
        <v>0.72887188254769508</v>
      </c>
      <c r="X22" s="27">
        <v>2.0274630152870628E-2</v>
      </c>
    </row>
    <row r="23" spans="2:24" x14ac:dyDescent="0.25">
      <c r="B23" s="14">
        <v>0.75</v>
      </c>
      <c r="C23" s="15" t="str">
        <f t="shared" si="0"/>
        <v/>
      </c>
      <c r="D23" s="15">
        <f t="shared" si="1"/>
        <v>0.15999999999999998</v>
      </c>
      <c r="E23" s="15" t="str">
        <f t="shared" si="2"/>
        <v/>
      </c>
      <c r="F23" s="17">
        <f t="shared" si="3"/>
        <v>0.15999999999999998</v>
      </c>
      <c r="G23" s="2"/>
      <c r="H23" s="2"/>
      <c r="R23" s="29">
        <v>59.290669856459331</v>
      </c>
      <c r="S23" s="28">
        <v>3.6956325429202783E-2</v>
      </c>
      <c r="T23" s="27">
        <v>6.4393838329438235E-2</v>
      </c>
      <c r="V23" s="29">
        <v>62.400681818181816</v>
      </c>
      <c r="W23" s="28">
        <v>0.72999440271303839</v>
      </c>
      <c r="X23" s="27">
        <v>1.890708599435895E-2</v>
      </c>
    </row>
    <row r="24" spans="2:24" x14ac:dyDescent="0.25">
      <c r="B24" s="14">
        <v>0.8</v>
      </c>
      <c r="C24" s="15" t="str">
        <f t="shared" si="0"/>
        <v/>
      </c>
      <c r="D24" s="15">
        <f t="shared" si="1"/>
        <v>0.2</v>
      </c>
      <c r="E24" s="15" t="str">
        <f t="shared" si="2"/>
        <v/>
      </c>
      <c r="F24" s="17">
        <f t="shared" si="3"/>
        <v>0.2</v>
      </c>
      <c r="G24" s="2"/>
      <c r="H24" s="2"/>
      <c r="R24" s="29">
        <v>56.942592592592618</v>
      </c>
      <c r="S24" s="28">
        <v>3.7220499602308756E-2</v>
      </c>
      <c r="T24" s="27">
        <v>1.6873005003569454E-2</v>
      </c>
      <c r="V24" s="29">
        <v>64.173904761904751</v>
      </c>
      <c r="W24" s="28">
        <v>0.73153732872326727</v>
      </c>
      <c r="X24" s="27">
        <v>3.2319479792663773E-2</v>
      </c>
    </row>
    <row r="25" spans="2:24" x14ac:dyDescent="0.25">
      <c r="B25" s="14">
        <v>0.85</v>
      </c>
      <c r="C25" s="15" t="str">
        <f t="shared" si="0"/>
        <v/>
      </c>
      <c r="D25" s="15" t="str">
        <f t="shared" si="1"/>
        <v/>
      </c>
      <c r="E25" s="15">
        <f t="shared" si="2"/>
        <v>0.21666666666666665</v>
      </c>
      <c r="F25" s="17">
        <f t="shared" si="3"/>
        <v>0.21666666666666665</v>
      </c>
      <c r="G25" s="2"/>
      <c r="H25" s="2"/>
      <c r="R25" s="29">
        <v>58.93384351256573</v>
      </c>
      <c r="S25" s="28">
        <v>3.8468998457719748E-2</v>
      </c>
      <c r="T25" s="27">
        <v>1.8337115918714397E-2</v>
      </c>
      <c r="V25" s="29">
        <v>51.632550860719867</v>
      </c>
      <c r="W25" s="28">
        <v>0.73207047043463613</v>
      </c>
      <c r="X25" s="27">
        <v>8.7221839888994679E-2</v>
      </c>
    </row>
    <row r="26" spans="2:24" x14ac:dyDescent="0.25">
      <c r="B26" s="14">
        <v>0.9</v>
      </c>
      <c r="C26" s="15" t="str">
        <f t="shared" si="0"/>
        <v/>
      </c>
      <c r="D26" s="15" t="str">
        <f t="shared" si="1"/>
        <v/>
      </c>
      <c r="E26" s="15">
        <f t="shared" si="2"/>
        <v>0.23333333333333334</v>
      </c>
      <c r="F26" s="17">
        <f t="shared" si="3"/>
        <v>0.23333333333333334</v>
      </c>
      <c r="G26" s="2"/>
      <c r="H26" s="2"/>
      <c r="R26" s="29">
        <v>65.071507936507928</v>
      </c>
      <c r="S26" s="28">
        <v>3.8577220691117235E-2</v>
      </c>
      <c r="T26" s="27">
        <v>2.0963032247466384E-2</v>
      </c>
      <c r="V26" s="29">
        <v>62.400681818181816</v>
      </c>
      <c r="W26" s="28">
        <v>0.73282767984643138</v>
      </c>
      <c r="X26" s="27">
        <v>2.0476113447643402E-2</v>
      </c>
    </row>
    <row r="27" spans="2:24" x14ac:dyDescent="0.25">
      <c r="B27" s="14">
        <v>0.95</v>
      </c>
      <c r="C27" s="15" t="str">
        <f t="shared" si="0"/>
        <v/>
      </c>
      <c r="D27" s="15" t="str">
        <f t="shared" si="1"/>
        <v/>
      </c>
      <c r="E27" s="15">
        <f t="shared" si="2"/>
        <v>0.24999999999999997</v>
      </c>
      <c r="F27" s="17">
        <f t="shared" si="3"/>
        <v>0.24999999999999997</v>
      </c>
      <c r="G27" s="2"/>
      <c r="H27" s="2"/>
      <c r="R27" s="29">
        <v>71.99595352564107</v>
      </c>
      <c r="S27" s="28">
        <v>3.9397333401993709E-2</v>
      </c>
      <c r="T27" s="27">
        <v>0.30913315506633082</v>
      </c>
      <c r="V27" s="29">
        <v>62.400681818181816</v>
      </c>
      <c r="W27" s="28">
        <v>0.73468539632386098</v>
      </c>
      <c r="X27" s="27">
        <v>2.738044915935979E-2</v>
      </c>
    </row>
    <row r="28" spans="2:24" x14ac:dyDescent="0.25">
      <c r="B28" s="14">
        <v>1</v>
      </c>
      <c r="C28" s="15" t="str">
        <f t="shared" si="0"/>
        <v/>
      </c>
      <c r="D28" s="15" t="str">
        <f t="shared" si="1"/>
        <v/>
      </c>
      <c r="E28" s="15">
        <f t="shared" si="2"/>
        <v>0.26666666666666666</v>
      </c>
      <c r="F28" s="17">
        <f t="shared" si="3"/>
        <v>0.26666666666666666</v>
      </c>
      <c r="G28" s="2"/>
      <c r="H28" s="2"/>
      <c r="R28" s="29">
        <v>61.154601226993904</v>
      </c>
      <c r="S28" s="28">
        <v>3.9500777408917095E-2</v>
      </c>
      <c r="T28" s="27">
        <v>7.0602581472342232E-2</v>
      </c>
      <c r="V28" s="29">
        <v>62.400681818181816</v>
      </c>
      <c r="W28" s="28">
        <v>0.73479254941436178</v>
      </c>
      <c r="X28" s="27">
        <v>2.1430285941388301E-2</v>
      </c>
    </row>
    <row r="29" spans="2:24" x14ac:dyDescent="0.25">
      <c r="B29" s="14">
        <v>1.05</v>
      </c>
      <c r="C29" s="15" t="str">
        <f t="shared" si="0"/>
        <v/>
      </c>
      <c r="D29" s="15" t="str">
        <f t="shared" si="1"/>
        <v/>
      </c>
      <c r="E29" s="15">
        <f t="shared" si="2"/>
        <v>0.28333333333333333</v>
      </c>
      <c r="F29" s="17">
        <f t="shared" si="3"/>
        <v>0.28333333333333333</v>
      </c>
      <c r="G29" s="2"/>
      <c r="H29" s="2"/>
      <c r="R29" s="29">
        <v>56.942592592592618</v>
      </c>
      <c r="S29" s="28">
        <v>3.9755235130957682E-2</v>
      </c>
      <c r="T29" s="27">
        <v>1.6834760652762001E-2</v>
      </c>
      <c r="V29" s="29">
        <v>51.921287519747246</v>
      </c>
      <c r="W29" s="28">
        <v>0.73662410356014685</v>
      </c>
      <c r="X29" s="27">
        <v>2.8743095457487978E-2</v>
      </c>
    </row>
    <row r="30" spans="2:24" x14ac:dyDescent="0.25">
      <c r="B30" s="14">
        <v>1.1000000000000001</v>
      </c>
      <c r="C30" s="15" t="str">
        <f t="shared" si="0"/>
        <v/>
      </c>
      <c r="D30" s="15" t="str">
        <f t="shared" si="1"/>
        <v/>
      </c>
      <c r="E30" s="15">
        <f t="shared" si="2"/>
        <v>0.30000000000000004</v>
      </c>
      <c r="F30" s="17">
        <f t="shared" si="3"/>
        <v>0.30000000000000004</v>
      </c>
      <c r="G30" s="2"/>
      <c r="H30" s="2"/>
      <c r="R30" s="29">
        <v>57.46417851500788</v>
      </c>
      <c r="S30" s="28">
        <v>3.9763090947636213E-2</v>
      </c>
      <c r="T30" s="27">
        <v>8.1499939770841329E-2</v>
      </c>
      <c r="V30" s="29">
        <v>62.149292452830181</v>
      </c>
      <c r="W30" s="28">
        <v>0.73798864135944897</v>
      </c>
      <c r="X30" s="27">
        <v>0.14337135220750277</v>
      </c>
    </row>
    <row r="31" spans="2:24" x14ac:dyDescent="0.25">
      <c r="B31" s="14">
        <v>1.1499999999999999</v>
      </c>
      <c r="C31" s="15" t="str">
        <f t="shared" si="0"/>
        <v/>
      </c>
      <c r="D31" s="15" t="str">
        <f t="shared" si="1"/>
        <v/>
      </c>
      <c r="E31" s="15">
        <f t="shared" si="2"/>
        <v>0.31666666666666665</v>
      </c>
      <c r="F31" s="17">
        <f t="shared" si="3"/>
        <v>0.31666666666666665</v>
      </c>
      <c r="G31" s="2"/>
      <c r="H31" s="2"/>
      <c r="R31" s="29">
        <v>59.077887788778867</v>
      </c>
      <c r="S31" s="28">
        <v>4.000528920624126E-2</v>
      </c>
      <c r="T31" s="27">
        <v>1.5741260377117809E-2</v>
      </c>
      <c r="V31" s="29">
        <v>62.149292452830181</v>
      </c>
      <c r="W31" s="28">
        <v>0.73857489102487306</v>
      </c>
      <c r="X31" s="27">
        <v>3.1017154340251103E-2</v>
      </c>
    </row>
    <row r="32" spans="2:24" x14ac:dyDescent="0.25">
      <c r="B32" s="14">
        <v>1.2</v>
      </c>
      <c r="C32" s="15" t="str">
        <f t="shared" si="0"/>
        <v/>
      </c>
      <c r="D32" s="15" t="str">
        <f t="shared" si="1"/>
        <v/>
      </c>
      <c r="E32" s="15">
        <f t="shared" si="2"/>
        <v>0.33333333333333331</v>
      </c>
      <c r="F32" s="17">
        <f t="shared" si="3"/>
        <v>0.33333333333333331</v>
      </c>
      <c r="G32" s="2"/>
      <c r="H32" s="2"/>
      <c r="R32" s="29">
        <v>71.99595352564107</v>
      </c>
      <c r="S32" s="28">
        <v>4.1407835581245986E-2</v>
      </c>
      <c r="T32" s="27">
        <v>0.29022006900497765</v>
      </c>
      <c r="V32" s="29">
        <v>59.077887788778867</v>
      </c>
      <c r="W32" s="28">
        <v>0.73907332869291598</v>
      </c>
      <c r="X32" s="27">
        <v>3.2578623294543092E-2</v>
      </c>
    </row>
    <row r="33" spans="2:24" x14ac:dyDescent="0.25">
      <c r="B33" s="14">
        <v>1.25</v>
      </c>
      <c r="C33" s="15" t="str">
        <f t="shared" si="0"/>
        <v/>
      </c>
      <c r="D33" s="15" t="str">
        <f t="shared" si="1"/>
        <v/>
      </c>
      <c r="E33" s="15">
        <f t="shared" si="2"/>
        <v>0.35</v>
      </c>
      <c r="F33" s="17">
        <f t="shared" si="3"/>
        <v>0.35</v>
      </c>
      <c r="G33" s="2"/>
      <c r="H33" s="2"/>
      <c r="R33" s="29">
        <v>62.149292452830181</v>
      </c>
      <c r="S33" s="28">
        <v>4.1593523814707781E-2</v>
      </c>
      <c r="T33" s="27">
        <v>3.3938057875510144E-2</v>
      </c>
      <c r="V33" s="29">
        <v>65.071507936507928</v>
      </c>
      <c r="W33" s="28">
        <v>0.74098719676549873</v>
      </c>
      <c r="X33" s="27">
        <v>0.24411744001233829</v>
      </c>
    </row>
    <row r="34" spans="2:24" x14ac:dyDescent="0.25">
      <c r="B34" s="14">
        <v>1.3</v>
      </c>
      <c r="C34" s="15" t="str">
        <f t="shared" si="0"/>
        <v/>
      </c>
      <c r="D34" s="15" t="str">
        <f t="shared" si="1"/>
        <v/>
      </c>
      <c r="E34" s="15">
        <f t="shared" si="2"/>
        <v>0.3666666666666667</v>
      </c>
      <c r="F34" s="17">
        <f t="shared" si="3"/>
        <v>0.3666666666666667</v>
      </c>
      <c r="G34" s="2"/>
      <c r="H34" s="2"/>
      <c r="R34" s="29">
        <v>58.93384351256573</v>
      </c>
      <c r="S34" s="28">
        <v>4.1894726072944928E-2</v>
      </c>
      <c r="T34" s="27">
        <v>1.8797448114633523E-2</v>
      </c>
      <c r="V34" s="29">
        <v>59.980829420970281</v>
      </c>
      <c r="W34" s="28">
        <v>0.74244009794839028</v>
      </c>
      <c r="X34" s="27">
        <v>2.6240975447952664E-2</v>
      </c>
    </row>
    <row r="35" spans="2:24" x14ac:dyDescent="0.25">
      <c r="B35" s="14">
        <v>1.35</v>
      </c>
      <c r="C35" s="15" t="str">
        <f t="shared" si="0"/>
        <v/>
      </c>
      <c r="D35" s="15" t="str">
        <f t="shared" si="1"/>
        <v/>
      </c>
      <c r="E35" s="15">
        <f t="shared" si="2"/>
        <v>0.38333333333333336</v>
      </c>
      <c r="F35" s="17">
        <f t="shared" si="3"/>
        <v>0.38333333333333336</v>
      </c>
      <c r="G35" s="2"/>
      <c r="H35" s="2"/>
      <c r="R35" s="29">
        <v>42.553716744913906</v>
      </c>
      <c r="S35" s="28">
        <v>4.2291307727864852E-2</v>
      </c>
      <c r="T35" s="27">
        <v>3.3928877124701634E-2</v>
      </c>
      <c r="V35" s="29">
        <v>58.93384351256573</v>
      </c>
      <c r="W35" s="28">
        <v>0.74342690755765128</v>
      </c>
      <c r="X35" s="27">
        <v>0.55963265111634575</v>
      </c>
    </row>
    <row r="36" spans="2:24" x14ac:dyDescent="0.25">
      <c r="B36" s="14">
        <v>1.4</v>
      </c>
      <c r="C36" s="15" t="str">
        <f t="shared" si="0"/>
        <v/>
      </c>
      <c r="D36" s="15" t="str">
        <f t="shared" si="1"/>
        <v/>
      </c>
      <c r="E36" s="15">
        <f t="shared" si="2"/>
        <v>0.39999999999999997</v>
      </c>
      <c r="F36" s="17">
        <f t="shared" si="3"/>
        <v>0.39999999999999997</v>
      </c>
      <c r="G36" s="2"/>
      <c r="H36" s="2"/>
      <c r="R36" s="29">
        <v>48.51537558685451</v>
      </c>
      <c r="S36" s="28">
        <v>4.3337590869430141E-2</v>
      </c>
      <c r="T36" s="27">
        <v>1.9766655865988258E-2</v>
      </c>
      <c r="V36" s="29">
        <v>62.400681818181816</v>
      </c>
      <c r="W36" s="28">
        <v>0.74431452607746984</v>
      </c>
      <c r="X36" s="27">
        <v>2.729174878761223E-2</v>
      </c>
    </row>
    <row r="37" spans="2:24" x14ac:dyDescent="0.25">
      <c r="B37" s="14">
        <v>1.45</v>
      </c>
      <c r="C37" s="15" t="str">
        <f t="shared" si="0"/>
        <v/>
      </c>
      <c r="D37" s="15" t="str">
        <f t="shared" si="1"/>
        <v/>
      </c>
      <c r="E37" s="15">
        <f t="shared" si="2"/>
        <v>0.41666666666666663</v>
      </c>
      <c r="F37" s="17">
        <f t="shared" si="3"/>
        <v>0.41666666666666663</v>
      </c>
      <c r="G37" s="2"/>
      <c r="H37" s="2"/>
      <c r="R37" s="29">
        <v>55.692059748427681</v>
      </c>
      <c r="S37" s="28">
        <v>4.3422687266018362E-2</v>
      </c>
      <c r="T37" s="27">
        <v>2.6899427340543312E-2</v>
      </c>
      <c r="V37" s="29">
        <v>42.553716744913906</v>
      </c>
      <c r="W37" s="28">
        <v>0.74718441665224156</v>
      </c>
      <c r="X37" s="27">
        <v>3.5334195703217823E-2</v>
      </c>
    </row>
    <row r="38" spans="2:24" x14ac:dyDescent="0.25">
      <c r="B38" s="14">
        <v>1.5</v>
      </c>
      <c r="C38" s="15" t="str">
        <f t="shared" si="0"/>
        <v/>
      </c>
      <c r="D38" s="15" t="str">
        <f t="shared" si="1"/>
        <v/>
      </c>
      <c r="E38" s="15">
        <f t="shared" si="2"/>
        <v>0.43333333333333335</v>
      </c>
      <c r="F38" s="17">
        <f t="shared" si="3"/>
        <v>0.43333333333333335</v>
      </c>
      <c r="G38" s="2"/>
      <c r="H38" s="2"/>
      <c r="R38" s="29">
        <v>64.84398584905658</v>
      </c>
      <c r="S38" s="28">
        <v>4.3478104560281665E-2</v>
      </c>
      <c r="T38" s="27">
        <v>0.11935725807814435</v>
      </c>
      <c r="V38" s="29">
        <v>51.921287519747246</v>
      </c>
      <c r="W38" s="28">
        <v>0.75527031930333821</v>
      </c>
      <c r="X38" s="27">
        <v>0.3494371560595631</v>
      </c>
    </row>
    <row r="39" spans="2:24" x14ac:dyDescent="0.25">
      <c r="B39" s="14">
        <v>1.55</v>
      </c>
      <c r="C39" s="15" t="str">
        <f t="shared" si="0"/>
        <v/>
      </c>
      <c r="D39" s="15" t="str">
        <f t="shared" si="1"/>
        <v/>
      </c>
      <c r="E39" s="15">
        <f t="shared" si="2"/>
        <v>0.45</v>
      </c>
      <c r="F39" s="17">
        <f t="shared" si="3"/>
        <v>0.45</v>
      </c>
      <c r="G39" s="2"/>
      <c r="H39" s="2"/>
      <c r="R39" s="29">
        <v>67.751353276353271</v>
      </c>
      <c r="S39" s="28">
        <v>4.3599843129230792E-2</v>
      </c>
      <c r="T39" s="27">
        <v>1.6913291281522493E-2</v>
      </c>
      <c r="V39" s="29">
        <v>42.553716744913906</v>
      </c>
      <c r="W39" s="28">
        <v>0.76096698113207539</v>
      </c>
      <c r="X39" s="27">
        <v>3.1756295672639816E-2</v>
      </c>
    </row>
    <row r="40" spans="2:24" x14ac:dyDescent="0.25">
      <c r="B40" s="14">
        <v>1.6</v>
      </c>
      <c r="C40" s="15" t="str">
        <f t="shared" si="0"/>
        <v/>
      </c>
      <c r="D40" s="15" t="str">
        <f t="shared" si="1"/>
        <v/>
      </c>
      <c r="E40" s="15">
        <f t="shared" si="2"/>
        <v>0.46666666666666667</v>
      </c>
      <c r="F40" s="17">
        <f t="shared" si="3"/>
        <v>0.46666666666666667</v>
      </c>
      <c r="G40" s="2"/>
      <c r="H40" s="2"/>
      <c r="R40" s="29">
        <v>51.921287519747246</v>
      </c>
      <c r="S40" s="28">
        <v>4.4104824137496321E-2</v>
      </c>
      <c r="T40" s="27">
        <v>1.8428084928437755E-2</v>
      </c>
      <c r="V40" s="29">
        <v>49.226236263736283</v>
      </c>
      <c r="W40" s="28">
        <v>0.76220912639661642</v>
      </c>
      <c r="X40" s="27">
        <v>2.6980439202464613E-2</v>
      </c>
    </row>
    <row r="41" spans="2:24" x14ac:dyDescent="0.25">
      <c r="B41" s="14">
        <v>1.65</v>
      </c>
      <c r="C41" s="15" t="str">
        <f t="shared" si="0"/>
        <v/>
      </c>
      <c r="D41" s="15" t="str">
        <f t="shared" si="1"/>
        <v/>
      </c>
      <c r="E41" s="15">
        <f t="shared" si="2"/>
        <v>0.48333333333333328</v>
      </c>
      <c r="F41" s="17">
        <f t="shared" si="3"/>
        <v>0.48333333333333328</v>
      </c>
      <c r="G41" s="2"/>
      <c r="H41" s="2"/>
      <c r="R41" s="29">
        <v>59.077887788778867</v>
      </c>
      <c r="S41" s="28">
        <v>4.4106313045449409E-2</v>
      </c>
      <c r="T41" s="27">
        <v>1.5466279076575501E-2</v>
      </c>
      <c r="V41" s="29">
        <v>59.290669856459331</v>
      </c>
      <c r="W41" s="28">
        <v>0.76240519792822792</v>
      </c>
      <c r="X41" s="27">
        <v>0.45125116562037637</v>
      </c>
    </row>
    <row r="42" spans="2:24" x14ac:dyDescent="0.25">
      <c r="B42" s="14">
        <v>1.7</v>
      </c>
      <c r="C42" s="15" t="str">
        <f t="shared" si="0"/>
        <v/>
      </c>
      <c r="D42" s="15" t="str">
        <f t="shared" si="1"/>
        <v/>
      </c>
      <c r="E42" s="15">
        <f t="shared" si="2"/>
        <v>0.49999999999999994</v>
      </c>
      <c r="F42" s="17">
        <f t="shared" si="3"/>
        <v>0.49999999999999994</v>
      </c>
      <c r="G42" s="2"/>
      <c r="H42" s="2"/>
      <c r="R42" s="29">
        <v>64.173904761904751</v>
      </c>
      <c r="S42" s="28">
        <v>4.424647364513732E-2</v>
      </c>
      <c r="T42" s="27">
        <v>0.10946339799153375</v>
      </c>
      <c r="V42" s="29">
        <v>58.93384351256573</v>
      </c>
      <c r="W42" s="28">
        <v>0.76558176673783651</v>
      </c>
      <c r="X42" s="27">
        <v>3.5712164192926124E-2</v>
      </c>
    </row>
    <row r="43" spans="2:24" x14ac:dyDescent="0.25">
      <c r="B43" s="14">
        <v>1.75</v>
      </c>
      <c r="C43" s="15" t="str">
        <f t="shared" si="0"/>
        <v/>
      </c>
      <c r="D43" s="15" t="str">
        <f t="shared" si="1"/>
        <v/>
      </c>
      <c r="E43" s="15">
        <f t="shared" si="2"/>
        <v>0.51666666666666661</v>
      </c>
      <c r="F43" s="17">
        <f t="shared" si="3"/>
        <v>0.51666666666666661</v>
      </c>
      <c r="G43" s="2"/>
      <c r="H43" s="2"/>
      <c r="R43" s="29">
        <v>57.46417851500788</v>
      </c>
      <c r="S43" s="28">
        <v>4.4475526694305774E-2</v>
      </c>
      <c r="T43" s="27">
        <v>9.0407561698688368E-2</v>
      </c>
      <c r="V43" s="29">
        <v>65.071507936507928</v>
      </c>
      <c r="W43" s="28">
        <v>0.76792426507749334</v>
      </c>
      <c r="X43" s="27">
        <v>0.112558671512292</v>
      </c>
    </row>
    <row r="44" spans="2:24" x14ac:dyDescent="0.25">
      <c r="B44" s="14">
        <v>1.8</v>
      </c>
      <c r="C44" s="15" t="str">
        <f t="shared" si="0"/>
        <v/>
      </c>
      <c r="D44" s="15" t="str">
        <f t="shared" si="1"/>
        <v/>
      </c>
      <c r="E44" s="15">
        <f t="shared" si="2"/>
        <v>0.53333333333333333</v>
      </c>
      <c r="F44" s="17">
        <f t="shared" si="3"/>
        <v>0.53333333333333333</v>
      </c>
      <c r="G44" s="2"/>
      <c r="H44" s="2"/>
      <c r="R44" s="29">
        <v>66.120187793427235</v>
      </c>
      <c r="S44" s="28">
        <v>4.4671682249486498E-2</v>
      </c>
      <c r="T44" s="27">
        <v>2.5668323624646147E-2</v>
      </c>
      <c r="V44" s="29">
        <v>55.692059748427681</v>
      </c>
      <c r="W44" s="28">
        <v>0.77009339864160742</v>
      </c>
      <c r="X44" s="27">
        <v>2.10379478363905E-2</v>
      </c>
    </row>
    <row r="45" spans="2:24" x14ac:dyDescent="0.25">
      <c r="B45" s="14">
        <v>1.85</v>
      </c>
      <c r="C45" s="15" t="str">
        <f t="shared" si="0"/>
        <v/>
      </c>
      <c r="D45" s="15" t="str">
        <f t="shared" si="1"/>
        <v/>
      </c>
      <c r="E45" s="15">
        <f t="shared" si="2"/>
        <v>0.55000000000000004</v>
      </c>
      <c r="F45" s="17">
        <f t="shared" si="3"/>
        <v>0.55000000000000004</v>
      </c>
      <c r="G45" s="2"/>
      <c r="H45" s="2"/>
      <c r="R45" s="29">
        <v>55.692059748427681</v>
      </c>
      <c r="S45" s="28">
        <v>4.4725555572749702E-2</v>
      </c>
      <c r="T45" s="27">
        <v>2.1665884710692914E-2</v>
      </c>
      <c r="V45" s="29">
        <v>64.84398584905658</v>
      </c>
      <c r="W45" s="28">
        <v>0.77020647050043101</v>
      </c>
      <c r="X45" s="27">
        <v>8.6836517652534001E-2</v>
      </c>
    </row>
    <row r="46" spans="2:24" x14ac:dyDescent="0.25">
      <c r="B46" s="14">
        <v>1.9</v>
      </c>
      <c r="C46" s="15" t="str">
        <f t="shared" si="0"/>
        <v/>
      </c>
      <c r="D46" s="15" t="str">
        <f t="shared" si="1"/>
        <v/>
      </c>
      <c r="E46" s="15">
        <f t="shared" si="2"/>
        <v>0.56666666666666665</v>
      </c>
      <c r="F46" s="17">
        <f t="shared" si="3"/>
        <v>0.56666666666666665</v>
      </c>
      <c r="G46" s="2"/>
      <c r="H46" s="2"/>
      <c r="R46" s="29">
        <v>51.921287519747246</v>
      </c>
      <c r="S46" s="28">
        <v>4.4915910136802906E-2</v>
      </c>
      <c r="T46" s="27">
        <v>1.5197469716364344E-2</v>
      </c>
      <c r="V46" s="29">
        <v>51.921287519747246</v>
      </c>
      <c r="W46" s="28">
        <v>0.77104117966271501</v>
      </c>
      <c r="X46" s="27">
        <v>5.1989703888892874E-2</v>
      </c>
    </row>
    <row r="47" spans="2:24" x14ac:dyDescent="0.25">
      <c r="B47" s="14">
        <v>1.95</v>
      </c>
      <c r="C47" s="15" t="str">
        <f t="shared" si="0"/>
        <v/>
      </c>
      <c r="D47" s="15" t="str">
        <f t="shared" si="1"/>
        <v/>
      </c>
      <c r="E47" s="15">
        <f t="shared" si="2"/>
        <v>0.58333333333333326</v>
      </c>
      <c r="F47" s="17">
        <f t="shared" si="3"/>
        <v>0.58333333333333326</v>
      </c>
      <c r="G47" s="2"/>
      <c r="H47" s="2"/>
      <c r="R47" s="29">
        <v>67.751353276353271</v>
      </c>
      <c r="S47" s="28">
        <v>4.4943475369584131E-2</v>
      </c>
      <c r="T47" s="27">
        <v>1.6714122185737531E-2</v>
      </c>
      <c r="V47" s="29">
        <v>59.980829420970281</v>
      </c>
      <c r="W47" s="28">
        <v>0.77451217376072901</v>
      </c>
      <c r="X47" s="27">
        <v>3.0595567773760761E-2</v>
      </c>
    </row>
    <row r="48" spans="2:24" x14ac:dyDescent="0.25">
      <c r="B48" s="14">
        <v>2</v>
      </c>
      <c r="C48" s="15" t="str">
        <f t="shared" si="0"/>
        <v/>
      </c>
      <c r="D48" s="15" t="str">
        <f t="shared" si="1"/>
        <v/>
      </c>
      <c r="E48" s="15">
        <f t="shared" si="2"/>
        <v>0.6</v>
      </c>
      <c r="F48" s="17">
        <f t="shared" si="3"/>
        <v>0.6</v>
      </c>
      <c r="G48" s="2"/>
      <c r="H48" s="2"/>
      <c r="R48" s="29">
        <v>65.071507936507928</v>
      </c>
      <c r="S48" s="28">
        <v>4.4976782787746354E-2</v>
      </c>
      <c r="T48" s="27">
        <v>1.6413828516183369E-2</v>
      </c>
      <c r="V48" s="29">
        <v>59.980829420970281</v>
      </c>
      <c r="W48" s="28">
        <v>0.7811393793226985</v>
      </c>
      <c r="X48" s="27">
        <v>3.8570393360587943E-2</v>
      </c>
    </row>
    <row r="49" spans="3:24" x14ac:dyDescent="0.25">
      <c r="C49" s="2"/>
      <c r="D49" s="2"/>
      <c r="E49" s="2"/>
      <c r="F49" s="2"/>
      <c r="G49" s="2"/>
      <c r="H49" s="2"/>
      <c r="R49" s="29">
        <v>62.400681818181816</v>
      </c>
      <c r="S49" s="28">
        <v>4.5068462151295653E-2</v>
      </c>
      <c r="T49" s="27">
        <v>0.1844669827396539</v>
      </c>
      <c r="V49" s="29">
        <v>67.751353276353271</v>
      </c>
      <c r="W49" s="28">
        <v>0.78376199819695602</v>
      </c>
      <c r="X49" s="27">
        <v>1.8789104853813011E-2</v>
      </c>
    </row>
    <row r="50" spans="3:24" x14ac:dyDescent="0.25">
      <c r="C50" s="2"/>
      <c r="D50" s="2"/>
      <c r="E50" s="2"/>
      <c r="F50" s="2"/>
      <c r="G50" s="2"/>
      <c r="H50" s="2"/>
      <c r="R50" s="29">
        <v>48.51537558685451</v>
      </c>
      <c r="S50" s="28">
        <v>4.5125684238718877E-2</v>
      </c>
      <c r="T50" s="27">
        <v>1.6894348500084349E-2</v>
      </c>
      <c r="V50" s="29">
        <v>51.921287519747246</v>
      </c>
      <c r="W50" s="28">
        <v>0.78622745179348952</v>
      </c>
      <c r="X50" s="27">
        <v>0.1815721349035877</v>
      </c>
    </row>
    <row r="51" spans="3:24" x14ac:dyDescent="0.25">
      <c r="C51" s="2"/>
      <c r="D51" s="2"/>
      <c r="E51" s="2"/>
      <c r="F51" s="2"/>
      <c r="G51" s="2"/>
      <c r="H51" s="2"/>
      <c r="R51" s="29">
        <v>42.553716744913906</v>
      </c>
      <c r="S51" s="28">
        <v>4.6826637693449226E-2</v>
      </c>
      <c r="T51" s="27">
        <v>3.6207747912383056E-2</v>
      </c>
      <c r="V51" s="29">
        <v>62.400681818181816</v>
      </c>
      <c r="W51" s="28">
        <v>0.78855463924409874</v>
      </c>
      <c r="X51" s="27">
        <v>4.6483180428134575E-2</v>
      </c>
    </row>
    <row r="52" spans="3:24" x14ac:dyDescent="0.25">
      <c r="C52" s="2"/>
      <c r="D52" s="2"/>
      <c r="E52" s="2"/>
      <c r="F52" s="2"/>
      <c r="G52" s="2"/>
      <c r="H52" s="2"/>
      <c r="R52" s="29">
        <v>62.149292452830181</v>
      </c>
      <c r="S52" s="28">
        <v>4.6843177189409377E-2</v>
      </c>
      <c r="T52" s="27">
        <v>4.567151054965933E-2</v>
      </c>
      <c r="V52" s="29">
        <v>64.84398584905658</v>
      </c>
      <c r="W52" s="28">
        <v>0.79130700065744974</v>
      </c>
      <c r="X52" s="27">
        <v>0.10001325650203167</v>
      </c>
    </row>
    <row r="53" spans="3:24" x14ac:dyDescent="0.25">
      <c r="C53" s="2"/>
      <c r="D53" s="2"/>
      <c r="E53" s="2"/>
      <c r="F53" s="2"/>
      <c r="G53" s="2"/>
      <c r="H53" s="2"/>
      <c r="R53" s="29">
        <v>65.071507936507928</v>
      </c>
      <c r="S53" s="28">
        <v>4.8647136342718486E-2</v>
      </c>
      <c r="T53" s="27">
        <v>1.7594122546759176E-2</v>
      </c>
      <c r="V53" s="29">
        <v>59.077887788778867</v>
      </c>
      <c r="W53" s="28">
        <v>0.7915892598663713</v>
      </c>
      <c r="X53" s="27">
        <v>0.38909960647806041</v>
      </c>
    </row>
    <row r="54" spans="3:24" x14ac:dyDescent="0.25">
      <c r="C54" s="2"/>
      <c r="D54" s="2"/>
      <c r="E54" s="2"/>
      <c r="F54" s="2"/>
      <c r="G54" s="2"/>
      <c r="H54" s="2"/>
      <c r="R54" s="29">
        <v>61.154601226993904</v>
      </c>
      <c r="S54" s="28">
        <v>4.8758772114132036E-2</v>
      </c>
      <c r="T54" s="27">
        <v>6.1328980100564451E-2</v>
      </c>
      <c r="V54" s="29">
        <v>66.120187793427235</v>
      </c>
      <c r="W54" s="28">
        <v>0.79210309293309888</v>
      </c>
      <c r="X54" s="27">
        <v>3.0567690404111468E-2</v>
      </c>
    </row>
    <row r="55" spans="3:24" x14ac:dyDescent="0.25">
      <c r="C55" s="2"/>
      <c r="D55" s="2"/>
      <c r="E55" s="2"/>
      <c r="F55" s="2"/>
      <c r="G55" s="2"/>
      <c r="H55" s="2"/>
      <c r="R55" s="29">
        <v>51.632550860719867</v>
      </c>
      <c r="S55" s="28">
        <v>4.8878272471319914E-2</v>
      </c>
      <c r="T55" s="27">
        <v>3.2602732483631491E-2</v>
      </c>
      <c r="V55" s="29">
        <v>71.99595352564107</v>
      </c>
      <c r="W55" s="28">
        <v>0.79264519680704659</v>
      </c>
      <c r="X55" s="27">
        <v>9.4740086837137041E-2</v>
      </c>
    </row>
    <row r="56" spans="3:24" x14ac:dyDescent="0.25">
      <c r="C56" s="2"/>
      <c r="D56" s="2"/>
      <c r="E56" s="2"/>
      <c r="F56" s="2"/>
      <c r="G56" s="2"/>
      <c r="H56" s="2"/>
      <c r="R56" s="29">
        <v>51.632550860719867</v>
      </c>
      <c r="S56" s="28">
        <v>4.9453781952056228E-2</v>
      </c>
      <c r="T56" s="27">
        <v>2.7774158872137938E-2</v>
      </c>
      <c r="V56" s="29">
        <v>59.980829420970281</v>
      </c>
      <c r="W56" s="28">
        <v>0.79314827754134132</v>
      </c>
      <c r="X56" s="27">
        <v>4.0119849386500296E-2</v>
      </c>
    </row>
    <row r="57" spans="3:24" x14ac:dyDescent="0.25">
      <c r="C57" s="2"/>
      <c r="D57" s="2"/>
      <c r="E57" s="2"/>
      <c r="F57" s="2"/>
      <c r="G57" s="2"/>
      <c r="H57" s="2"/>
      <c r="R57" s="29">
        <v>64.173904761904751</v>
      </c>
      <c r="S57" s="28">
        <v>4.9549797422327256E-2</v>
      </c>
      <c r="T57" s="27">
        <v>0.11350337302333288</v>
      </c>
      <c r="V57" s="29">
        <v>55.692059748427681</v>
      </c>
      <c r="W57" s="28">
        <v>0.79383330547164344</v>
      </c>
      <c r="X57" s="27">
        <v>0.10515204530927316</v>
      </c>
    </row>
    <row r="58" spans="3:24" x14ac:dyDescent="0.25">
      <c r="C58" s="2"/>
      <c r="D58" s="2"/>
      <c r="E58" s="2"/>
      <c r="F58" s="2"/>
      <c r="G58" s="2"/>
      <c r="H58" s="2"/>
      <c r="R58" s="29">
        <v>59.290669856459331</v>
      </c>
      <c r="S58" s="28">
        <v>5.2516853815328099E-2</v>
      </c>
      <c r="T58" s="27">
        <v>5.8734413465302643E-2</v>
      </c>
      <c r="V58" s="29">
        <v>59.980829420970281</v>
      </c>
      <c r="W58" s="28">
        <v>0.79410029498525103</v>
      </c>
      <c r="X58" s="27">
        <v>4.3075272221929632E-2</v>
      </c>
    </row>
    <row r="59" spans="3:24" x14ac:dyDescent="0.25">
      <c r="C59" s="2"/>
      <c r="D59" s="2"/>
      <c r="E59" s="2"/>
      <c r="F59" s="2"/>
      <c r="G59" s="2"/>
      <c r="H59" s="2"/>
      <c r="R59" s="29">
        <v>58.93384351256573</v>
      </c>
      <c r="S59" s="28">
        <v>5.2870564564257289E-2</v>
      </c>
      <c r="T59" s="27">
        <v>1.7948380128651777E-2</v>
      </c>
      <c r="V59" s="29">
        <v>64.84398584905658</v>
      </c>
      <c r="W59" s="28">
        <v>0.79465599671994314</v>
      </c>
      <c r="X59" s="27">
        <v>7.3535457980969443E-2</v>
      </c>
    </row>
    <row r="60" spans="3:24" x14ac:dyDescent="0.25">
      <c r="C60" s="2"/>
      <c r="D60" s="2"/>
      <c r="E60" s="2"/>
      <c r="F60" s="2"/>
      <c r="G60" s="2"/>
      <c r="H60" s="2"/>
      <c r="R60" s="29">
        <v>61.154601226993904</v>
      </c>
      <c r="S60" s="28">
        <v>5.3782290743320249E-2</v>
      </c>
      <c r="T60" s="27">
        <v>7.909486617541156E-2</v>
      </c>
      <c r="V60" s="29">
        <v>71.99595352564107</v>
      </c>
      <c r="W60" s="28">
        <v>0.79528152429886556</v>
      </c>
      <c r="X60" s="27">
        <v>7.3755733932470785E-2</v>
      </c>
    </row>
    <row r="61" spans="3:24" x14ac:dyDescent="0.25">
      <c r="C61" s="2"/>
      <c r="D61" s="2"/>
      <c r="E61" s="2"/>
      <c r="F61" s="2"/>
      <c r="G61" s="2"/>
      <c r="H61" s="2"/>
      <c r="R61" s="29">
        <v>59.980829420970281</v>
      </c>
      <c r="S61" s="28">
        <v>5.4043009918402683E-2</v>
      </c>
      <c r="T61" s="27">
        <v>6.6827678247639508E-2</v>
      </c>
      <c r="V61" s="29">
        <v>42.553716744913906</v>
      </c>
      <c r="W61" s="28">
        <v>0.79611624524023439</v>
      </c>
      <c r="X61" s="27">
        <v>4.4084780481563252E-2</v>
      </c>
    </row>
    <row r="62" spans="3:24" x14ac:dyDescent="0.25">
      <c r="C62" s="2"/>
      <c r="D62" s="2"/>
      <c r="E62" s="2"/>
      <c r="F62" s="2"/>
      <c r="G62" s="2"/>
      <c r="H62" s="2"/>
      <c r="R62" s="29">
        <v>59.290669856459331</v>
      </c>
      <c r="S62" s="28">
        <v>5.4050508797964809E-2</v>
      </c>
      <c r="T62" s="27">
        <v>4.9500256283758641E-2</v>
      </c>
      <c r="V62" s="29">
        <v>59.980829420970281</v>
      </c>
      <c r="W62" s="28">
        <v>0.7961311905820575</v>
      </c>
      <c r="X62" s="27">
        <v>1.0064228661926118</v>
      </c>
    </row>
    <row r="63" spans="3:24" x14ac:dyDescent="0.25">
      <c r="C63" s="2"/>
      <c r="D63" s="2"/>
      <c r="E63" s="2"/>
      <c r="F63" s="2"/>
      <c r="G63" s="2"/>
      <c r="H63" s="2"/>
      <c r="R63" s="29">
        <v>64.84398584905658</v>
      </c>
      <c r="S63" s="28">
        <v>5.4564889947038529E-2</v>
      </c>
      <c r="T63" s="27">
        <v>0.12870872153031715</v>
      </c>
      <c r="V63" s="29">
        <v>42.553716744913906</v>
      </c>
      <c r="W63" s="28">
        <v>0.7968136896810819</v>
      </c>
      <c r="X63" s="27">
        <v>0.7209149723345164</v>
      </c>
    </row>
    <row r="64" spans="3:24" x14ac:dyDescent="0.25">
      <c r="C64" s="2"/>
      <c r="D64" s="2"/>
      <c r="E64" s="2"/>
      <c r="F64" s="2"/>
      <c r="G64" s="2"/>
      <c r="H64" s="2"/>
      <c r="R64" s="29">
        <v>56.942592592592618</v>
      </c>
      <c r="S64" s="28">
        <v>5.4707095291214536E-2</v>
      </c>
      <c r="T64" s="27">
        <v>1.3425878499124445E-2</v>
      </c>
      <c r="V64" s="29">
        <v>58.93384351256573</v>
      </c>
      <c r="W64" s="28">
        <v>0.79984620302928222</v>
      </c>
      <c r="X64" s="27">
        <v>1.8688485047842075E-2</v>
      </c>
    </row>
    <row r="65" spans="3:24" x14ac:dyDescent="0.25">
      <c r="C65" s="2"/>
      <c r="D65" s="2"/>
      <c r="E65" s="2"/>
      <c r="F65" s="2"/>
      <c r="G65" s="2"/>
      <c r="H65" s="2"/>
      <c r="R65" s="29">
        <v>66.120187793427235</v>
      </c>
      <c r="S65" s="28">
        <v>5.5653099291852318E-2</v>
      </c>
      <c r="T65" s="27">
        <v>3.2731874424170443E-2</v>
      </c>
      <c r="V65" s="29">
        <v>64.84398584905658</v>
      </c>
      <c r="W65" s="28">
        <v>0.80008973271419392</v>
      </c>
      <c r="X65" s="27">
        <v>7.3188266170722382E-2</v>
      </c>
    </row>
    <row r="66" spans="3:24" x14ac:dyDescent="0.25">
      <c r="C66" s="2"/>
      <c r="D66" s="2"/>
      <c r="E66" s="2"/>
      <c r="F66" s="2"/>
      <c r="G66" s="2"/>
      <c r="H66" s="2"/>
      <c r="R66" s="29">
        <v>66.120187793427235</v>
      </c>
      <c r="S66" s="28">
        <v>5.5664649256181115E-2</v>
      </c>
      <c r="T66" s="27">
        <v>2.2253199211342618E-2</v>
      </c>
      <c r="V66" s="29">
        <v>55.692059748427681</v>
      </c>
      <c r="W66" s="28">
        <v>0.80013508941399136</v>
      </c>
      <c r="X66" s="27">
        <v>4.0690161548383549E-2</v>
      </c>
    </row>
    <row r="67" spans="3:24" x14ac:dyDescent="0.25">
      <c r="C67" s="2"/>
      <c r="D67" s="2"/>
      <c r="E67" s="2"/>
      <c r="F67" s="2"/>
      <c r="G67" s="2"/>
      <c r="H67" s="2"/>
      <c r="R67" s="29">
        <v>62.400681818181816</v>
      </c>
      <c r="S67" s="28">
        <v>5.5806650608982974E-2</v>
      </c>
      <c r="T67" s="27">
        <v>0.12827218702421228</v>
      </c>
      <c r="V67" s="29">
        <v>61.154601226993904</v>
      </c>
      <c r="W67" s="28">
        <v>0.80266817290031722</v>
      </c>
      <c r="X67" s="27">
        <v>5.9099843719927297E-2</v>
      </c>
    </row>
    <row r="68" spans="3:24" x14ac:dyDescent="0.25">
      <c r="C68" s="2"/>
      <c r="D68" s="2"/>
      <c r="E68" s="2"/>
      <c r="F68" s="2"/>
      <c r="G68" s="2"/>
      <c r="H68" s="2"/>
      <c r="R68" s="29">
        <v>64.84398584905658</v>
      </c>
      <c r="S68" s="28">
        <v>5.7201763167511625E-2</v>
      </c>
      <c r="T68" s="27">
        <v>0.12239411316699547</v>
      </c>
      <c r="V68" s="29">
        <v>59.980829420970281</v>
      </c>
      <c r="W68" s="28">
        <v>0.80288446767702071</v>
      </c>
      <c r="X68" s="27">
        <v>3.2905844445593829E-2</v>
      </c>
    </row>
    <row r="69" spans="3:24" x14ac:dyDescent="0.25">
      <c r="C69" s="2"/>
      <c r="D69" s="2"/>
      <c r="E69" s="2"/>
      <c r="F69" s="2"/>
      <c r="G69" s="2"/>
      <c r="H69" s="2"/>
      <c r="R69" s="29">
        <v>57.46417851500788</v>
      </c>
      <c r="S69" s="28">
        <v>5.9576949052382762E-2</v>
      </c>
      <c r="T69" s="27">
        <v>8.8158068491430777E-2</v>
      </c>
      <c r="V69" s="29">
        <v>48.51537558685451</v>
      </c>
      <c r="W69" s="28">
        <v>0.8056270410649915</v>
      </c>
      <c r="X69" s="27">
        <v>0.86310966155355251</v>
      </c>
    </row>
    <row r="70" spans="3:24" x14ac:dyDescent="0.25">
      <c r="C70" s="2"/>
      <c r="D70" s="2"/>
      <c r="E70" s="2"/>
      <c r="F70" s="2"/>
      <c r="G70" s="2"/>
      <c r="H70" s="2"/>
      <c r="R70" s="29">
        <v>71.99595352564107</v>
      </c>
      <c r="S70" s="28">
        <v>6.1398404262197538E-2</v>
      </c>
      <c r="T70" s="27">
        <v>0.18755175000622593</v>
      </c>
      <c r="V70" s="29">
        <v>59.290669856459331</v>
      </c>
      <c r="W70" s="28">
        <v>0.8077086638003006</v>
      </c>
      <c r="X70" s="27">
        <v>8.9071592308919201E-2</v>
      </c>
    </row>
    <row r="71" spans="3:24" x14ac:dyDescent="0.25">
      <c r="C71" s="2"/>
      <c r="D71" s="2"/>
      <c r="E71" s="2"/>
      <c r="F71" s="2"/>
      <c r="G71" s="2"/>
      <c r="H71" s="2"/>
      <c r="R71" s="29">
        <v>59.980829420970281</v>
      </c>
      <c r="S71" s="28">
        <v>6.1802936090048118E-2</v>
      </c>
      <c r="T71" s="27">
        <v>4.8794563327163309E-2</v>
      </c>
      <c r="V71" s="29">
        <v>66.120187793427235</v>
      </c>
      <c r="W71" s="28">
        <v>0.80963101801346671</v>
      </c>
      <c r="X71" s="27">
        <v>2.2320481895775769E-2</v>
      </c>
    </row>
    <row r="72" spans="3:24" x14ac:dyDescent="0.25">
      <c r="C72" s="2"/>
      <c r="D72" s="2"/>
      <c r="E72" s="2"/>
      <c r="F72" s="2"/>
      <c r="G72" s="2"/>
      <c r="H72" s="2"/>
      <c r="R72" s="29">
        <v>56.942592592592618</v>
      </c>
      <c r="S72" s="28">
        <v>6.1836070046208627E-2</v>
      </c>
      <c r="T72" s="27">
        <v>1.9497545301060182E-2</v>
      </c>
      <c r="V72" s="29">
        <v>58.93384351256573</v>
      </c>
      <c r="W72" s="28">
        <v>0.81343798059076222</v>
      </c>
      <c r="X72" s="27">
        <v>2.0405669619906659E-2</v>
      </c>
    </row>
    <row r="73" spans="3:24" x14ac:dyDescent="0.25">
      <c r="C73" s="2"/>
      <c r="D73" s="2"/>
      <c r="E73" s="2"/>
      <c r="F73" s="2"/>
      <c r="G73" s="2"/>
      <c r="H73" s="2"/>
      <c r="R73" s="29">
        <v>55.692059748427681</v>
      </c>
      <c r="S73" s="28">
        <v>6.2238850288021855E-2</v>
      </c>
      <c r="T73" s="27">
        <v>2.8405267917218931E-2</v>
      </c>
      <c r="V73" s="29">
        <v>62.149292452830181</v>
      </c>
      <c r="W73" s="28">
        <v>0.81344643136903771</v>
      </c>
      <c r="X73" s="27">
        <v>7.345454427651861E-2</v>
      </c>
    </row>
    <row r="74" spans="3:24" x14ac:dyDescent="0.25">
      <c r="C74" s="2"/>
      <c r="D74" s="2"/>
      <c r="E74" s="2"/>
      <c r="F74" s="2"/>
      <c r="G74" s="2"/>
      <c r="H74" s="2"/>
      <c r="R74" s="29">
        <v>49.226236263736283</v>
      </c>
      <c r="S74" s="28">
        <v>6.4153162846386697E-2</v>
      </c>
      <c r="T74" s="27">
        <v>2.1158950389464647E-2</v>
      </c>
      <c r="V74" s="29">
        <v>48.51537558685451</v>
      </c>
      <c r="W74" s="28">
        <v>0.81352493073964205</v>
      </c>
      <c r="X74" s="27">
        <v>0.59752461282183467</v>
      </c>
    </row>
    <row r="75" spans="3:24" x14ac:dyDescent="0.25">
      <c r="C75" s="2"/>
      <c r="D75" s="2"/>
      <c r="E75" s="2"/>
      <c r="F75" s="2"/>
      <c r="G75" s="2"/>
      <c r="H75" s="2"/>
      <c r="R75" s="29">
        <v>57.46417851500788</v>
      </c>
      <c r="S75" s="28">
        <v>6.4783471613881399E-2</v>
      </c>
      <c r="T75" s="27">
        <v>5.7004626133902711E-2</v>
      </c>
      <c r="V75" s="29">
        <v>64.84398584905658</v>
      </c>
      <c r="W75" s="28">
        <v>0.81705128158514428</v>
      </c>
      <c r="X75" s="27">
        <v>8.288733365914798E-2</v>
      </c>
    </row>
    <row r="76" spans="3:24" x14ac:dyDescent="0.25">
      <c r="C76" s="2"/>
      <c r="D76" s="2"/>
      <c r="E76" s="2"/>
      <c r="F76" s="2"/>
      <c r="G76" s="2"/>
      <c r="H76" s="2"/>
      <c r="R76" s="29">
        <v>59.077887788778867</v>
      </c>
      <c r="S76" s="28">
        <v>6.545203823340516E-2</v>
      </c>
      <c r="T76" s="27">
        <v>1.7338148277062312E-2</v>
      </c>
      <c r="V76" s="29">
        <v>62.400681818181816</v>
      </c>
      <c r="W76" s="28">
        <v>0.81852862223384881</v>
      </c>
      <c r="X76" s="27">
        <v>3.0417370785446218E-2</v>
      </c>
    </row>
    <row r="77" spans="3:24" x14ac:dyDescent="0.25">
      <c r="C77" s="2"/>
      <c r="D77" s="2"/>
      <c r="E77" s="2"/>
      <c r="F77" s="2"/>
      <c r="G77" s="2"/>
      <c r="H77" s="2"/>
      <c r="R77" s="29">
        <v>49.226236263736283</v>
      </c>
      <c r="S77" s="28">
        <v>6.6046321813360911E-2</v>
      </c>
      <c r="T77" s="27">
        <v>2.3535915056739899E-2</v>
      </c>
      <c r="V77" s="29">
        <v>57.46417851500788</v>
      </c>
      <c r="W77" s="28">
        <v>0.8185979056192707</v>
      </c>
      <c r="X77" s="27">
        <v>0.21585018487053131</v>
      </c>
    </row>
    <row r="78" spans="3:24" x14ac:dyDescent="0.25">
      <c r="C78" s="2"/>
      <c r="D78" s="2"/>
      <c r="E78" s="2"/>
      <c r="F78" s="2"/>
      <c r="G78" s="2"/>
      <c r="H78" s="2"/>
      <c r="R78" s="29">
        <v>62.400681818181816</v>
      </c>
      <c r="S78" s="28">
        <v>6.6081398196455601E-2</v>
      </c>
      <c r="T78" s="27">
        <v>0.118323814976123</v>
      </c>
      <c r="V78" s="29">
        <v>62.400681818181816</v>
      </c>
      <c r="W78" s="28">
        <v>0.82227528462516897</v>
      </c>
      <c r="X78" s="27">
        <v>2.3500377862843695E-2</v>
      </c>
    </row>
    <row r="79" spans="3:24" x14ac:dyDescent="0.25">
      <c r="C79" s="2"/>
      <c r="D79" s="2"/>
      <c r="E79" s="2"/>
      <c r="F79" s="2"/>
      <c r="G79" s="2"/>
      <c r="H79" s="2"/>
      <c r="R79" s="29">
        <v>59.077887788778867</v>
      </c>
      <c r="S79" s="28">
        <v>6.6171748082662712E-2</v>
      </c>
      <c r="T79" s="27">
        <v>2.1086924621099186E-2</v>
      </c>
      <c r="V79" s="29">
        <v>56.942592592592618</v>
      </c>
      <c r="W79" s="28">
        <v>0.82481345244350945</v>
      </c>
      <c r="X79" s="27">
        <v>8.9211689518890414E-2</v>
      </c>
    </row>
    <row r="80" spans="3:24" x14ac:dyDescent="0.25">
      <c r="C80" s="2"/>
      <c r="D80" s="2"/>
      <c r="E80" s="2"/>
      <c r="F80" s="2"/>
      <c r="G80" s="2"/>
      <c r="H80" s="2"/>
      <c r="R80" s="29">
        <v>42.553716744913906</v>
      </c>
      <c r="S80" s="28">
        <v>6.7823675253183183E-2</v>
      </c>
      <c r="T80" s="27">
        <v>3.046235235478267E-2</v>
      </c>
      <c r="V80" s="29">
        <v>66.120187793427235</v>
      </c>
      <c r="W80" s="28">
        <v>0.82489739578991761</v>
      </c>
      <c r="X80" s="27">
        <v>4.239300974245467E-2</v>
      </c>
    </row>
    <row r="81" spans="3:24" x14ac:dyDescent="0.25">
      <c r="C81" s="2"/>
      <c r="D81" s="2"/>
      <c r="E81" s="2"/>
      <c r="F81" s="2"/>
      <c r="G81" s="2"/>
      <c r="H81" s="2"/>
      <c r="R81" s="29">
        <v>59.980829420970281</v>
      </c>
      <c r="S81" s="28">
        <v>6.893693739880126E-2</v>
      </c>
      <c r="T81" s="27">
        <v>6.2681671455415547E-2</v>
      </c>
      <c r="V81" s="29">
        <v>51.632550860719867</v>
      </c>
      <c r="W81" s="28">
        <v>0.82620677832266654</v>
      </c>
      <c r="X81" s="27">
        <v>0.770360050084686</v>
      </c>
    </row>
    <row r="82" spans="3:24" x14ac:dyDescent="0.25">
      <c r="C82" s="2"/>
      <c r="D82" s="2"/>
      <c r="E82" s="2"/>
      <c r="F82" s="2"/>
      <c r="G82" s="2"/>
      <c r="H82" s="2"/>
      <c r="R82" s="29">
        <v>67.751353276353271</v>
      </c>
      <c r="S82" s="28">
        <v>6.9357326258496346E-2</v>
      </c>
      <c r="T82" s="27">
        <v>1.8154938463421869E-2</v>
      </c>
      <c r="V82" s="29">
        <v>65.071507936507928</v>
      </c>
      <c r="W82" s="28">
        <v>0.83223875181422358</v>
      </c>
      <c r="X82" s="27">
        <v>0.54650410855046794</v>
      </c>
    </row>
    <row r="83" spans="3:24" x14ac:dyDescent="0.25">
      <c r="C83" s="2"/>
      <c r="D83" s="2"/>
      <c r="E83" s="2"/>
      <c r="F83" s="2"/>
      <c r="G83" s="2"/>
      <c r="H83" s="2"/>
      <c r="R83" s="29">
        <v>42.553716744913906</v>
      </c>
      <c r="S83" s="28">
        <v>6.9550631719867792E-2</v>
      </c>
      <c r="T83" s="27">
        <v>3.21986295383681E-2</v>
      </c>
      <c r="V83" s="29">
        <v>56.942592592592618</v>
      </c>
      <c r="W83" s="28">
        <v>0.83246972199284408</v>
      </c>
      <c r="X83" s="27">
        <v>1.3222917044287359</v>
      </c>
    </row>
    <row r="84" spans="3:24" x14ac:dyDescent="0.25">
      <c r="C84" s="2"/>
      <c r="D84" s="2"/>
      <c r="E84" s="2"/>
      <c r="F84" s="2"/>
      <c r="G84" s="2"/>
      <c r="H84" s="2"/>
      <c r="R84" s="29">
        <v>71.99595352564107</v>
      </c>
      <c r="S84" s="28">
        <v>7.5166061044945304E-2</v>
      </c>
      <c r="T84" s="27">
        <v>0.20916558177955016</v>
      </c>
      <c r="V84" s="29">
        <v>66.120187793427235</v>
      </c>
      <c r="W84" s="28">
        <v>0.83419685351425443</v>
      </c>
      <c r="X84" s="27">
        <v>5.5204806909198108E-2</v>
      </c>
    </row>
    <row r="85" spans="3:24" x14ac:dyDescent="0.25">
      <c r="C85" s="2"/>
      <c r="D85" s="2"/>
      <c r="E85" s="2"/>
      <c r="F85" s="2"/>
      <c r="G85" s="2"/>
      <c r="H85" s="2"/>
      <c r="R85" s="29">
        <v>51.921287519747246</v>
      </c>
      <c r="S85" s="28">
        <v>7.5301538558946432E-2</v>
      </c>
      <c r="T85" s="27">
        <v>2.2728947919044243E-2</v>
      </c>
      <c r="V85" s="29">
        <v>65.071507936507928</v>
      </c>
      <c r="W85" s="28">
        <v>0.83455712788259961</v>
      </c>
      <c r="X85" s="27">
        <v>0.15748902609708393</v>
      </c>
    </row>
    <row r="86" spans="3:24" x14ac:dyDescent="0.25">
      <c r="C86" s="2"/>
      <c r="D86" s="2"/>
      <c r="E86" s="2"/>
      <c r="F86" s="2"/>
      <c r="G86" s="2"/>
      <c r="H86" s="2"/>
      <c r="R86" s="29">
        <v>62.149292452830181</v>
      </c>
      <c r="S86" s="28">
        <v>7.854581573467824E-2</v>
      </c>
      <c r="T86" s="27">
        <v>3.5041794776466448E-2</v>
      </c>
      <c r="V86" s="29">
        <v>49.226236263736283</v>
      </c>
      <c r="W86" s="28">
        <v>0.83581481764271714</v>
      </c>
      <c r="X86" s="27">
        <v>1.7822537600687499E-2</v>
      </c>
    </row>
    <row r="87" spans="3:24" x14ac:dyDescent="0.25">
      <c r="C87" s="2"/>
      <c r="D87" s="2"/>
      <c r="E87" s="2"/>
      <c r="F87" s="2"/>
      <c r="G87" s="2"/>
      <c r="H87" s="2"/>
      <c r="R87" s="29">
        <v>65.071507936507928</v>
      </c>
      <c r="S87" s="28">
        <v>7.9294352285678105E-2</v>
      </c>
      <c r="T87" s="27">
        <v>2.5406245821687042E-2</v>
      </c>
      <c r="V87" s="29">
        <v>65.071507936507928</v>
      </c>
      <c r="W87" s="28">
        <v>0.83694422116930367</v>
      </c>
      <c r="X87" s="27">
        <v>0.28040646152732435</v>
      </c>
    </row>
    <row r="88" spans="3:24" x14ac:dyDescent="0.25">
      <c r="C88" s="2"/>
      <c r="D88" s="2"/>
      <c r="E88" s="2"/>
      <c r="F88" s="2"/>
      <c r="G88" s="2"/>
      <c r="H88" s="2"/>
      <c r="R88" s="29">
        <v>48.51537558685451</v>
      </c>
      <c r="S88" s="28">
        <v>8.1651296068450882E-2</v>
      </c>
      <c r="T88" s="27">
        <v>1.8555926783103849E-2</v>
      </c>
      <c r="V88" s="29">
        <v>55.692059748427681</v>
      </c>
      <c r="W88" s="28">
        <v>0.83919860479377928</v>
      </c>
      <c r="X88" s="27">
        <v>2.8644901332585126E-2</v>
      </c>
    </row>
    <row r="89" spans="3:24" x14ac:dyDescent="0.25">
      <c r="G89" s="2"/>
      <c r="H89" s="2"/>
      <c r="R89" s="29">
        <v>59.290669856459331</v>
      </c>
      <c r="S89" s="28">
        <v>8.3583955932632653E-2</v>
      </c>
      <c r="T89" s="27">
        <v>6.7965083473359889E-2</v>
      </c>
      <c r="V89" s="29">
        <v>59.077887788778867</v>
      </c>
      <c r="W89" s="28">
        <v>0.83929263067064874</v>
      </c>
      <c r="X89" s="27">
        <v>0.12269714735046029</v>
      </c>
    </row>
    <row r="90" spans="3:24" x14ac:dyDescent="0.25">
      <c r="G90" s="2"/>
      <c r="H90" s="2"/>
      <c r="R90" s="29">
        <v>51.632550860719867</v>
      </c>
      <c r="S90" s="28">
        <v>8.6028185808956992E-2</v>
      </c>
      <c r="T90" s="27">
        <v>2.9170930884436331E-2</v>
      </c>
      <c r="V90" s="29">
        <v>51.921287519747246</v>
      </c>
      <c r="W90" s="28">
        <v>0.84043039808782471</v>
      </c>
      <c r="X90" s="27">
        <v>6.8539246276252908E-2</v>
      </c>
    </row>
    <row r="91" spans="3:24" x14ac:dyDescent="0.25">
      <c r="G91" s="2"/>
      <c r="H91" s="2"/>
      <c r="R91" s="29">
        <v>64.84398584905658</v>
      </c>
      <c r="S91" s="28">
        <v>8.8038673405576945E-2</v>
      </c>
      <c r="T91" s="27">
        <v>0.1237086490786551</v>
      </c>
      <c r="V91" s="29">
        <v>42.553716744913906</v>
      </c>
      <c r="W91" s="28">
        <v>0.84140965166908566</v>
      </c>
      <c r="X91" s="27">
        <v>4.0608171412565293E-2</v>
      </c>
    </row>
    <row r="92" spans="3:24" x14ac:dyDescent="0.25">
      <c r="G92" s="2"/>
      <c r="H92" s="2"/>
      <c r="R92" s="29">
        <v>58.93384351256573</v>
      </c>
      <c r="S92" s="28">
        <v>8.8421790155894214E-2</v>
      </c>
      <c r="T92" s="27">
        <v>1.8657639828853018E-2</v>
      </c>
      <c r="V92" s="29">
        <v>51.632550860719867</v>
      </c>
      <c r="W92" s="28">
        <v>0.84301231068618332</v>
      </c>
      <c r="X92" s="27">
        <v>0.45957989763404383</v>
      </c>
    </row>
    <row r="93" spans="3:24" x14ac:dyDescent="0.25">
      <c r="G93" s="2"/>
      <c r="H93" s="2"/>
      <c r="R93" s="29">
        <v>67.751353276353271</v>
      </c>
      <c r="S93" s="28">
        <v>9.0727573447917154E-2</v>
      </c>
      <c r="T93" s="27">
        <v>1.4379868554051427E-2</v>
      </c>
      <c r="V93" s="29">
        <v>64.84398584905658</v>
      </c>
      <c r="W93" s="28">
        <v>0.84422635559177828</v>
      </c>
      <c r="X93" s="27">
        <v>6.6585309093267556E-2</v>
      </c>
    </row>
    <row r="94" spans="3:24" x14ac:dyDescent="0.25">
      <c r="G94" s="2"/>
      <c r="H94" s="2"/>
      <c r="R94" s="29">
        <v>49.226236263736283</v>
      </c>
      <c r="S94" s="28">
        <v>9.0837414995041971E-2</v>
      </c>
      <c r="T94" s="27">
        <v>2.1981371938563608E-2</v>
      </c>
      <c r="V94" s="29">
        <v>65.071507936507928</v>
      </c>
      <c r="W94" s="28">
        <v>0.84879555938824702</v>
      </c>
      <c r="X94" s="27">
        <v>0.67048122289915413</v>
      </c>
    </row>
    <row r="95" spans="3:24" x14ac:dyDescent="0.25">
      <c r="G95" s="2"/>
      <c r="H95" s="2"/>
      <c r="R95" s="29">
        <v>66.120187793427235</v>
      </c>
      <c r="S95" s="28">
        <v>9.1939015014282519E-2</v>
      </c>
      <c r="T95" s="27">
        <v>2.7362777757955377E-2</v>
      </c>
      <c r="V95" s="29">
        <v>64.84398584905658</v>
      </c>
      <c r="W95" s="28">
        <v>0.85165598698468825</v>
      </c>
      <c r="X95" s="27">
        <v>0.11456603646998383</v>
      </c>
    </row>
    <row r="96" spans="3:24" x14ac:dyDescent="0.25">
      <c r="G96" s="2"/>
      <c r="H96" s="2"/>
      <c r="R96" s="29">
        <v>62.149292452830181</v>
      </c>
      <c r="S96" s="28">
        <v>9.2974203820211487E-2</v>
      </c>
      <c r="T96" s="27">
        <v>2.5947014492635354E-2</v>
      </c>
      <c r="V96" s="29">
        <v>62.149292452830181</v>
      </c>
      <c r="W96" s="28">
        <v>0.85773839831248144</v>
      </c>
      <c r="X96" s="27">
        <v>5.3588180112570258E-2</v>
      </c>
    </row>
    <row r="97" spans="7:24" x14ac:dyDescent="0.25">
      <c r="G97" s="2"/>
      <c r="H97" s="2"/>
      <c r="R97" s="29">
        <v>58.93384351256573</v>
      </c>
      <c r="S97" s="28">
        <v>9.590430883080138E-2</v>
      </c>
      <c r="T97" s="27">
        <v>1.6318449368984651E-2</v>
      </c>
      <c r="V97" s="29">
        <v>66.120187793427235</v>
      </c>
      <c r="W97" s="28">
        <v>0.86497921229005359</v>
      </c>
      <c r="X97" s="27">
        <v>2.4072340358606052E-2</v>
      </c>
    </row>
    <row r="98" spans="7:24" x14ac:dyDescent="0.25">
      <c r="G98" s="2"/>
      <c r="H98" s="2"/>
      <c r="R98" s="29">
        <v>56.942592592592618</v>
      </c>
      <c r="S98" s="28">
        <v>9.6027440767325056E-2</v>
      </c>
      <c r="T98" s="27">
        <v>1.7271781509637374E-2</v>
      </c>
      <c r="V98" s="29">
        <v>42.553716744913906</v>
      </c>
      <c r="W98" s="28">
        <v>0.87111810115534871</v>
      </c>
      <c r="X98" s="27">
        <v>1.1613671418732199</v>
      </c>
    </row>
    <row r="99" spans="7:24" x14ac:dyDescent="0.25">
      <c r="G99" s="2"/>
      <c r="H99" s="2"/>
      <c r="R99" s="29">
        <v>57.46417851500788</v>
      </c>
      <c r="S99" s="28">
        <v>9.6214252474828663E-2</v>
      </c>
      <c r="T99" s="27">
        <v>8.4126589044335495E-2</v>
      </c>
      <c r="V99" s="29">
        <v>66.120187793427235</v>
      </c>
      <c r="W99" s="28">
        <v>0.87555956477891905</v>
      </c>
      <c r="X99" s="27">
        <v>7.3053996930405138E-2</v>
      </c>
    </row>
    <row r="100" spans="7:24" x14ac:dyDescent="0.25">
      <c r="G100" s="2"/>
      <c r="H100" s="2"/>
      <c r="R100" s="29">
        <v>55.692059748427681</v>
      </c>
      <c r="S100" s="28">
        <v>9.7492021583684391E-2</v>
      </c>
      <c r="T100" s="27">
        <v>1.72102552898881E-2</v>
      </c>
      <c r="V100" s="29">
        <v>59.077887788778867</v>
      </c>
      <c r="W100" s="28">
        <v>0.87889980732177309</v>
      </c>
      <c r="X100" s="27">
        <v>0.36281171369732101</v>
      </c>
    </row>
    <row r="101" spans="7:24" x14ac:dyDescent="0.25">
      <c r="G101" s="2"/>
      <c r="H101" s="2"/>
      <c r="R101" s="29">
        <v>51.921287519747246</v>
      </c>
      <c r="S101" s="28">
        <v>9.9944320712694865E-2</v>
      </c>
      <c r="T101" s="27">
        <v>1.6633489955545484E-2</v>
      </c>
      <c r="V101" s="29">
        <v>51.921287519747246</v>
      </c>
      <c r="W101" s="28">
        <v>0.8812235059429806</v>
      </c>
      <c r="X101" s="27">
        <v>1.8499131658785699</v>
      </c>
    </row>
    <row r="102" spans="7:24" x14ac:dyDescent="0.25">
      <c r="G102" s="2"/>
      <c r="H102" s="2"/>
      <c r="R102" s="29">
        <v>64.173904761904751</v>
      </c>
      <c r="S102" s="28">
        <v>0.10105079739478745</v>
      </c>
      <c r="T102" s="27">
        <v>9.7509188407543704E-2</v>
      </c>
      <c r="V102" s="29">
        <v>64.84398584905658</v>
      </c>
      <c r="W102" s="28">
        <v>0.8866810367612078</v>
      </c>
      <c r="X102" s="27">
        <v>0.11787727459496107</v>
      </c>
    </row>
    <row r="103" spans="7:24" x14ac:dyDescent="0.25">
      <c r="G103" s="2"/>
      <c r="H103" s="2"/>
      <c r="R103" s="29">
        <v>65.071507936507928</v>
      </c>
      <c r="S103" s="28">
        <v>0.10179329327226121</v>
      </c>
      <c r="T103" s="27">
        <v>2.1058982587384558E-2</v>
      </c>
      <c r="V103" s="29">
        <v>58.93384351256573</v>
      </c>
      <c r="W103" s="28">
        <v>0.88685569140168008</v>
      </c>
      <c r="X103" s="27">
        <v>0.35387047257620707</v>
      </c>
    </row>
    <row r="104" spans="7:24" x14ac:dyDescent="0.25">
      <c r="G104" s="2"/>
      <c r="H104" s="2"/>
      <c r="R104" s="29">
        <v>64.173904761904751</v>
      </c>
      <c r="S104" s="28">
        <v>0.10190081801238568</v>
      </c>
      <c r="T104" s="27">
        <v>7.4679301450955235E-2</v>
      </c>
      <c r="V104" s="29">
        <v>51.921287519747246</v>
      </c>
      <c r="W104" s="28">
        <v>0.88845894671366366</v>
      </c>
      <c r="X104" s="27">
        <v>0.81781312979421428</v>
      </c>
    </row>
    <row r="105" spans="7:24" x14ac:dyDescent="0.25">
      <c r="G105" s="2"/>
      <c r="H105" s="2"/>
      <c r="R105" s="29">
        <v>61.154601226993904</v>
      </c>
      <c r="S105" s="28">
        <v>0.10487912735849056</v>
      </c>
      <c r="T105" s="27">
        <v>7.3533707961712255E-2</v>
      </c>
      <c r="V105" s="29">
        <v>64.173904761904751</v>
      </c>
      <c r="W105" s="28">
        <v>0.88947568246838304</v>
      </c>
      <c r="X105" s="27">
        <v>0.20282406888448828</v>
      </c>
    </row>
    <row r="106" spans="7:24" x14ac:dyDescent="0.25">
      <c r="G106" s="2"/>
      <c r="H106" s="2"/>
      <c r="R106" s="29">
        <v>59.980829420970281</v>
      </c>
      <c r="S106" s="28">
        <v>0.1079101524614967</v>
      </c>
      <c r="T106" s="27">
        <v>5.1600963077638215E-2</v>
      </c>
      <c r="V106" s="29">
        <v>59.980829420970281</v>
      </c>
      <c r="W106" s="28">
        <v>0.89029839087642504</v>
      </c>
      <c r="X106" s="27">
        <v>8.4985093062831016E-2</v>
      </c>
    </row>
    <row r="107" spans="7:24" x14ac:dyDescent="0.25">
      <c r="G107" s="2"/>
      <c r="H107" s="2"/>
      <c r="R107" s="29">
        <v>55.692059748427681</v>
      </c>
      <c r="S107" s="28">
        <v>0.10844312759091131</v>
      </c>
      <c r="T107" s="27">
        <v>3.0350018174229498E-2</v>
      </c>
      <c r="V107" s="29">
        <v>57.46417851500788</v>
      </c>
      <c r="W107" s="28">
        <v>0.89166857989647685</v>
      </c>
      <c r="X107" s="27">
        <v>8.2967796483855077E-2</v>
      </c>
    </row>
    <row r="108" spans="7:24" x14ac:dyDescent="0.25">
      <c r="G108" s="2"/>
      <c r="H108" s="2"/>
      <c r="R108" s="29">
        <v>42.553716744913906</v>
      </c>
      <c r="S108" s="28">
        <v>0.11119069477860791</v>
      </c>
      <c r="T108" s="27">
        <v>3.0405379149268684E-2</v>
      </c>
      <c r="V108" s="29">
        <v>51.921287519747246</v>
      </c>
      <c r="W108" s="28">
        <v>0.89290020306286477</v>
      </c>
      <c r="X108" s="27">
        <v>0.39083368907452298</v>
      </c>
    </row>
    <row r="109" spans="7:24" x14ac:dyDescent="0.25">
      <c r="G109" s="2"/>
      <c r="H109" s="2"/>
      <c r="R109" s="29">
        <v>71.99595352564107</v>
      </c>
      <c r="S109" s="28">
        <v>0.11486344515475928</v>
      </c>
      <c r="T109" s="27">
        <v>0.19287908594290198</v>
      </c>
      <c r="V109" s="29">
        <v>62.400681818181816</v>
      </c>
      <c r="W109" s="28">
        <v>0.8931610103355726</v>
      </c>
      <c r="X109" s="27">
        <v>3.3719125636587043E-2</v>
      </c>
    </row>
    <row r="110" spans="7:24" x14ac:dyDescent="0.25">
      <c r="G110" s="2"/>
      <c r="H110" s="2"/>
      <c r="R110" s="29">
        <v>61.154601226993904</v>
      </c>
      <c r="S110" s="28">
        <v>0.1169842837332437</v>
      </c>
      <c r="T110" s="27">
        <v>4.9501404162638415E-2</v>
      </c>
      <c r="V110" s="29">
        <v>62.149292452830181</v>
      </c>
      <c r="W110" s="28">
        <v>0.89440701864327099</v>
      </c>
      <c r="X110" s="27">
        <v>0.97377665590568241</v>
      </c>
    </row>
    <row r="111" spans="7:24" x14ac:dyDescent="0.25">
      <c r="G111" s="2"/>
      <c r="H111" s="2"/>
      <c r="R111" s="29">
        <v>59.290669856459331</v>
      </c>
      <c r="S111" s="28">
        <v>0.11758456569777324</v>
      </c>
      <c r="T111" s="27">
        <v>3.6324588559255688E-2</v>
      </c>
      <c r="V111" s="29">
        <v>42.553716744913906</v>
      </c>
      <c r="W111" s="28">
        <v>0.8969587744386579</v>
      </c>
      <c r="X111" s="27">
        <v>5.194679181525004E-2</v>
      </c>
    </row>
    <row r="112" spans="7:24" x14ac:dyDescent="0.25">
      <c r="G112" s="2"/>
      <c r="H112" s="2"/>
      <c r="R112" s="29">
        <v>64.84398584905658</v>
      </c>
      <c r="S112" s="28">
        <v>0.11934829938612916</v>
      </c>
      <c r="T112" s="27">
        <v>0.14436909764764871</v>
      </c>
      <c r="V112" s="29">
        <v>59.077887788778867</v>
      </c>
      <c r="W112" s="28">
        <v>0.90429928385511005</v>
      </c>
      <c r="X112" s="27">
        <v>0.16516651665166548</v>
      </c>
    </row>
    <row r="113" spans="7:24" x14ac:dyDescent="0.25">
      <c r="G113" s="2"/>
      <c r="H113" s="2"/>
      <c r="R113" s="29">
        <v>66.120187793427235</v>
      </c>
      <c r="S113" s="28">
        <v>0.11967683991624598</v>
      </c>
      <c r="T113" s="27">
        <v>2.6161574894189819E-2</v>
      </c>
      <c r="V113" s="29">
        <v>66.120187793427235</v>
      </c>
      <c r="W113" s="28">
        <v>0.9078861277685436</v>
      </c>
      <c r="X113" s="27">
        <v>0.13309151881978612</v>
      </c>
    </row>
    <row r="114" spans="7:24" x14ac:dyDescent="0.25">
      <c r="G114" s="2"/>
      <c r="H114" s="2"/>
      <c r="R114" s="29">
        <v>57.46417851500788</v>
      </c>
      <c r="S114" s="28">
        <v>0.12901285587938005</v>
      </c>
      <c r="T114" s="27">
        <v>2.5604788774398476E-2</v>
      </c>
      <c r="V114" s="29">
        <v>59.980829420970281</v>
      </c>
      <c r="W114" s="28">
        <v>0.90889196941560091</v>
      </c>
      <c r="X114" s="27">
        <v>0.7105561807208185</v>
      </c>
    </row>
    <row r="115" spans="7:24" x14ac:dyDescent="0.25">
      <c r="G115" s="2"/>
      <c r="H115" s="2"/>
      <c r="R115" s="29">
        <v>59.980829420970281</v>
      </c>
      <c r="S115" s="28">
        <v>0.13502442884668317</v>
      </c>
      <c r="T115" s="27">
        <v>3.6997805468406711E-2</v>
      </c>
      <c r="V115" s="29">
        <v>49.226236263736283</v>
      </c>
      <c r="W115" s="28">
        <v>0.91206120934162793</v>
      </c>
      <c r="X115" s="27">
        <v>6.6986234021632257E-2</v>
      </c>
    </row>
    <row r="116" spans="7:24" x14ac:dyDescent="0.25">
      <c r="G116" s="2"/>
      <c r="H116" s="2"/>
      <c r="R116" s="29">
        <v>49.226236263736283</v>
      </c>
      <c r="S116" s="28">
        <v>0.14172244243974999</v>
      </c>
      <c r="T116" s="27">
        <v>1.9101335732765169E-2</v>
      </c>
      <c r="V116" s="29">
        <v>56.942592592592618</v>
      </c>
      <c r="W116" s="28">
        <v>0.91905359213424509</v>
      </c>
      <c r="X116" s="27">
        <v>0.33629979531302323</v>
      </c>
    </row>
    <row r="117" spans="7:24" x14ac:dyDescent="0.25">
      <c r="G117" s="2"/>
      <c r="H117" s="2"/>
      <c r="R117" s="29">
        <v>51.921287519747246</v>
      </c>
      <c r="S117" s="28">
        <v>0.14368700279062019</v>
      </c>
      <c r="T117" s="27">
        <v>2.1584183219854176E-2</v>
      </c>
      <c r="V117" s="29">
        <v>58.93384351256573</v>
      </c>
      <c r="W117" s="28">
        <v>0.91947785936225224</v>
      </c>
      <c r="X117" s="27">
        <v>0.96798742789383452</v>
      </c>
    </row>
    <row r="118" spans="7:24" x14ac:dyDescent="0.25">
      <c r="G118" s="2"/>
      <c r="H118" s="2"/>
      <c r="R118" s="29">
        <v>62.149292452830181</v>
      </c>
      <c r="S118" s="28">
        <v>0.14570585476022413</v>
      </c>
      <c r="T118" s="27">
        <v>3.5706835447034041E-2</v>
      </c>
      <c r="V118" s="29">
        <v>61.154601226993904</v>
      </c>
      <c r="W118" s="28">
        <v>0.92330121441575641</v>
      </c>
      <c r="X118" s="27">
        <v>0.3100640234214242</v>
      </c>
    </row>
    <row r="119" spans="7:24" x14ac:dyDescent="0.25">
      <c r="G119" s="2"/>
      <c r="H119" s="2"/>
      <c r="R119" s="29">
        <v>67.751353276353271</v>
      </c>
      <c r="S119" s="28">
        <v>0.14716806304258406</v>
      </c>
      <c r="T119" s="27">
        <v>1.6179653106543027E-2</v>
      </c>
      <c r="V119" s="29">
        <v>55.692059748427681</v>
      </c>
      <c r="W119" s="28">
        <v>0.92715319075868641</v>
      </c>
      <c r="X119" s="27">
        <v>8.87063148103686E-2</v>
      </c>
    </row>
    <row r="120" spans="7:24" x14ac:dyDescent="0.25">
      <c r="G120" s="2"/>
      <c r="H120" s="2"/>
      <c r="R120" s="29">
        <v>62.400681818181816</v>
      </c>
      <c r="S120" s="28">
        <v>0.14792322409430367</v>
      </c>
      <c r="T120" s="27">
        <v>8.8134149448823904E-2</v>
      </c>
      <c r="V120" s="29">
        <v>64.84398584905658</v>
      </c>
      <c r="W120" s="28">
        <v>0.92753707910208449</v>
      </c>
      <c r="X120" s="27">
        <v>6.8498951756777934E-2</v>
      </c>
    </row>
    <row r="121" spans="7:24" x14ac:dyDescent="0.25">
      <c r="G121" s="2"/>
      <c r="H121" s="2"/>
      <c r="R121" s="29">
        <v>56.942592592592618</v>
      </c>
      <c r="S121" s="28">
        <v>0.15336845874469288</v>
      </c>
      <c r="T121" s="27">
        <v>1.4404782313091707E-2</v>
      </c>
      <c r="V121" s="29">
        <v>66.120187793427235</v>
      </c>
      <c r="W121" s="28">
        <v>0.93386804284755232</v>
      </c>
      <c r="X121" s="27">
        <v>7.1861785161790051E-2</v>
      </c>
    </row>
    <row r="122" spans="7:24" x14ac:dyDescent="0.25">
      <c r="G122" s="2"/>
      <c r="H122" s="2"/>
      <c r="R122" s="29">
        <v>49.226236263736283</v>
      </c>
      <c r="S122" s="28">
        <v>0.1546445052277102</v>
      </c>
      <c r="T122" s="27">
        <v>1.7755054937822552E-2</v>
      </c>
      <c r="V122" s="29">
        <v>62.149292452830181</v>
      </c>
      <c r="W122" s="28">
        <v>0.94416690260260239</v>
      </c>
      <c r="X122" s="27">
        <v>7.1642929076983344E-2</v>
      </c>
    </row>
    <row r="123" spans="7:24" x14ac:dyDescent="0.25">
      <c r="G123" s="2"/>
      <c r="H123" s="2"/>
      <c r="R123" s="29">
        <v>48.51537558685451</v>
      </c>
      <c r="S123" s="28">
        <v>0.15746440087639504</v>
      </c>
      <c r="T123" s="27">
        <v>2.0522702866878895E-2</v>
      </c>
      <c r="V123" s="29">
        <v>59.290669856459331</v>
      </c>
      <c r="W123" s="28">
        <v>0.9446973270440252</v>
      </c>
      <c r="X123" s="27">
        <v>0.2777492370184288</v>
      </c>
    </row>
    <row r="124" spans="7:24" x14ac:dyDescent="0.25">
      <c r="G124" s="2"/>
      <c r="H124" s="2"/>
      <c r="R124" s="29">
        <v>51.632550860719867</v>
      </c>
      <c r="S124" s="28">
        <v>0.15900677870798449</v>
      </c>
      <c r="T124" s="27">
        <v>3.0685224765700382E-2</v>
      </c>
      <c r="V124" s="29">
        <v>59.980829420970281</v>
      </c>
      <c r="W124" s="28">
        <v>0.95541129390840374</v>
      </c>
      <c r="X124" s="27">
        <v>0.5460153917764804</v>
      </c>
    </row>
    <row r="125" spans="7:24" x14ac:dyDescent="0.25">
      <c r="G125" s="2"/>
      <c r="H125" s="2"/>
      <c r="R125" s="29">
        <v>65.071507936507928</v>
      </c>
      <c r="S125" s="28">
        <v>0.1611947602982215</v>
      </c>
      <c r="T125" s="27">
        <v>1.6665368075433278E-2</v>
      </c>
      <c r="V125" s="29">
        <v>59.290669856459331</v>
      </c>
      <c r="W125" s="28">
        <v>0.95579117574359407</v>
      </c>
      <c r="X125" s="27">
        <v>0.58066301936708442</v>
      </c>
    </row>
    <row r="126" spans="7:24" x14ac:dyDescent="0.25">
      <c r="G126" s="2"/>
      <c r="H126" s="2"/>
      <c r="R126" s="29">
        <v>59.290669856459331</v>
      </c>
      <c r="S126" s="28">
        <v>0.16316797867466368</v>
      </c>
      <c r="T126" s="27">
        <v>8.4243676931804456E-2</v>
      </c>
      <c r="V126" s="29">
        <v>59.980829420970281</v>
      </c>
      <c r="W126" s="28">
        <v>0.96154516879548457</v>
      </c>
      <c r="X126" s="27">
        <v>0.9120442913921033</v>
      </c>
    </row>
    <row r="127" spans="7:24" x14ac:dyDescent="0.25">
      <c r="G127" s="2"/>
      <c r="H127" s="2"/>
      <c r="R127" s="29">
        <v>48.51537558685451</v>
      </c>
      <c r="S127" s="28">
        <v>0.16319696304497211</v>
      </c>
      <c r="T127" s="27">
        <v>1.4456967223692998E-2</v>
      </c>
      <c r="V127" s="29">
        <v>55.692059748427681</v>
      </c>
      <c r="W127" s="28">
        <v>0.96298506410745854</v>
      </c>
      <c r="X127" s="27">
        <v>0.4320991012759432</v>
      </c>
    </row>
    <row r="128" spans="7:24" x14ac:dyDescent="0.25">
      <c r="G128" s="2"/>
      <c r="H128" s="2"/>
      <c r="R128" s="29">
        <v>62.400681818181816</v>
      </c>
      <c r="S128" s="28">
        <v>0.17288718095856279</v>
      </c>
      <c r="T128" s="27">
        <v>9.445756165467914E-2</v>
      </c>
      <c r="V128" s="29">
        <v>51.921287519747246</v>
      </c>
      <c r="W128" s="28">
        <v>0.96500524109014674</v>
      </c>
      <c r="X128" s="27">
        <v>0.3599610168214501</v>
      </c>
    </row>
    <row r="129" spans="7:24" x14ac:dyDescent="0.25">
      <c r="G129" s="2"/>
      <c r="H129" s="2"/>
      <c r="R129" s="29">
        <v>64.173904761904751</v>
      </c>
      <c r="S129" s="28">
        <v>0.17452161625176615</v>
      </c>
      <c r="T129" s="27">
        <v>9.4496016113266523E-2</v>
      </c>
      <c r="V129" s="29">
        <v>64.173904761904751</v>
      </c>
      <c r="W129" s="28">
        <v>0.96511389332001241</v>
      </c>
      <c r="X129" s="27">
        <v>8.1859047046943828E-2</v>
      </c>
    </row>
    <row r="130" spans="7:24" x14ac:dyDescent="0.25">
      <c r="G130" s="2"/>
      <c r="H130" s="2"/>
      <c r="R130" s="29">
        <v>51.632550860719867</v>
      </c>
      <c r="S130" s="28">
        <v>0.17494551255053908</v>
      </c>
      <c r="T130" s="27">
        <v>2.6513434632879453E-2</v>
      </c>
      <c r="V130" s="29">
        <v>55.692059748427681</v>
      </c>
      <c r="W130" s="28">
        <v>0.97353049468495756</v>
      </c>
      <c r="X130" s="27">
        <v>0.24392636727764419</v>
      </c>
    </row>
    <row r="131" spans="7:24" x14ac:dyDescent="0.25">
      <c r="G131" s="2"/>
      <c r="H131" s="2"/>
      <c r="R131" s="29">
        <v>64.84398584905658</v>
      </c>
      <c r="S131" s="28">
        <v>0.17695557734351311</v>
      </c>
      <c r="T131" s="27">
        <v>0.12800661299807761</v>
      </c>
      <c r="V131" s="29">
        <v>49.226236263736283</v>
      </c>
      <c r="W131" s="28">
        <v>0.97422887344854203</v>
      </c>
      <c r="X131" s="27">
        <v>1.4862878580589491E-2</v>
      </c>
    </row>
    <row r="132" spans="7:24" x14ac:dyDescent="0.25">
      <c r="G132" s="2"/>
      <c r="H132" s="2"/>
      <c r="R132" s="29">
        <v>57.46417851500788</v>
      </c>
      <c r="S132" s="28">
        <v>0.17823619729011017</v>
      </c>
      <c r="T132" s="27">
        <v>7.3838193693588391E-2</v>
      </c>
      <c r="V132" s="29">
        <v>62.149292452830181</v>
      </c>
      <c r="W132" s="28">
        <v>0.97429131779437228</v>
      </c>
      <c r="X132" s="27">
        <v>0.26512183994840044</v>
      </c>
    </row>
    <row r="133" spans="7:24" x14ac:dyDescent="0.25">
      <c r="G133" s="2"/>
      <c r="H133" s="2"/>
      <c r="R133" s="29">
        <v>58.93384351256573</v>
      </c>
      <c r="S133" s="28">
        <v>0.18200775042757264</v>
      </c>
      <c r="T133" s="27">
        <v>1.5504479364748826E-2</v>
      </c>
      <c r="V133" s="29">
        <v>66.120187793427235</v>
      </c>
      <c r="W133" s="28">
        <v>0.97837171680537527</v>
      </c>
      <c r="X133" s="27">
        <v>8.1048974847976865E-2</v>
      </c>
    </row>
    <row r="134" spans="7:24" x14ac:dyDescent="0.25">
      <c r="G134" s="2"/>
      <c r="H134" s="2"/>
      <c r="R134" s="29">
        <v>66.120187793427235</v>
      </c>
      <c r="S134" s="28">
        <v>0.18279113175067813</v>
      </c>
      <c r="T134" s="27">
        <v>2.4345113157592083E-2</v>
      </c>
      <c r="V134" s="29">
        <v>64.84398584905658</v>
      </c>
      <c r="W134" s="28">
        <v>0.97868217518748524</v>
      </c>
      <c r="X134" s="27">
        <v>0.20696347367564402</v>
      </c>
    </row>
    <row r="135" spans="7:24" x14ac:dyDescent="0.25">
      <c r="G135" s="2"/>
      <c r="H135" s="2"/>
      <c r="R135" s="29">
        <v>42.553716744913906</v>
      </c>
      <c r="S135" s="28">
        <v>0.18282381864892183</v>
      </c>
      <c r="T135" s="27">
        <v>3.4615771047820688E-2</v>
      </c>
      <c r="V135" s="29">
        <v>55.692059748427681</v>
      </c>
      <c r="W135" s="28">
        <v>0.98331662118123386</v>
      </c>
      <c r="X135" s="27">
        <v>0.43552905448748225</v>
      </c>
    </row>
    <row r="136" spans="7:24" x14ac:dyDescent="0.25">
      <c r="G136" s="2"/>
      <c r="H136" s="2"/>
      <c r="R136" s="29">
        <v>56.942592592592618</v>
      </c>
      <c r="S136" s="28">
        <v>0.18580875505833971</v>
      </c>
      <c r="T136" s="27">
        <v>1.254078755110781E-2</v>
      </c>
      <c r="V136" s="29">
        <v>64.84398584905658</v>
      </c>
      <c r="W136" s="28">
        <v>0.98729153765919431</v>
      </c>
      <c r="X136" s="27">
        <v>0.41364687753990448</v>
      </c>
    </row>
    <row r="137" spans="7:24" x14ac:dyDescent="0.25">
      <c r="G137" s="2"/>
      <c r="H137" s="2"/>
      <c r="R137" s="29">
        <v>61.154601226993904</v>
      </c>
      <c r="S137" s="28">
        <v>0.19009831460674156</v>
      </c>
      <c r="T137" s="27">
        <v>8.2514844677636215E-2</v>
      </c>
      <c r="V137" s="29">
        <v>59.980829420970281</v>
      </c>
      <c r="W137" s="28">
        <v>0.99473003639477531</v>
      </c>
      <c r="X137" s="27">
        <v>0.31705364940028585</v>
      </c>
    </row>
    <row r="138" spans="7:24" x14ac:dyDescent="0.25">
      <c r="G138" s="2"/>
      <c r="H138" s="2"/>
      <c r="R138" s="29">
        <v>59.980829420970281</v>
      </c>
      <c r="S138" s="28">
        <v>0.19071146329118246</v>
      </c>
      <c r="T138" s="27">
        <v>4.4788817023749601E-2</v>
      </c>
      <c r="V138" s="29">
        <v>62.400681818181816</v>
      </c>
      <c r="W138" s="28">
        <v>0.99630623958526232</v>
      </c>
      <c r="X138" s="27">
        <v>2.7670317250307788E-2</v>
      </c>
    </row>
    <row r="139" spans="7:24" x14ac:dyDescent="0.25">
      <c r="G139" s="2"/>
      <c r="H139" s="2"/>
      <c r="R139" s="29">
        <v>71.99595352564107</v>
      </c>
      <c r="S139" s="28">
        <v>0.19456467165312769</v>
      </c>
      <c r="T139" s="27">
        <v>0.17425849050505729</v>
      </c>
      <c r="V139" s="29">
        <v>62.149292452830181</v>
      </c>
      <c r="W139" s="28">
        <v>0.9998863537806798</v>
      </c>
      <c r="X139" s="27">
        <v>0.1687315501296518</v>
      </c>
    </row>
    <row r="140" spans="7:24" x14ac:dyDescent="0.25">
      <c r="G140" s="2"/>
      <c r="H140" s="2"/>
      <c r="R140" s="29">
        <v>55.692059748427681</v>
      </c>
      <c r="S140" s="28">
        <v>0.20703239759168343</v>
      </c>
      <c r="T140" s="27">
        <v>3.1668778734839767E-2</v>
      </c>
      <c r="V140" s="29">
        <v>61.154601226993904</v>
      </c>
      <c r="W140" s="28">
        <v>1.0015212264150943</v>
      </c>
      <c r="X140" s="27">
        <v>0.19262056900188021</v>
      </c>
    </row>
    <row r="141" spans="7:24" x14ac:dyDescent="0.25">
      <c r="G141" s="2"/>
      <c r="H141" s="2"/>
      <c r="R141" s="29">
        <v>42.553716744913906</v>
      </c>
      <c r="S141" s="28">
        <v>0.21534502686492565</v>
      </c>
      <c r="T141" s="27">
        <v>3.5497169513694957E-2</v>
      </c>
      <c r="V141" s="29">
        <v>42.553716744913906</v>
      </c>
      <c r="W141" s="28">
        <v>1.0283189963780324</v>
      </c>
      <c r="X141" s="27">
        <v>0.17414250272153606</v>
      </c>
    </row>
    <row r="142" spans="7:24" x14ac:dyDescent="0.25">
      <c r="G142" s="2"/>
      <c r="H142" s="2"/>
      <c r="R142" s="29">
        <v>59.077887788778867</v>
      </c>
      <c r="S142" s="28">
        <v>0.2176650466357998</v>
      </c>
      <c r="T142" s="27">
        <v>1.8916672689166695E-2</v>
      </c>
      <c r="V142" s="29">
        <v>67.751353276353271</v>
      </c>
      <c r="W142" s="28">
        <v>1.0284054019809596</v>
      </c>
      <c r="X142" s="27">
        <v>0.11341583034269957</v>
      </c>
    </row>
    <row r="143" spans="7:24" x14ac:dyDescent="0.25">
      <c r="G143" s="2"/>
      <c r="H143" s="2"/>
      <c r="R143" s="29">
        <v>59.077887788778867</v>
      </c>
      <c r="S143" s="28">
        <v>0.2194699459745364</v>
      </c>
      <c r="T143" s="27">
        <v>1.592029984097755E-2</v>
      </c>
      <c r="V143" s="29">
        <v>66.120187793427235</v>
      </c>
      <c r="W143" s="28">
        <v>1.031036531924332</v>
      </c>
      <c r="X143" s="27">
        <v>9.8046331166854919E-2</v>
      </c>
    </row>
    <row r="144" spans="7:24" x14ac:dyDescent="0.25">
      <c r="G144" s="2"/>
      <c r="H144" s="2"/>
      <c r="R144" s="29">
        <v>71.99595352564107</v>
      </c>
      <c r="S144" s="28">
        <v>0.22885528488852194</v>
      </c>
      <c r="T144" s="27">
        <v>0.1266291259385183</v>
      </c>
      <c r="V144" s="29">
        <v>42.553716744913906</v>
      </c>
      <c r="W144" s="28">
        <v>1.0340037757001437</v>
      </c>
      <c r="X144" s="27">
        <v>0.63712639543976957</v>
      </c>
    </row>
    <row r="145" spans="7:24" x14ac:dyDescent="0.25">
      <c r="G145" s="2"/>
      <c r="H145" s="2"/>
      <c r="R145" s="29">
        <v>64.173904761904751</v>
      </c>
      <c r="S145" s="28">
        <v>0.23611146069301117</v>
      </c>
      <c r="T145" s="27">
        <v>8.0342683792537298E-2</v>
      </c>
      <c r="V145" s="29">
        <v>49.226236263736283</v>
      </c>
      <c r="W145" s="28">
        <v>1.0341810844408146</v>
      </c>
      <c r="X145" s="27">
        <v>1.7863319956717378E-2</v>
      </c>
    </row>
    <row r="146" spans="7:24" x14ac:dyDescent="0.25">
      <c r="G146" s="2"/>
      <c r="H146" s="2"/>
      <c r="R146" s="29">
        <v>51.921287519747246</v>
      </c>
      <c r="S146" s="28">
        <v>0.24438742278438461</v>
      </c>
      <c r="T146" s="27">
        <v>2.2359437987128791E-2</v>
      </c>
      <c r="V146" s="29">
        <v>66.120187793427235</v>
      </c>
      <c r="W146" s="28">
        <v>1.0400890475304732</v>
      </c>
      <c r="X146" s="27">
        <v>0.15011632968215735</v>
      </c>
    </row>
    <row r="147" spans="7:24" x14ac:dyDescent="0.25">
      <c r="G147" s="2"/>
      <c r="H147" s="2"/>
      <c r="R147" s="29">
        <v>62.149292452830181</v>
      </c>
      <c r="S147" s="28">
        <v>0.24985749428843185</v>
      </c>
      <c r="T147" s="27">
        <v>4.7770402071974832E-2</v>
      </c>
      <c r="V147" s="29">
        <v>64.84398584905658</v>
      </c>
      <c r="W147" s="28">
        <v>1.0468088162235087</v>
      </c>
      <c r="X147" s="27">
        <v>0.25257005141241717</v>
      </c>
    </row>
    <row r="148" spans="7:24" x14ac:dyDescent="0.25">
      <c r="G148" s="2"/>
      <c r="H148" s="2"/>
      <c r="R148" s="29">
        <v>59.290669856459331</v>
      </c>
      <c r="S148" s="28">
        <v>0.25284282345013476</v>
      </c>
      <c r="T148" s="27">
        <v>3.0878586776401637E-2</v>
      </c>
      <c r="V148" s="29">
        <v>57.46417851500788</v>
      </c>
      <c r="W148" s="28">
        <v>1.0477895702306079</v>
      </c>
      <c r="X148" s="27">
        <v>0.18034973554238784</v>
      </c>
    </row>
    <row r="149" spans="7:24" x14ac:dyDescent="0.25">
      <c r="G149" s="2"/>
      <c r="H149" s="2"/>
      <c r="R149" s="29">
        <v>67.751353276353271</v>
      </c>
      <c r="S149" s="28">
        <v>0.25332620032446523</v>
      </c>
      <c r="T149" s="27">
        <v>1.2844988759465121E-2</v>
      </c>
      <c r="V149" s="29">
        <v>57.46417851500788</v>
      </c>
      <c r="W149" s="28">
        <v>1.0513267796819643</v>
      </c>
      <c r="X149" s="27">
        <v>0.24956082663784473</v>
      </c>
    </row>
    <row r="150" spans="7:24" x14ac:dyDescent="0.25">
      <c r="G150" s="2"/>
      <c r="H150" s="2"/>
      <c r="R150" s="29">
        <v>65.071507936507928</v>
      </c>
      <c r="S150" s="28">
        <v>0.26758997009770891</v>
      </c>
      <c r="T150" s="27">
        <v>1.7423311132448532E-2</v>
      </c>
      <c r="V150" s="29">
        <v>67.751353276353271</v>
      </c>
      <c r="W150" s="28">
        <v>1.0519484802721806</v>
      </c>
      <c r="X150" s="27">
        <v>8.5052162140638987E-2</v>
      </c>
    </row>
    <row r="151" spans="7:24" x14ac:dyDescent="0.25">
      <c r="G151" s="2"/>
      <c r="H151" s="2"/>
      <c r="R151" s="29">
        <v>62.149292452830181</v>
      </c>
      <c r="S151" s="28">
        <v>0.27067270390844733</v>
      </c>
      <c r="T151" s="27">
        <v>3.2322023056779052E-2</v>
      </c>
      <c r="V151" s="29">
        <v>49.226236263736283</v>
      </c>
      <c r="W151" s="28">
        <v>1.0537064930437459</v>
      </c>
      <c r="X151" s="27">
        <v>4.0589742126191625E-2</v>
      </c>
    </row>
    <row r="152" spans="7:24" x14ac:dyDescent="0.25">
      <c r="G152" s="2"/>
      <c r="H152" s="2"/>
      <c r="R152" s="29">
        <v>59.290669856459331</v>
      </c>
      <c r="S152" s="28">
        <v>0.27090074379123419</v>
      </c>
      <c r="T152" s="27">
        <v>7.4071346244294775E-2</v>
      </c>
      <c r="V152" s="29">
        <v>55.692059748427681</v>
      </c>
      <c r="W152" s="28">
        <v>1.0677421356035735</v>
      </c>
      <c r="X152" s="27">
        <v>0.1436649684524966</v>
      </c>
    </row>
    <row r="153" spans="7:24" x14ac:dyDescent="0.25">
      <c r="G153" s="2"/>
      <c r="H153" s="2"/>
      <c r="R153" s="29">
        <v>61.154601226993904</v>
      </c>
      <c r="S153" s="28">
        <v>0.27173236623018032</v>
      </c>
      <c r="T153" s="27">
        <v>5.9353967822408399E-2</v>
      </c>
      <c r="V153" s="29">
        <v>49.226236263736283</v>
      </c>
      <c r="W153" s="28">
        <v>1.0718547197150761</v>
      </c>
      <c r="X153" s="27">
        <v>1.9677466980653237E-2</v>
      </c>
    </row>
    <row r="154" spans="7:24" x14ac:dyDescent="0.25">
      <c r="G154" s="2"/>
      <c r="H154" s="2"/>
      <c r="R154" s="29">
        <v>71.99595352564107</v>
      </c>
      <c r="S154" s="28">
        <v>0.27177582972859188</v>
      </c>
      <c r="T154" s="27">
        <v>0.13414585064337464</v>
      </c>
      <c r="V154" s="29">
        <v>55.692059748427681</v>
      </c>
      <c r="W154" s="28">
        <v>1.0771089925762332</v>
      </c>
      <c r="X154" s="27">
        <v>0.76492028992006589</v>
      </c>
    </row>
    <row r="155" spans="7:24" x14ac:dyDescent="0.25">
      <c r="G155" s="2"/>
      <c r="H155" s="2"/>
      <c r="R155" s="29">
        <v>51.632550860719867</v>
      </c>
      <c r="S155" s="28">
        <v>0.272447682480985</v>
      </c>
      <c r="T155" s="27">
        <v>3.9175806376972704E-2</v>
      </c>
      <c r="V155" s="29">
        <v>64.84398584905658</v>
      </c>
      <c r="W155" s="28">
        <v>1.1005848190425289</v>
      </c>
      <c r="X155" s="27">
        <v>9.1884002228829961E-2</v>
      </c>
    </row>
    <row r="156" spans="7:24" x14ac:dyDescent="0.25">
      <c r="G156" s="2"/>
      <c r="H156" s="2"/>
      <c r="R156" s="29">
        <v>48.51537558685451</v>
      </c>
      <c r="S156" s="28">
        <v>0.2725386541027689</v>
      </c>
      <c r="T156" s="27">
        <v>2.6492174059671282E-2</v>
      </c>
      <c r="V156" s="29">
        <v>66.120187793427235</v>
      </c>
      <c r="W156" s="28">
        <v>1.1102789247097105</v>
      </c>
      <c r="X156" s="27">
        <v>0.14062821435749207</v>
      </c>
    </row>
    <row r="157" spans="7:24" x14ac:dyDescent="0.25">
      <c r="G157" s="2"/>
      <c r="H157" s="2"/>
      <c r="R157" s="29">
        <v>57.46417851500788</v>
      </c>
      <c r="S157" s="28">
        <v>0.27475893304391386</v>
      </c>
      <c r="T157" s="27">
        <v>2.885765034546962E-2</v>
      </c>
      <c r="V157" s="29">
        <v>55.692059748427681</v>
      </c>
      <c r="W157" s="28">
        <v>1.1195818643300026</v>
      </c>
      <c r="X157" s="27">
        <v>0.57947260497193398</v>
      </c>
    </row>
    <row r="158" spans="7:24" x14ac:dyDescent="0.25">
      <c r="G158" s="2"/>
      <c r="H158" s="2"/>
      <c r="R158" s="29">
        <v>65.071507936507928</v>
      </c>
      <c r="S158" s="28">
        <v>0.27739972475522123</v>
      </c>
      <c r="T158" s="27">
        <v>1.9224634788531654E-2</v>
      </c>
      <c r="V158" s="29">
        <v>49.226236263736283</v>
      </c>
      <c r="W158" s="28">
        <v>1.124735887934349</v>
      </c>
      <c r="X158" s="27">
        <v>2.5871661319582854E-2</v>
      </c>
    </row>
    <row r="159" spans="7:24" x14ac:dyDescent="0.25">
      <c r="G159" s="2"/>
      <c r="H159" s="2"/>
      <c r="R159" s="29">
        <v>64.173904761904751</v>
      </c>
      <c r="S159" s="28">
        <v>0.27807045382418266</v>
      </c>
      <c r="T159" s="27">
        <v>2.8726925188750047E-2</v>
      </c>
      <c r="V159" s="29">
        <v>49.226236263736283</v>
      </c>
      <c r="W159" s="28">
        <v>1.1626312233393503</v>
      </c>
      <c r="X159" s="27">
        <v>0.65963954150377124</v>
      </c>
    </row>
    <row r="160" spans="7:24" x14ac:dyDescent="0.25">
      <c r="G160" s="2"/>
      <c r="H160" s="2"/>
      <c r="R160" s="29">
        <v>55.692059748427681</v>
      </c>
      <c r="S160" s="28">
        <v>0.279629877071085</v>
      </c>
      <c r="T160" s="27">
        <v>1.9756407013876758E-2</v>
      </c>
      <c r="V160" s="29">
        <v>66.120187793427235</v>
      </c>
      <c r="W160" s="28">
        <v>1.1690207256963003</v>
      </c>
      <c r="X160" s="27">
        <v>6.7989764232739197E-2</v>
      </c>
    </row>
    <row r="161" spans="7:24" x14ac:dyDescent="0.25">
      <c r="G161" s="2"/>
      <c r="H161" s="2"/>
      <c r="R161" s="29">
        <v>58.93384351256573</v>
      </c>
      <c r="S161" s="28">
        <v>0.28022064214708353</v>
      </c>
      <c r="T161" s="27">
        <v>1.4694483109262397E-2</v>
      </c>
      <c r="V161" s="29">
        <v>49.226236263736283</v>
      </c>
      <c r="W161" s="28">
        <v>1.2038502651811043</v>
      </c>
      <c r="X161" s="27">
        <v>0.80613598472706982</v>
      </c>
    </row>
    <row r="162" spans="7:24" x14ac:dyDescent="0.25">
      <c r="G162" s="2"/>
      <c r="H162" s="2"/>
      <c r="R162" s="29">
        <v>58.93384351256573</v>
      </c>
      <c r="S162" s="28">
        <v>0.28106838554782826</v>
      </c>
      <c r="T162" s="27">
        <v>2.4187673443582219E-2</v>
      </c>
      <c r="V162" s="29">
        <v>62.400681818181816</v>
      </c>
      <c r="W162" s="28">
        <v>1.2063256076967412</v>
      </c>
      <c r="X162" s="27">
        <v>0.19808360393361099</v>
      </c>
    </row>
    <row r="163" spans="7:24" x14ac:dyDescent="0.25">
      <c r="G163" s="2"/>
      <c r="H163" s="2"/>
      <c r="R163" s="29">
        <v>49.226236263736283</v>
      </c>
      <c r="S163" s="28">
        <v>0.29221335264334525</v>
      </c>
      <c r="T163" s="27">
        <v>1.4398587283334376E-2</v>
      </c>
      <c r="V163" s="29">
        <v>49.226236263736283</v>
      </c>
      <c r="W163" s="28">
        <v>1.2183604161037236</v>
      </c>
      <c r="X163" s="27">
        <v>4.4111599003781268E-2</v>
      </c>
    </row>
    <row r="164" spans="7:24" x14ac:dyDescent="0.25">
      <c r="G164" s="2"/>
      <c r="H164" s="2"/>
      <c r="R164" s="29">
        <v>57.46417851500788</v>
      </c>
      <c r="S164" s="28">
        <v>0.29436712073779508</v>
      </c>
      <c r="T164" s="27">
        <v>8.861365472770133E-2</v>
      </c>
      <c r="V164" s="29">
        <v>49.226236263736283</v>
      </c>
      <c r="W164" s="28">
        <v>1.2397706411358724</v>
      </c>
      <c r="X164" s="27">
        <v>2.0681043501737571E-2</v>
      </c>
    </row>
    <row r="165" spans="7:24" x14ac:dyDescent="0.25">
      <c r="G165" s="2"/>
      <c r="H165" s="2"/>
      <c r="R165" s="29">
        <v>62.400681818181816</v>
      </c>
      <c r="S165" s="28">
        <v>0.29748439104491103</v>
      </c>
      <c r="T165" s="27">
        <v>9.8862365101372446E-2</v>
      </c>
      <c r="V165" s="29">
        <v>49.226236263736283</v>
      </c>
      <c r="W165" s="28">
        <v>1.2612349346715996</v>
      </c>
      <c r="X165" s="27">
        <v>3.9416911974569334E-2</v>
      </c>
    </row>
    <row r="166" spans="7:24" x14ac:dyDescent="0.25">
      <c r="G166" s="2"/>
      <c r="H166" s="2"/>
      <c r="R166" s="29">
        <v>59.980829420970281</v>
      </c>
      <c r="S166" s="28">
        <v>0.29795864069587291</v>
      </c>
      <c r="T166" s="27">
        <v>2.9735264745267321E-2</v>
      </c>
      <c r="V166" s="29">
        <v>62.400681818181816</v>
      </c>
      <c r="W166" s="28">
        <v>1.3018725437072187</v>
      </c>
      <c r="X166" s="27">
        <v>0.12604303908651698</v>
      </c>
    </row>
    <row r="167" spans="7:24" x14ac:dyDescent="0.25">
      <c r="G167" s="2"/>
      <c r="H167" s="2"/>
      <c r="R167" s="29">
        <v>67.751353276353271</v>
      </c>
      <c r="S167" s="28">
        <v>0.29908467113817488</v>
      </c>
      <c r="T167" s="27">
        <v>1.482363301316012E-2</v>
      </c>
      <c r="V167" s="29">
        <v>49.226236263736283</v>
      </c>
      <c r="W167" s="28">
        <v>1.3504487734753683</v>
      </c>
      <c r="X167" s="27">
        <v>0.51984233413371506</v>
      </c>
    </row>
    <row r="168" spans="7:24" x14ac:dyDescent="0.25">
      <c r="G168" s="2"/>
      <c r="H168" s="2"/>
      <c r="R168" s="29">
        <v>71.99595352564107</v>
      </c>
      <c r="S168" s="28">
        <v>0.30350468392617314</v>
      </c>
      <c r="T168" s="27">
        <v>0.13077860875303748</v>
      </c>
      <c r="V168" s="29"/>
      <c r="W168" s="28"/>
      <c r="X168" s="27"/>
    </row>
    <row r="169" spans="7:24" x14ac:dyDescent="0.25">
      <c r="G169" s="2"/>
      <c r="H169" s="2"/>
      <c r="R169" s="29">
        <v>64.84398584905658</v>
      </c>
      <c r="S169" s="28">
        <v>0.30504154966378166</v>
      </c>
      <c r="T169" s="27">
        <v>0.12808594153496528</v>
      </c>
      <c r="V169" s="29"/>
      <c r="W169" s="28"/>
      <c r="X169" s="27"/>
    </row>
    <row r="170" spans="7:24" x14ac:dyDescent="0.25">
      <c r="G170" s="2"/>
      <c r="H170" s="2"/>
      <c r="R170" s="29">
        <v>56.942592592592618</v>
      </c>
      <c r="S170" s="28">
        <v>0.3065092481238656</v>
      </c>
      <c r="T170" s="27">
        <v>1.8892454684406857E-2</v>
      </c>
      <c r="V170" s="29"/>
      <c r="W170" s="28"/>
      <c r="X170" s="27"/>
    </row>
    <row r="171" spans="7:24" x14ac:dyDescent="0.25">
      <c r="G171" s="2"/>
      <c r="H171" s="2"/>
      <c r="R171" s="29">
        <v>51.921287519747246</v>
      </c>
      <c r="S171" s="28">
        <v>0.30806730121293802</v>
      </c>
      <c r="T171" s="27">
        <v>1.2302817710850657E-2</v>
      </c>
      <c r="V171" s="29"/>
      <c r="W171" s="28"/>
      <c r="X171" s="27"/>
    </row>
    <row r="172" spans="7:24" x14ac:dyDescent="0.25">
      <c r="G172" s="2"/>
      <c r="H172" s="2"/>
      <c r="R172" s="29">
        <v>64.173904761904751</v>
      </c>
      <c r="S172" s="28">
        <v>0.31396079187969617</v>
      </c>
      <c r="T172" s="27">
        <v>2.6481815847842625E-2</v>
      </c>
      <c r="V172" s="29"/>
      <c r="W172" s="28"/>
      <c r="X172" s="27"/>
    </row>
    <row r="173" spans="7:24" x14ac:dyDescent="0.25">
      <c r="G173" s="2"/>
      <c r="H173" s="2"/>
      <c r="R173" s="29">
        <v>67.751353276353271</v>
      </c>
      <c r="S173" s="28">
        <v>0.32147601090828443</v>
      </c>
      <c r="T173" s="27">
        <v>1.6843084263383545E-2</v>
      </c>
      <c r="V173" s="29"/>
      <c r="W173" s="28"/>
      <c r="X173" s="27"/>
    </row>
    <row r="174" spans="7:24" x14ac:dyDescent="0.25">
      <c r="G174" s="2"/>
      <c r="H174" s="2"/>
      <c r="R174" s="29">
        <v>61.154601226993904</v>
      </c>
      <c r="S174" s="28">
        <v>0.32445660167247975</v>
      </c>
      <c r="T174" s="27">
        <v>3.493959265139799E-2</v>
      </c>
      <c r="V174" s="29"/>
      <c r="W174" s="28"/>
      <c r="X174" s="27"/>
    </row>
    <row r="175" spans="7:24" x14ac:dyDescent="0.25">
      <c r="G175" s="2"/>
      <c r="H175" s="2"/>
      <c r="R175" s="29">
        <v>66.120187793427235</v>
      </c>
      <c r="S175" s="28">
        <v>0.32505514362339732</v>
      </c>
      <c r="T175" s="27">
        <v>3.20892468365825E-2</v>
      </c>
      <c r="V175" s="29"/>
      <c r="W175" s="28"/>
      <c r="X175" s="27"/>
    </row>
    <row r="176" spans="7:24" x14ac:dyDescent="0.25">
      <c r="G176" s="2"/>
      <c r="H176" s="2"/>
      <c r="R176" s="29">
        <v>59.077887788778867</v>
      </c>
      <c r="S176" s="28">
        <v>0.33744603336249795</v>
      </c>
      <c r="T176" s="27">
        <v>2.0389081367873121E-2</v>
      </c>
      <c r="V176" s="29"/>
      <c r="W176" s="28"/>
      <c r="X176" s="27"/>
    </row>
    <row r="177" spans="7:24" x14ac:dyDescent="0.25">
      <c r="G177" s="2"/>
      <c r="H177" s="2"/>
      <c r="R177" s="29">
        <v>64.173904761904751</v>
      </c>
      <c r="S177" s="28">
        <v>0.3411860121177423</v>
      </c>
      <c r="T177" s="27">
        <v>4.0817146876839246E-2</v>
      </c>
      <c r="V177" s="29"/>
      <c r="W177" s="28"/>
      <c r="X177" s="27"/>
    </row>
    <row r="178" spans="7:24" x14ac:dyDescent="0.25">
      <c r="G178" s="2"/>
      <c r="H178" s="2"/>
      <c r="R178" s="29">
        <v>51.921287519747246</v>
      </c>
      <c r="S178" s="28">
        <v>0.3426993288172222</v>
      </c>
      <c r="T178" s="27">
        <v>1.7077209117317055E-2</v>
      </c>
      <c r="V178" s="29"/>
      <c r="W178" s="28"/>
      <c r="X178" s="27"/>
    </row>
    <row r="179" spans="7:24" x14ac:dyDescent="0.25">
      <c r="G179" s="2"/>
      <c r="H179" s="2"/>
      <c r="R179" s="29">
        <v>56.942592592592618</v>
      </c>
      <c r="S179" s="28">
        <v>0.34382832881477315</v>
      </c>
      <c r="T179" s="27">
        <v>1.4243107919922756E-2</v>
      </c>
      <c r="V179" s="29"/>
      <c r="W179" s="28"/>
      <c r="X179" s="27"/>
    </row>
    <row r="180" spans="7:24" x14ac:dyDescent="0.25">
      <c r="G180" s="2"/>
      <c r="H180" s="2"/>
      <c r="R180" s="29">
        <v>42.553716744913906</v>
      </c>
      <c r="S180" s="28">
        <v>0.35025160734546368</v>
      </c>
      <c r="T180" s="27">
        <v>3.5213281334960857E-2</v>
      </c>
      <c r="V180" s="29"/>
      <c r="W180" s="28"/>
      <c r="X180" s="27"/>
    </row>
    <row r="181" spans="7:24" x14ac:dyDescent="0.25">
      <c r="G181" s="2"/>
      <c r="H181" s="2"/>
      <c r="R181" s="29">
        <v>62.149292452830181</v>
      </c>
      <c r="S181" s="28">
        <v>0.35409021715399919</v>
      </c>
      <c r="T181" s="27">
        <v>5.3488245999754623E-2</v>
      </c>
      <c r="V181" s="29"/>
      <c r="W181" s="28"/>
      <c r="X181" s="27"/>
    </row>
    <row r="182" spans="7:24" x14ac:dyDescent="0.25">
      <c r="G182" s="2"/>
      <c r="H182" s="2"/>
      <c r="R182" s="29">
        <v>61.154601226993904</v>
      </c>
      <c r="S182" s="28">
        <v>0.35719286977762799</v>
      </c>
      <c r="T182" s="27">
        <v>2.4432098988354533E-2</v>
      </c>
      <c r="V182" s="29"/>
      <c r="W182" s="28"/>
      <c r="X182" s="27"/>
    </row>
    <row r="183" spans="7:24" x14ac:dyDescent="0.25">
      <c r="G183" s="2"/>
      <c r="H183" s="2"/>
      <c r="R183" s="29">
        <v>55.692059748427681</v>
      </c>
      <c r="S183" s="28">
        <v>0.35822821425127876</v>
      </c>
      <c r="T183" s="27">
        <v>3.4028170322820211E-2</v>
      </c>
      <c r="V183" s="29"/>
      <c r="W183" s="28"/>
      <c r="X183" s="27"/>
    </row>
    <row r="184" spans="7:24" x14ac:dyDescent="0.25">
      <c r="G184" s="2"/>
      <c r="H184" s="2"/>
      <c r="R184" s="29">
        <v>67.751353276353271</v>
      </c>
      <c r="S184" s="28">
        <v>0.36326268464996792</v>
      </c>
      <c r="T184" s="27">
        <v>2.2236074946918125E-2</v>
      </c>
      <c r="V184" s="29"/>
      <c r="W184" s="28"/>
      <c r="X184" s="27"/>
    </row>
    <row r="185" spans="7:24" x14ac:dyDescent="0.25">
      <c r="G185" s="2"/>
      <c r="H185" s="2"/>
      <c r="R185" s="29">
        <v>48.51537558685451</v>
      </c>
      <c r="S185" s="28">
        <v>0.36360637205980428</v>
      </c>
      <c r="T185" s="27">
        <v>1.9432056999333095E-2</v>
      </c>
      <c r="V185" s="29"/>
      <c r="W185" s="28"/>
      <c r="X185" s="27"/>
    </row>
    <row r="186" spans="7:24" x14ac:dyDescent="0.25">
      <c r="G186" s="2"/>
      <c r="H186" s="2"/>
      <c r="R186" s="29">
        <v>64.84398584905658</v>
      </c>
      <c r="S186" s="28">
        <v>0.36444056845079026</v>
      </c>
      <c r="T186" s="27">
        <v>0.12479557388558855</v>
      </c>
      <c r="V186" s="29"/>
      <c r="W186" s="28"/>
      <c r="X186" s="27"/>
    </row>
    <row r="187" spans="7:24" x14ac:dyDescent="0.25">
      <c r="G187" s="2"/>
      <c r="H187" s="2"/>
      <c r="R187" s="29">
        <v>59.980829420970281</v>
      </c>
      <c r="S187" s="28">
        <v>0.36649291219377955</v>
      </c>
      <c r="T187" s="27">
        <v>2.7064655763846732E-2</v>
      </c>
      <c r="V187" s="29"/>
      <c r="W187" s="28"/>
      <c r="X187" s="27"/>
    </row>
    <row r="188" spans="7:24" x14ac:dyDescent="0.25">
      <c r="G188" s="2"/>
      <c r="H188" s="2"/>
      <c r="R188" s="29">
        <v>71.99595352564107</v>
      </c>
      <c r="S188" s="28">
        <v>0.36896221720323075</v>
      </c>
      <c r="T188" s="27">
        <v>0.12749227274584113</v>
      </c>
      <c r="V188" s="29"/>
      <c r="W188" s="28"/>
      <c r="X188" s="27"/>
    </row>
    <row r="189" spans="7:24" x14ac:dyDescent="0.25">
      <c r="G189" s="2"/>
      <c r="H189" s="2"/>
      <c r="R189" s="29">
        <v>66.120187793427235</v>
      </c>
      <c r="S189" s="28">
        <v>0.3698676223562648</v>
      </c>
      <c r="T189" s="27">
        <v>2.3023721361131545E-2</v>
      </c>
      <c r="V189" s="29"/>
      <c r="W189" s="28"/>
      <c r="X189" s="27"/>
    </row>
    <row r="190" spans="7:24" x14ac:dyDescent="0.25">
      <c r="G190" s="2"/>
      <c r="H190" s="2"/>
      <c r="R190" s="29">
        <v>51.632550860719867</v>
      </c>
      <c r="S190" s="28">
        <v>0.37603898262821051</v>
      </c>
      <c r="T190" s="27">
        <v>3.1722633599996344E-2</v>
      </c>
      <c r="V190" s="29"/>
      <c r="W190" s="28"/>
      <c r="X190" s="27"/>
    </row>
    <row r="191" spans="7:24" x14ac:dyDescent="0.25">
      <c r="G191" s="2"/>
      <c r="H191" s="2"/>
      <c r="R191" s="29">
        <v>62.400681818181816</v>
      </c>
      <c r="S191" s="28">
        <v>0.37737745632470227</v>
      </c>
      <c r="T191" s="27">
        <v>6.4509278529469805E-2</v>
      </c>
      <c r="V191" s="29"/>
      <c r="W191" s="28"/>
      <c r="X191" s="27"/>
    </row>
    <row r="192" spans="7:24" x14ac:dyDescent="0.25">
      <c r="G192" s="2"/>
      <c r="H192" s="2"/>
      <c r="R192" s="29">
        <v>65.071507936507928</v>
      </c>
      <c r="S192" s="28">
        <v>0.37901177167317757</v>
      </c>
      <c r="T192" s="27">
        <v>2.8337334636985959E-2</v>
      </c>
      <c r="V192" s="29"/>
      <c r="W192" s="28"/>
      <c r="X192" s="27"/>
    </row>
    <row r="193" spans="7:24" x14ac:dyDescent="0.25">
      <c r="G193" s="2"/>
      <c r="H193" s="2"/>
      <c r="R193" s="29">
        <v>51.632550860719867</v>
      </c>
      <c r="S193" s="28">
        <v>0.38017746076139591</v>
      </c>
      <c r="T193" s="27">
        <v>3.7719298245614249E-2</v>
      </c>
      <c r="V193" s="29"/>
      <c r="W193" s="28"/>
      <c r="X193" s="27"/>
    </row>
    <row r="194" spans="7:24" x14ac:dyDescent="0.25">
      <c r="G194" s="2"/>
      <c r="H194" s="2"/>
      <c r="R194" s="29">
        <v>58.93384351256573</v>
      </c>
      <c r="S194" s="28">
        <v>0.38054776288834669</v>
      </c>
      <c r="T194" s="27">
        <v>3.4355517825398682E-2</v>
      </c>
      <c r="V194" s="29"/>
      <c r="W194" s="28"/>
      <c r="X194" s="27"/>
    </row>
    <row r="195" spans="7:24" x14ac:dyDescent="0.25">
      <c r="G195" s="2"/>
      <c r="H195" s="2"/>
      <c r="R195" s="29">
        <v>48.51537558685451</v>
      </c>
      <c r="S195" s="28">
        <v>0.38857874773084194</v>
      </c>
      <c r="T195" s="27">
        <v>3.0961087276040019E-2</v>
      </c>
      <c r="V195" s="29"/>
      <c r="W195" s="28"/>
      <c r="X195" s="27"/>
    </row>
    <row r="196" spans="7:24" x14ac:dyDescent="0.25">
      <c r="G196" s="2"/>
      <c r="H196" s="2"/>
      <c r="R196" s="29">
        <v>59.290669856459331</v>
      </c>
      <c r="S196" s="28">
        <v>0.39067748289446402</v>
      </c>
      <c r="T196" s="27">
        <v>6.6439532581303098E-2</v>
      </c>
      <c r="V196" s="29"/>
      <c r="W196" s="28"/>
      <c r="X196" s="27"/>
    </row>
    <row r="197" spans="7:24" x14ac:dyDescent="0.25">
      <c r="G197" s="2"/>
      <c r="H197" s="2"/>
      <c r="R197" s="29">
        <v>61.154601226993904</v>
      </c>
      <c r="S197" s="28">
        <v>0.39892722520721396</v>
      </c>
      <c r="T197" s="27">
        <v>3.3725972754913611E-2</v>
      </c>
      <c r="V197" s="29"/>
      <c r="W197" s="28"/>
      <c r="X197" s="27"/>
    </row>
    <row r="198" spans="7:24" x14ac:dyDescent="0.25">
      <c r="G198" s="2"/>
      <c r="H198" s="2"/>
      <c r="R198" s="29">
        <v>49.226236263736283</v>
      </c>
      <c r="S198" s="28">
        <v>0.40082138918872967</v>
      </c>
      <c r="T198" s="27">
        <v>1.2839027157912963E-2</v>
      </c>
      <c r="V198" s="29"/>
      <c r="W198" s="28"/>
      <c r="X198" s="27"/>
    </row>
    <row r="199" spans="7:24" x14ac:dyDescent="0.25">
      <c r="G199" s="2"/>
      <c r="H199" s="2"/>
      <c r="R199" s="29">
        <v>51.921287519747246</v>
      </c>
      <c r="S199" s="28">
        <v>0.40768269109551625</v>
      </c>
      <c r="T199" s="27">
        <v>2.7823548305388031E-2</v>
      </c>
      <c r="V199" s="29"/>
      <c r="W199" s="28"/>
      <c r="X199" s="27"/>
    </row>
    <row r="200" spans="7:24" x14ac:dyDescent="0.25">
      <c r="G200" s="2"/>
      <c r="H200" s="2"/>
      <c r="R200" s="29">
        <v>59.290669856459331</v>
      </c>
      <c r="S200" s="28">
        <v>0.40807571495050343</v>
      </c>
      <c r="T200" s="27">
        <v>2.6454709514491657E-2</v>
      </c>
      <c r="V200" s="29"/>
      <c r="W200" s="28"/>
      <c r="X200" s="27"/>
    </row>
    <row r="201" spans="7:24" x14ac:dyDescent="0.25">
      <c r="G201" s="2"/>
      <c r="H201" s="2"/>
      <c r="R201" s="29">
        <v>59.980829420970281</v>
      </c>
      <c r="S201" s="28">
        <v>0.40891921944097825</v>
      </c>
      <c r="T201" s="27">
        <v>3.4694611785296148E-2</v>
      </c>
      <c r="V201" s="29"/>
      <c r="W201" s="28"/>
      <c r="X201" s="27"/>
    </row>
    <row r="202" spans="7:24" x14ac:dyDescent="0.25">
      <c r="G202" s="2"/>
      <c r="H202" s="2"/>
      <c r="R202" s="29">
        <v>56.942592592592618</v>
      </c>
      <c r="S202" s="28">
        <v>0.40917958731513493</v>
      </c>
      <c r="T202" s="27">
        <v>1.9564054731901728E-2</v>
      </c>
      <c r="V202" s="29"/>
      <c r="W202" s="28"/>
      <c r="X202" s="27"/>
    </row>
    <row r="203" spans="7:24" x14ac:dyDescent="0.25">
      <c r="G203" s="2"/>
      <c r="H203" s="2"/>
      <c r="R203" s="29">
        <v>51.632550860719867</v>
      </c>
      <c r="S203" s="28">
        <v>0.40961964743455059</v>
      </c>
      <c r="T203" s="27">
        <v>3.7058550053172934E-2</v>
      </c>
      <c r="V203" s="29"/>
      <c r="W203" s="28"/>
      <c r="X203" s="27"/>
    </row>
    <row r="204" spans="7:24" x14ac:dyDescent="0.25">
      <c r="G204" s="2"/>
      <c r="H204" s="2"/>
      <c r="R204" s="29">
        <v>62.149292452830181</v>
      </c>
      <c r="S204" s="28">
        <v>0.41798701799427579</v>
      </c>
      <c r="T204" s="27">
        <v>5.1250860562262829E-2</v>
      </c>
      <c r="V204" s="29"/>
      <c r="W204" s="28"/>
      <c r="X204" s="27"/>
    </row>
    <row r="205" spans="7:24" x14ac:dyDescent="0.25">
      <c r="G205" s="2"/>
      <c r="H205" s="2"/>
      <c r="R205" s="29">
        <v>57.46417851500788</v>
      </c>
      <c r="S205" s="28">
        <v>0.41815048523470366</v>
      </c>
      <c r="T205" s="27">
        <v>7.9574040262150023E-2</v>
      </c>
      <c r="V205" s="29"/>
      <c r="W205" s="28"/>
      <c r="X205" s="27"/>
    </row>
    <row r="206" spans="7:24" x14ac:dyDescent="0.25">
      <c r="G206" s="2"/>
      <c r="H206" s="2"/>
      <c r="R206" s="29">
        <v>48.51537558685451</v>
      </c>
      <c r="S206" s="28">
        <v>0.42166034384861423</v>
      </c>
      <c r="T206" s="27">
        <v>2.6578698452773598E-2</v>
      </c>
      <c r="V206" s="29"/>
      <c r="W206" s="28"/>
      <c r="X206" s="27"/>
    </row>
    <row r="207" spans="7:24" x14ac:dyDescent="0.25">
      <c r="G207" s="2"/>
      <c r="H207" s="2"/>
      <c r="R207" s="29">
        <v>65.071507936507928</v>
      </c>
      <c r="S207" s="28">
        <v>0.42723478799848724</v>
      </c>
      <c r="T207" s="27">
        <v>2.5888068751300501E-2</v>
      </c>
      <c r="V207" s="29"/>
      <c r="W207" s="28"/>
      <c r="X207" s="27"/>
    </row>
    <row r="208" spans="7:24" x14ac:dyDescent="0.25">
      <c r="R208" s="29">
        <v>57.46417851500788</v>
      </c>
      <c r="S208" s="28">
        <v>0.4277248148767937</v>
      </c>
      <c r="T208" s="27">
        <v>2.1716233359142495E-2</v>
      </c>
      <c r="V208" s="29"/>
      <c r="W208" s="28"/>
      <c r="X208" s="27"/>
    </row>
    <row r="209" spans="18:24" x14ac:dyDescent="0.25">
      <c r="R209" s="29">
        <v>59.290669856459331</v>
      </c>
      <c r="S209" s="28">
        <v>0.42787254737899005</v>
      </c>
      <c r="T209" s="27">
        <v>3.5010267929152683E-2</v>
      </c>
      <c r="V209" s="29"/>
      <c r="W209" s="28"/>
      <c r="X209" s="27"/>
    </row>
    <row r="210" spans="18:24" x14ac:dyDescent="0.25">
      <c r="R210" s="29">
        <v>64.84398584905658</v>
      </c>
      <c r="S210" s="28">
        <v>0.42825017137369142</v>
      </c>
      <c r="T210" s="27">
        <v>0.12625972095527083</v>
      </c>
      <c r="V210" s="29"/>
      <c r="W210" s="28"/>
      <c r="X210" s="27"/>
    </row>
    <row r="211" spans="18:24" x14ac:dyDescent="0.25">
      <c r="R211" s="29">
        <v>59.290669856459331</v>
      </c>
      <c r="S211" s="28">
        <v>0.42856324711566496</v>
      </c>
      <c r="T211" s="27">
        <v>3.2842960287189714E-2</v>
      </c>
      <c r="V211" s="29"/>
      <c r="W211" s="28"/>
      <c r="X211" s="27"/>
    </row>
    <row r="212" spans="18:24" x14ac:dyDescent="0.25">
      <c r="R212" s="29">
        <v>56.942592592592618</v>
      </c>
      <c r="S212" s="28">
        <v>0.42888281034957343</v>
      </c>
      <c r="T212" s="27">
        <v>9.9609609250013928E-3</v>
      </c>
      <c r="V212" s="29"/>
      <c r="W212" s="28"/>
      <c r="X212" s="27"/>
    </row>
    <row r="213" spans="18:24" x14ac:dyDescent="0.25">
      <c r="R213" s="29">
        <v>62.400681818181816</v>
      </c>
      <c r="S213" s="28">
        <v>0.43115795789665756</v>
      </c>
      <c r="T213" s="27">
        <v>2.5666241646546312E-2</v>
      </c>
      <c r="V213" s="29"/>
      <c r="W213" s="28"/>
      <c r="X213" s="27"/>
    </row>
    <row r="214" spans="18:24" x14ac:dyDescent="0.25">
      <c r="R214" s="29">
        <v>59.290669856459331</v>
      </c>
      <c r="S214" s="28">
        <v>0.43827237898061988</v>
      </c>
      <c r="T214" s="27">
        <v>2.5432393667596941E-2</v>
      </c>
      <c r="V214" s="29"/>
      <c r="W214" s="28"/>
      <c r="X214" s="27"/>
    </row>
    <row r="215" spans="18:24" x14ac:dyDescent="0.25">
      <c r="R215" s="29">
        <v>58.93384351256573</v>
      </c>
      <c r="S215" s="28">
        <v>0.43861028658716533</v>
      </c>
      <c r="T215" s="27">
        <v>5.9716470515998335E-2</v>
      </c>
      <c r="V215" s="29"/>
      <c r="W215" s="28"/>
      <c r="X215" s="27"/>
    </row>
    <row r="216" spans="18:24" x14ac:dyDescent="0.25">
      <c r="R216" s="29">
        <v>59.290669856459331</v>
      </c>
      <c r="S216" s="28">
        <v>0.44421856043174496</v>
      </c>
      <c r="T216" s="27">
        <v>1.9085018871988393E-2</v>
      </c>
      <c r="V216" s="29"/>
      <c r="W216" s="28"/>
      <c r="X216" s="27"/>
    </row>
    <row r="217" spans="18:24" x14ac:dyDescent="0.25">
      <c r="R217" s="29">
        <v>56.942592592592618</v>
      </c>
      <c r="S217" s="28">
        <v>0.44457232314891287</v>
      </c>
      <c r="T217" s="27">
        <v>1.8238226829268601E-2</v>
      </c>
      <c r="V217" s="29"/>
      <c r="W217" s="28"/>
      <c r="X217" s="27"/>
    </row>
    <row r="218" spans="18:24" x14ac:dyDescent="0.25">
      <c r="R218" s="29">
        <v>59.077887788778867</v>
      </c>
      <c r="S218" s="28">
        <v>0.44649840706614008</v>
      </c>
      <c r="T218" s="27">
        <v>2.5665177137183293E-2</v>
      </c>
      <c r="V218" s="29"/>
      <c r="W218" s="28"/>
      <c r="X218" s="27"/>
    </row>
    <row r="219" spans="18:24" x14ac:dyDescent="0.25">
      <c r="R219" s="29">
        <v>57.46417851500788</v>
      </c>
      <c r="S219" s="28">
        <v>0.44705608900281552</v>
      </c>
      <c r="T219" s="27">
        <v>4.0056621983287501E-2</v>
      </c>
      <c r="V219" s="29"/>
      <c r="W219" s="28"/>
      <c r="X219" s="27"/>
    </row>
    <row r="220" spans="18:24" x14ac:dyDescent="0.25">
      <c r="R220" s="29">
        <v>67.751353276353271</v>
      </c>
      <c r="S220" s="28">
        <v>0.44733519130195465</v>
      </c>
      <c r="T220" s="27">
        <v>4.5877059789216537E-2</v>
      </c>
      <c r="V220" s="29"/>
      <c r="W220" s="28"/>
      <c r="X220" s="27"/>
    </row>
    <row r="221" spans="18:24" x14ac:dyDescent="0.25">
      <c r="R221" s="29">
        <v>62.400681818181816</v>
      </c>
      <c r="S221" s="28">
        <v>0.45006480281429384</v>
      </c>
      <c r="T221" s="27">
        <v>1.9679202717108133E-2</v>
      </c>
      <c r="V221" s="29"/>
      <c r="W221" s="28"/>
      <c r="X221" s="27"/>
    </row>
    <row r="222" spans="18:24" x14ac:dyDescent="0.25">
      <c r="R222" s="29">
        <v>59.077887788778867</v>
      </c>
      <c r="S222" s="28">
        <v>0.4510635082549394</v>
      </c>
      <c r="T222" s="27">
        <v>2.351856235451931E-2</v>
      </c>
      <c r="V222" s="29"/>
      <c r="W222" s="28"/>
      <c r="X222" s="27"/>
    </row>
    <row r="223" spans="18:24" x14ac:dyDescent="0.25">
      <c r="R223" s="29">
        <v>48.51537558685451</v>
      </c>
      <c r="S223" s="28">
        <v>0.46224585299317278</v>
      </c>
      <c r="T223" s="27">
        <v>1.39236273271875E-2</v>
      </c>
      <c r="V223" s="29"/>
      <c r="W223" s="28"/>
      <c r="X223" s="27"/>
    </row>
    <row r="224" spans="18:24" x14ac:dyDescent="0.25">
      <c r="R224" s="29">
        <v>66.120187793427235</v>
      </c>
      <c r="S224" s="28">
        <v>0.46261981507686295</v>
      </c>
      <c r="T224" s="27">
        <v>2.8843851441986489E-2</v>
      </c>
      <c r="V224" s="29"/>
      <c r="W224" s="28"/>
      <c r="X224" s="27"/>
    </row>
    <row r="225" spans="18:24" x14ac:dyDescent="0.25">
      <c r="R225" s="29">
        <v>56.942592592592618</v>
      </c>
      <c r="S225" s="28">
        <v>0.46296621249655939</v>
      </c>
      <c r="T225" s="27">
        <v>1.5089733107690321E-2</v>
      </c>
      <c r="V225" s="29"/>
      <c r="W225" s="28"/>
      <c r="X225" s="27"/>
    </row>
    <row r="226" spans="18:24" x14ac:dyDescent="0.25">
      <c r="R226" s="29">
        <v>42.553716744913906</v>
      </c>
      <c r="S226" s="28">
        <v>0.46546402780096846</v>
      </c>
      <c r="T226" s="27">
        <v>3.6270349110342791E-2</v>
      </c>
      <c r="V226" s="29"/>
      <c r="W226" s="28"/>
      <c r="X226" s="27"/>
    </row>
    <row r="227" spans="18:24" x14ac:dyDescent="0.25">
      <c r="R227" s="29">
        <v>56.942592592592618</v>
      </c>
      <c r="S227" s="28">
        <v>0.469122986381451</v>
      </c>
      <c r="T227" s="27">
        <v>1.0419271726930296E-2</v>
      </c>
      <c r="V227" s="29"/>
      <c r="W227" s="28"/>
      <c r="X227" s="27"/>
    </row>
    <row r="228" spans="18:24" x14ac:dyDescent="0.25">
      <c r="R228" s="29">
        <v>57.46417851500788</v>
      </c>
      <c r="S228" s="28">
        <v>0.47125492432096205</v>
      </c>
      <c r="T228" s="27">
        <v>2.9535966313227555E-2</v>
      </c>
      <c r="V228" s="29"/>
      <c r="W228" s="28"/>
      <c r="X228" s="27"/>
    </row>
    <row r="229" spans="18:24" x14ac:dyDescent="0.25">
      <c r="R229" s="29">
        <v>59.980829420970281</v>
      </c>
      <c r="S229" s="28">
        <v>0.47470594041136172</v>
      </c>
      <c r="T229" s="27">
        <v>3.0070029423486539E-2</v>
      </c>
      <c r="V229" s="29"/>
      <c r="W229" s="28"/>
      <c r="X229" s="27"/>
    </row>
    <row r="230" spans="18:24" x14ac:dyDescent="0.25">
      <c r="R230" s="29">
        <v>59.290669856459331</v>
      </c>
      <c r="S230" s="28">
        <v>0.47718106530541915</v>
      </c>
      <c r="T230" s="27">
        <v>3.5548921115281171E-2</v>
      </c>
      <c r="V230" s="29"/>
      <c r="W230" s="28"/>
      <c r="X230" s="27"/>
    </row>
    <row r="231" spans="18:24" x14ac:dyDescent="0.25">
      <c r="R231" s="29">
        <v>64.84398584905658</v>
      </c>
      <c r="S231" s="28">
        <v>0.48015603294452069</v>
      </c>
      <c r="T231" s="27">
        <v>9.0441195072357719E-2</v>
      </c>
      <c r="V231" s="29"/>
      <c r="W231" s="28"/>
      <c r="X231" s="27"/>
    </row>
    <row r="232" spans="18:24" x14ac:dyDescent="0.25">
      <c r="R232" s="29">
        <v>57.46417851500788</v>
      </c>
      <c r="S232" s="28">
        <v>0.4809668224892123</v>
      </c>
      <c r="T232" s="27">
        <v>2.4345761084603703E-2</v>
      </c>
      <c r="V232" s="29"/>
      <c r="W232" s="28"/>
      <c r="X232" s="27"/>
    </row>
    <row r="233" spans="18:24" x14ac:dyDescent="0.25">
      <c r="R233" s="29">
        <v>57.46417851500788</v>
      </c>
      <c r="S233" s="28">
        <v>0.48305644826871241</v>
      </c>
      <c r="T233" s="27">
        <v>2.64159585864648E-2</v>
      </c>
      <c r="V233" s="29"/>
      <c r="W233" s="28"/>
      <c r="X233" s="27"/>
    </row>
    <row r="234" spans="18:24" x14ac:dyDescent="0.25">
      <c r="R234" s="29">
        <v>48.51537558685451</v>
      </c>
      <c r="S234" s="28">
        <v>0.48537866801641882</v>
      </c>
      <c r="T234" s="27">
        <v>1.5116270470424057E-2</v>
      </c>
      <c r="V234" s="29"/>
      <c r="W234" s="28"/>
      <c r="X234" s="27"/>
    </row>
    <row r="235" spans="18:24" x14ac:dyDescent="0.25">
      <c r="R235" s="29">
        <v>49.226236263736283</v>
      </c>
      <c r="S235" s="28">
        <v>0.48710944881981055</v>
      </c>
      <c r="T235" s="27">
        <v>1.4240381870702866E-2</v>
      </c>
      <c r="V235" s="29"/>
      <c r="W235" s="28"/>
      <c r="X235" s="27"/>
    </row>
    <row r="236" spans="18:24" x14ac:dyDescent="0.25">
      <c r="R236" s="29">
        <v>51.632550860719867</v>
      </c>
      <c r="S236" s="28">
        <v>0.48831297638385607</v>
      </c>
      <c r="T236" s="27">
        <v>6.3653563655784826E-2</v>
      </c>
      <c r="V236" s="29"/>
      <c r="W236" s="28"/>
      <c r="X236" s="27"/>
    </row>
    <row r="237" spans="18:24" x14ac:dyDescent="0.25">
      <c r="R237" s="29">
        <v>59.077887788778867</v>
      </c>
      <c r="S237" s="28">
        <v>0.48954768309200852</v>
      </c>
      <c r="T237" s="27">
        <v>4.6622383757362988E-2</v>
      </c>
      <c r="V237" s="29"/>
      <c r="W237" s="28"/>
      <c r="X237" s="27"/>
    </row>
    <row r="238" spans="18:24" x14ac:dyDescent="0.25">
      <c r="R238" s="29">
        <v>42.553716744913906</v>
      </c>
      <c r="S238" s="28">
        <v>0.4902946035242291</v>
      </c>
      <c r="T238" s="27">
        <v>3.6407229618007964E-2</v>
      </c>
      <c r="V238" s="29"/>
      <c r="W238" s="28"/>
      <c r="X238" s="27"/>
    </row>
    <row r="239" spans="18:24" x14ac:dyDescent="0.25">
      <c r="R239" s="29">
        <v>56.942592592592618</v>
      </c>
      <c r="S239" s="28">
        <v>0.49075403717048155</v>
      </c>
      <c r="T239" s="27">
        <v>1.4211460265338604E-2</v>
      </c>
      <c r="V239" s="29"/>
      <c r="W239" s="28"/>
      <c r="X239" s="27"/>
    </row>
    <row r="240" spans="18:24" x14ac:dyDescent="0.25">
      <c r="R240" s="29">
        <v>48.51537558685451</v>
      </c>
      <c r="S240" s="28">
        <v>0.49239168368928293</v>
      </c>
      <c r="T240" s="27">
        <v>1.4386985759125641E-2</v>
      </c>
      <c r="V240" s="29"/>
      <c r="W240" s="28"/>
      <c r="X240" s="27"/>
    </row>
    <row r="241" spans="18:24" x14ac:dyDescent="0.25">
      <c r="R241" s="29">
        <v>48.51537558685451</v>
      </c>
      <c r="S241" s="28">
        <v>0.4941001435881463</v>
      </c>
      <c r="T241" s="27">
        <v>5.2474073705574532E-2</v>
      </c>
      <c r="V241" s="29"/>
      <c r="W241" s="28"/>
      <c r="X241" s="27"/>
    </row>
    <row r="242" spans="18:24" x14ac:dyDescent="0.25">
      <c r="R242" s="29">
        <v>42.553716744913906</v>
      </c>
      <c r="S242" s="28">
        <v>0.50236636971046766</v>
      </c>
      <c r="T242" s="27">
        <v>3.9806091959880788E-2</v>
      </c>
      <c r="V242" s="29"/>
      <c r="W242" s="28"/>
      <c r="X242" s="27"/>
    </row>
    <row r="243" spans="18:24" x14ac:dyDescent="0.25">
      <c r="R243" s="29">
        <v>51.632550860719867</v>
      </c>
      <c r="S243" s="28">
        <v>0.50407051146459092</v>
      </c>
      <c r="T243" s="27">
        <v>2.6365969930326912E-2</v>
      </c>
      <c r="V243" s="29"/>
      <c r="W243" s="28"/>
      <c r="X243" s="27"/>
    </row>
    <row r="244" spans="18:24" x14ac:dyDescent="0.25">
      <c r="R244" s="29">
        <v>64.173904761904751</v>
      </c>
      <c r="S244" s="28">
        <v>0.50419032170857003</v>
      </c>
      <c r="T244" s="27">
        <v>3.113363195950156E-2</v>
      </c>
      <c r="V244" s="29"/>
      <c r="W244" s="28"/>
      <c r="X244" s="27"/>
    </row>
    <row r="245" spans="18:24" x14ac:dyDescent="0.25">
      <c r="R245" s="29">
        <v>71.99595352564107</v>
      </c>
      <c r="S245" s="28">
        <v>0.50692921721823436</v>
      </c>
      <c r="T245" s="27">
        <v>0.14466549248507116</v>
      </c>
      <c r="V245" s="29"/>
      <c r="W245" s="28"/>
      <c r="X245" s="27"/>
    </row>
    <row r="246" spans="18:24" x14ac:dyDescent="0.25">
      <c r="R246" s="29">
        <v>59.290669856459331</v>
      </c>
      <c r="S246" s="28">
        <v>0.51153009780162717</v>
      </c>
      <c r="T246" s="27">
        <v>2.7576110566258673E-2</v>
      </c>
      <c r="V246" s="29"/>
      <c r="W246" s="28"/>
      <c r="X246" s="27"/>
    </row>
    <row r="247" spans="18:24" x14ac:dyDescent="0.25">
      <c r="R247" s="29">
        <v>64.173904761904751</v>
      </c>
      <c r="S247" s="28">
        <v>0.51271644136034777</v>
      </c>
      <c r="T247" s="27">
        <v>2.7514220979991569E-2</v>
      </c>
      <c r="V247" s="29"/>
      <c r="W247" s="28"/>
      <c r="X247" s="27"/>
    </row>
    <row r="248" spans="18:24" x14ac:dyDescent="0.25">
      <c r="R248" s="29">
        <v>64.173904761904751</v>
      </c>
      <c r="S248" s="28">
        <v>0.51355678918434811</v>
      </c>
      <c r="T248" s="27">
        <v>3.0074549670055798E-2</v>
      </c>
      <c r="V248" s="29"/>
      <c r="W248" s="28"/>
      <c r="X248" s="27"/>
    </row>
    <row r="249" spans="18:24" x14ac:dyDescent="0.25">
      <c r="R249" s="29">
        <v>48.51537558685451</v>
      </c>
      <c r="S249" s="28">
        <v>0.5139980582429059</v>
      </c>
      <c r="T249" s="27">
        <v>1.6936749860785638E-2</v>
      </c>
      <c r="V249" s="29"/>
      <c r="W249" s="28"/>
      <c r="X249" s="27"/>
    </row>
    <row r="250" spans="18:24" x14ac:dyDescent="0.25">
      <c r="R250" s="29">
        <v>59.290669856459331</v>
      </c>
      <c r="S250" s="28">
        <v>0.51405675859791089</v>
      </c>
      <c r="T250" s="27">
        <v>6.4835835082772436E-2</v>
      </c>
      <c r="V250" s="29"/>
      <c r="W250" s="28"/>
      <c r="X250" s="27"/>
    </row>
    <row r="251" spans="18:24" x14ac:dyDescent="0.25">
      <c r="R251" s="29">
        <v>55.692059748427681</v>
      </c>
      <c r="S251" s="28">
        <v>0.51603067454328411</v>
      </c>
      <c r="T251" s="27">
        <v>3.0899264978546809E-2</v>
      </c>
      <c r="V251" s="29"/>
      <c r="W251" s="28"/>
      <c r="X251" s="27"/>
    </row>
    <row r="252" spans="18:24" x14ac:dyDescent="0.25">
      <c r="R252" s="29">
        <v>51.921287519747246</v>
      </c>
      <c r="S252" s="28">
        <v>0.5165146403432046</v>
      </c>
      <c r="T252" s="27">
        <v>3.6384201654713608E-2</v>
      </c>
      <c r="V252" s="29"/>
      <c r="W252" s="28"/>
      <c r="X252" s="27"/>
    </row>
    <row r="253" spans="18:24" x14ac:dyDescent="0.25">
      <c r="R253" s="29">
        <v>66.120187793427235</v>
      </c>
      <c r="S253" s="28">
        <v>0.51665617162195465</v>
      </c>
      <c r="T253" s="27">
        <v>2.9174408615651914E-2</v>
      </c>
      <c r="V253" s="29"/>
      <c r="W253" s="28"/>
      <c r="X253" s="27"/>
    </row>
    <row r="254" spans="18:24" x14ac:dyDescent="0.25">
      <c r="R254" s="29">
        <v>71.99595352564107</v>
      </c>
      <c r="S254" s="28">
        <v>0.51667434746160701</v>
      </c>
      <c r="T254" s="27">
        <v>0.13931398142742901</v>
      </c>
      <c r="V254" s="29"/>
      <c r="W254" s="28"/>
      <c r="X254" s="27"/>
    </row>
    <row r="255" spans="18:24" x14ac:dyDescent="0.25">
      <c r="R255" s="29">
        <v>64.173904761904751</v>
      </c>
      <c r="S255" s="28">
        <v>0.51687983119092173</v>
      </c>
      <c r="T255" s="27">
        <v>3.3340398304862476E-2</v>
      </c>
      <c r="V255" s="29"/>
      <c r="W255" s="28"/>
      <c r="X255" s="27"/>
    </row>
    <row r="256" spans="18:24" x14ac:dyDescent="0.25">
      <c r="R256" s="29">
        <v>64.173904761904751</v>
      </c>
      <c r="S256" s="28">
        <v>0.51690778369610468</v>
      </c>
      <c r="T256" s="27">
        <v>2.6057730429991884E-2</v>
      </c>
      <c r="V256" s="29"/>
      <c r="W256" s="28"/>
      <c r="X256" s="27"/>
    </row>
    <row r="257" spans="18:24" x14ac:dyDescent="0.25">
      <c r="R257" s="29">
        <v>56.942592592592618</v>
      </c>
      <c r="S257" s="28">
        <v>0.52086826711104195</v>
      </c>
      <c r="T257" s="27">
        <v>1.2420490664065401E-2</v>
      </c>
      <c r="V257" s="29"/>
      <c r="W257" s="28"/>
      <c r="X257" s="27"/>
    </row>
    <row r="258" spans="18:24" x14ac:dyDescent="0.25">
      <c r="R258" s="29">
        <v>71.99595352564107</v>
      </c>
      <c r="S258" s="28">
        <v>0.52117008232615203</v>
      </c>
      <c r="T258" s="27">
        <v>0.13143400430405114</v>
      </c>
      <c r="V258" s="29"/>
      <c r="W258" s="28"/>
      <c r="X258" s="27"/>
    </row>
    <row r="259" spans="18:24" x14ac:dyDescent="0.25">
      <c r="R259" s="29">
        <v>64.173904761904751</v>
      </c>
      <c r="S259" s="28">
        <v>0.52215442085252384</v>
      </c>
      <c r="T259" s="27">
        <v>3.2745660368492878E-2</v>
      </c>
      <c r="V259" s="29"/>
      <c r="W259" s="28"/>
      <c r="X259" s="27"/>
    </row>
    <row r="260" spans="18:24" x14ac:dyDescent="0.25">
      <c r="R260" s="29">
        <v>71.99595352564107</v>
      </c>
      <c r="S260" s="28">
        <v>0.52274899124739727</v>
      </c>
      <c r="T260" s="27">
        <v>0.11075001129893002</v>
      </c>
      <c r="V260" s="29"/>
      <c r="W260" s="28"/>
      <c r="X260" s="27"/>
    </row>
    <row r="261" spans="18:24" x14ac:dyDescent="0.25">
      <c r="R261" s="29">
        <v>56.942592592592618</v>
      </c>
      <c r="S261" s="28">
        <v>0.52284345320306247</v>
      </c>
      <c r="T261" s="27">
        <v>5.2864609042417979E-2</v>
      </c>
      <c r="V261" s="29"/>
      <c r="W261" s="28"/>
      <c r="X261" s="27"/>
    </row>
    <row r="262" spans="18:24" x14ac:dyDescent="0.25">
      <c r="R262" s="29">
        <v>65.071507936507928</v>
      </c>
      <c r="S262" s="28">
        <v>0.52410814694489571</v>
      </c>
      <c r="T262" s="27">
        <v>7.0156530372339709E-2</v>
      </c>
      <c r="V262" s="29"/>
      <c r="W262" s="28"/>
      <c r="X262" s="27"/>
    </row>
    <row r="263" spans="18:24" x14ac:dyDescent="0.25">
      <c r="R263" s="29">
        <v>71.99595352564107</v>
      </c>
      <c r="S263" s="28">
        <v>0.52452418940008239</v>
      </c>
      <c r="T263" s="27">
        <v>0.11582962702663623</v>
      </c>
      <c r="V263" s="29"/>
      <c r="W263" s="28"/>
      <c r="X263" s="27"/>
    </row>
    <row r="264" spans="18:24" x14ac:dyDescent="0.25">
      <c r="R264" s="29">
        <v>62.400681818181816</v>
      </c>
      <c r="S264" s="28">
        <v>0.52577300499907442</v>
      </c>
      <c r="T264" s="27">
        <v>6.8127718093164105E-2</v>
      </c>
      <c r="V264" s="29"/>
      <c r="W264" s="28"/>
      <c r="X264" s="27"/>
    </row>
    <row r="265" spans="18:24" x14ac:dyDescent="0.25">
      <c r="R265" s="29">
        <v>57.46417851500788</v>
      </c>
      <c r="S265" s="28">
        <v>0.52729205796977718</v>
      </c>
      <c r="T265" s="27">
        <v>2.4370525644797421E-2</v>
      </c>
      <c r="V265" s="29"/>
      <c r="W265" s="28"/>
      <c r="X265" s="27"/>
    </row>
    <row r="266" spans="18:24" x14ac:dyDescent="0.25">
      <c r="R266" s="29">
        <v>62.149292452830181</v>
      </c>
      <c r="S266" s="28">
        <v>0.52932775237572871</v>
      </c>
      <c r="T266" s="27">
        <v>5.144107643015268E-2</v>
      </c>
      <c r="V266" s="29"/>
      <c r="W266" s="28"/>
      <c r="X266" s="27"/>
    </row>
    <row r="267" spans="18:24" x14ac:dyDescent="0.25">
      <c r="R267" s="29">
        <v>58.93384351256573</v>
      </c>
      <c r="S267" s="28">
        <v>0.53185900082576354</v>
      </c>
      <c r="T267" s="27">
        <v>6.4038513615362322E-2</v>
      </c>
      <c r="V267" s="29"/>
      <c r="W267" s="28"/>
      <c r="X267" s="27"/>
    </row>
    <row r="268" spans="18:24" x14ac:dyDescent="0.25">
      <c r="R268" s="29">
        <v>71.99595352564107</v>
      </c>
      <c r="S268" s="28">
        <v>0.53514587276416525</v>
      </c>
      <c r="T268" s="27">
        <v>0.11919979924479449</v>
      </c>
      <c r="V268" s="29"/>
      <c r="W268" s="28"/>
      <c r="X268" s="27"/>
    </row>
    <row r="269" spans="18:24" x14ac:dyDescent="0.25">
      <c r="R269" s="29">
        <v>51.632550860719867</v>
      </c>
      <c r="S269" s="28">
        <v>0.53675403397933918</v>
      </c>
      <c r="T269" s="27">
        <v>2.7018502104144901E-2</v>
      </c>
      <c r="V269" s="29"/>
      <c r="W269" s="28"/>
      <c r="X269" s="27"/>
    </row>
    <row r="270" spans="18:24" x14ac:dyDescent="0.25">
      <c r="R270" s="29">
        <v>48.51537558685451</v>
      </c>
      <c r="S270" s="28">
        <v>0.54419383573846425</v>
      </c>
      <c r="T270" s="27">
        <v>2.9625422414486225E-2</v>
      </c>
      <c r="V270" s="29"/>
      <c r="W270" s="28"/>
      <c r="X270" s="27"/>
    </row>
    <row r="271" spans="18:24" x14ac:dyDescent="0.25">
      <c r="R271" s="29">
        <v>57.46417851500788</v>
      </c>
      <c r="S271" s="28">
        <v>0.54687694381090601</v>
      </c>
      <c r="T271" s="27">
        <v>4.390587800198803E-2</v>
      </c>
      <c r="V271" s="29"/>
      <c r="W271" s="28"/>
      <c r="X271" s="27"/>
    </row>
    <row r="272" spans="18:24" x14ac:dyDescent="0.25">
      <c r="R272" s="29">
        <v>64.173904761904751</v>
      </c>
      <c r="S272" s="28">
        <v>0.54802044649336268</v>
      </c>
      <c r="T272" s="27">
        <v>3.6268881454952287E-2</v>
      </c>
      <c r="V272" s="29"/>
      <c r="W272" s="28"/>
      <c r="X272" s="27"/>
    </row>
    <row r="273" spans="18:24" x14ac:dyDescent="0.25">
      <c r="R273" s="29">
        <v>51.632550860719867</v>
      </c>
      <c r="S273" s="28">
        <v>0.54898022084048026</v>
      </c>
      <c r="T273" s="27">
        <v>3.5717614606799848E-2</v>
      </c>
      <c r="V273" s="29"/>
      <c r="W273" s="28"/>
      <c r="X273" s="27"/>
    </row>
    <row r="274" spans="18:24" x14ac:dyDescent="0.25">
      <c r="R274" s="29">
        <v>71.99595352564107</v>
      </c>
      <c r="S274" s="28">
        <v>0.54929234541951266</v>
      </c>
      <c r="T274" s="27">
        <v>0.13928460766665632</v>
      </c>
      <c r="V274" s="29"/>
      <c r="W274" s="28"/>
      <c r="X274" s="27"/>
    </row>
    <row r="275" spans="18:24" x14ac:dyDescent="0.25">
      <c r="R275" s="29">
        <v>51.632550860719867</v>
      </c>
      <c r="S275" s="28">
        <v>0.54999352063031304</v>
      </c>
      <c r="T275" s="27">
        <v>2.8519042554400041E-2</v>
      </c>
      <c r="V275" s="29"/>
      <c r="W275" s="28"/>
      <c r="X275" s="27"/>
    </row>
    <row r="276" spans="18:24" x14ac:dyDescent="0.25">
      <c r="R276" s="29">
        <v>59.290669856459331</v>
      </c>
      <c r="S276" s="28">
        <v>0.55048292902066487</v>
      </c>
      <c r="T276" s="27">
        <v>2.9177189430465461E-2</v>
      </c>
      <c r="V276" s="29"/>
      <c r="W276" s="28"/>
      <c r="X276" s="27"/>
    </row>
    <row r="277" spans="18:24" x14ac:dyDescent="0.25">
      <c r="R277" s="29">
        <v>56.942592592592618</v>
      </c>
      <c r="S277" s="28">
        <v>0.55310349573355344</v>
      </c>
      <c r="T277" s="27">
        <v>1.0703585330451449E-2</v>
      </c>
      <c r="V277" s="29"/>
      <c r="W277" s="28"/>
      <c r="X277" s="27"/>
    </row>
    <row r="278" spans="18:24" x14ac:dyDescent="0.25">
      <c r="R278" s="29">
        <v>48.51537558685451</v>
      </c>
      <c r="S278" s="28">
        <v>0.55736864494595273</v>
      </c>
      <c r="T278" s="27">
        <v>1.5737324254715041E-2</v>
      </c>
      <c r="V278" s="29"/>
      <c r="W278" s="28"/>
      <c r="X278" s="27"/>
    </row>
    <row r="279" spans="18:24" x14ac:dyDescent="0.25">
      <c r="R279" s="29">
        <v>57.46417851500788</v>
      </c>
      <c r="S279" s="28">
        <v>0.56142259862778732</v>
      </c>
      <c r="T279" s="27">
        <v>3.2128151622921514E-2</v>
      </c>
      <c r="V279" s="29"/>
      <c r="W279" s="28"/>
      <c r="X279" s="27"/>
    </row>
    <row r="280" spans="18:24" x14ac:dyDescent="0.25">
      <c r="R280" s="29">
        <v>55.692059748427681</v>
      </c>
      <c r="S280" s="28">
        <v>0.56825250958540807</v>
      </c>
      <c r="T280" s="27">
        <v>2.7582641486482193E-2</v>
      </c>
      <c r="V280" s="29"/>
      <c r="W280" s="28"/>
      <c r="X280" s="27"/>
    </row>
    <row r="281" spans="18:24" x14ac:dyDescent="0.25">
      <c r="R281" s="29">
        <v>48.51537558685451</v>
      </c>
      <c r="S281" s="28">
        <v>0.57352300291904779</v>
      </c>
      <c r="T281" s="27">
        <v>2.5064856641906993E-2</v>
      </c>
      <c r="V281" s="29"/>
      <c r="W281" s="28"/>
      <c r="X281" s="27"/>
    </row>
    <row r="282" spans="18:24" x14ac:dyDescent="0.25">
      <c r="R282" s="29">
        <v>59.980829420970281</v>
      </c>
      <c r="S282" s="28">
        <v>0.57443461913086391</v>
      </c>
      <c r="T282" s="27">
        <v>6.6431878229907926E-2</v>
      </c>
      <c r="V282" s="29"/>
      <c r="W282" s="28"/>
      <c r="X282" s="27"/>
    </row>
    <row r="283" spans="18:24" x14ac:dyDescent="0.25">
      <c r="R283" s="29">
        <v>51.632550860719867</v>
      </c>
      <c r="S283" s="28">
        <v>0.57536569853720587</v>
      </c>
      <c r="T283" s="27">
        <v>3.2535438286026369E-2</v>
      </c>
      <c r="V283" s="29"/>
      <c r="W283" s="28"/>
      <c r="X283" s="27"/>
    </row>
    <row r="284" spans="18:24" x14ac:dyDescent="0.25">
      <c r="R284" s="29">
        <v>64.173904761904751</v>
      </c>
      <c r="S284" s="28">
        <v>0.57591240875912375</v>
      </c>
      <c r="T284" s="27">
        <v>2.5990102697440134E-2</v>
      </c>
      <c r="V284" s="29"/>
      <c r="W284" s="28"/>
      <c r="X284" s="27"/>
    </row>
    <row r="285" spans="18:24" x14ac:dyDescent="0.25">
      <c r="R285" s="29">
        <v>61.154601226993904</v>
      </c>
      <c r="S285" s="28">
        <v>0.57872726691937471</v>
      </c>
      <c r="T285" s="27">
        <v>3.5769034474023437E-2</v>
      </c>
      <c r="V285" s="29"/>
      <c r="W285" s="28"/>
      <c r="X285" s="27"/>
    </row>
    <row r="286" spans="18:24" x14ac:dyDescent="0.25">
      <c r="R286" s="29">
        <v>61.154601226993904</v>
      </c>
      <c r="S286" s="28">
        <v>0.58230541109726219</v>
      </c>
      <c r="T286" s="27">
        <v>3.6821239997633419E-2</v>
      </c>
      <c r="V286" s="29"/>
      <c r="W286" s="28"/>
      <c r="X286" s="27"/>
    </row>
    <row r="287" spans="18:24" x14ac:dyDescent="0.25">
      <c r="R287" s="29">
        <v>59.077887788778867</v>
      </c>
      <c r="S287" s="28">
        <v>0.58275816020908444</v>
      </c>
      <c r="T287" s="27">
        <v>5.7191541747047769E-2</v>
      </c>
      <c r="V287" s="29"/>
      <c r="W287" s="28"/>
      <c r="X287" s="27"/>
    </row>
    <row r="288" spans="18:24" x14ac:dyDescent="0.25">
      <c r="R288" s="29">
        <v>64.173904761904751</v>
      </c>
      <c r="S288" s="28">
        <v>0.58292461689503483</v>
      </c>
      <c r="T288" s="27">
        <v>3.3439287537181339E-2</v>
      </c>
      <c r="V288" s="29"/>
      <c r="W288" s="28"/>
      <c r="X288" s="27"/>
    </row>
    <row r="289" spans="18:24" x14ac:dyDescent="0.25">
      <c r="R289" s="29">
        <v>65.071507936507928</v>
      </c>
      <c r="S289" s="28">
        <v>0.58381763474067183</v>
      </c>
      <c r="T289" s="27">
        <v>2.259661691704154E-2</v>
      </c>
      <c r="V289" s="29"/>
      <c r="W289" s="28"/>
      <c r="X289" s="27"/>
    </row>
    <row r="290" spans="18:24" x14ac:dyDescent="0.25">
      <c r="R290" s="29">
        <v>61.154601226993904</v>
      </c>
      <c r="S290" s="28">
        <v>0.58387315376077864</v>
      </c>
      <c r="T290" s="27">
        <v>3.7672292972328242E-2</v>
      </c>
      <c r="V290" s="29"/>
      <c r="W290" s="28"/>
      <c r="X290" s="27"/>
    </row>
    <row r="291" spans="18:24" x14ac:dyDescent="0.25">
      <c r="R291" s="29">
        <v>61.154601226993904</v>
      </c>
      <c r="S291" s="28">
        <v>0.58431074964040952</v>
      </c>
      <c r="T291" s="27">
        <v>2.9806582810661186E-2</v>
      </c>
      <c r="V291" s="29"/>
      <c r="W291" s="28"/>
      <c r="X291" s="27"/>
    </row>
    <row r="292" spans="18:24" x14ac:dyDescent="0.25">
      <c r="R292" s="29">
        <v>65.071507936507928</v>
      </c>
      <c r="S292" s="28">
        <v>0.58841469777926192</v>
      </c>
      <c r="T292" s="27">
        <v>2.3345820698658093E-2</v>
      </c>
      <c r="V292" s="29"/>
      <c r="W292" s="28"/>
      <c r="X292" s="27"/>
    </row>
    <row r="293" spans="18:24" x14ac:dyDescent="0.25">
      <c r="R293" s="29">
        <v>61.154601226993904</v>
      </c>
      <c r="S293" s="28">
        <v>0.5901111859838275</v>
      </c>
      <c r="T293" s="27">
        <v>5.4451327327924501E-2</v>
      </c>
      <c r="V293" s="29"/>
      <c r="W293" s="28"/>
      <c r="X293" s="27"/>
    </row>
    <row r="294" spans="18:24" x14ac:dyDescent="0.25">
      <c r="R294" s="29">
        <v>64.84398584905658</v>
      </c>
      <c r="S294" s="28">
        <v>0.59336710073469467</v>
      </c>
      <c r="T294" s="27">
        <v>8.7768656363550662E-2</v>
      </c>
      <c r="V294" s="29"/>
      <c r="W294" s="28"/>
      <c r="X294" s="27"/>
    </row>
    <row r="295" spans="18:24" x14ac:dyDescent="0.25">
      <c r="R295" s="29">
        <v>61.154601226993904</v>
      </c>
      <c r="S295" s="28">
        <v>0.59602444932980447</v>
      </c>
      <c r="T295" s="27">
        <v>5.9241047465684891E-2</v>
      </c>
      <c r="V295" s="29"/>
      <c r="W295" s="28"/>
      <c r="X295" s="27"/>
    </row>
    <row r="296" spans="18:24" x14ac:dyDescent="0.25">
      <c r="R296" s="29">
        <v>65.071507936507928</v>
      </c>
      <c r="S296" s="28">
        <v>0.59656633118859226</v>
      </c>
      <c r="T296" s="27">
        <v>1.3943537424034194E-2</v>
      </c>
      <c r="V296" s="29"/>
      <c r="W296" s="28"/>
      <c r="X296" s="27"/>
    </row>
    <row r="297" spans="18:24" x14ac:dyDescent="0.25">
      <c r="R297" s="29">
        <v>56.942592592592618</v>
      </c>
      <c r="S297" s="28">
        <v>0.59750394114555971</v>
      </c>
      <c r="T297" s="27">
        <v>1.4803729350909327E-2</v>
      </c>
      <c r="V297" s="29"/>
      <c r="W297" s="28"/>
      <c r="X297" s="27"/>
    </row>
    <row r="298" spans="18:24" x14ac:dyDescent="0.25">
      <c r="R298" s="29">
        <v>42.553716744913906</v>
      </c>
      <c r="S298" s="28">
        <v>0.59785639412997904</v>
      </c>
      <c r="T298" s="27">
        <v>5.8321611911950594E-2</v>
      </c>
      <c r="V298" s="29"/>
      <c r="W298" s="28"/>
      <c r="X298" s="27"/>
    </row>
    <row r="299" spans="18:24" x14ac:dyDescent="0.25">
      <c r="R299" s="29">
        <v>71.99595352564107</v>
      </c>
      <c r="S299" s="28">
        <v>0.59894048527326205</v>
      </c>
      <c r="T299" s="27">
        <v>0.14335029861940932</v>
      </c>
      <c r="V299" s="29"/>
      <c r="W299" s="28"/>
      <c r="X299" s="27"/>
    </row>
    <row r="300" spans="18:24" x14ac:dyDescent="0.25">
      <c r="R300" s="29">
        <v>51.632550860719867</v>
      </c>
      <c r="S300" s="28">
        <v>0.60183962264150948</v>
      </c>
      <c r="T300" s="27">
        <v>4.1673729711404053E-2</v>
      </c>
      <c r="V300" s="29"/>
      <c r="W300" s="28"/>
      <c r="X300" s="27"/>
    </row>
    <row r="301" spans="18:24" x14ac:dyDescent="0.25">
      <c r="R301" s="29">
        <v>57.46417851500788</v>
      </c>
      <c r="S301" s="28">
        <v>0.60216769132923476</v>
      </c>
      <c r="T301" s="27">
        <v>2.454503316849373E-2</v>
      </c>
      <c r="V301" s="29"/>
      <c r="W301" s="28"/>
      <c r="X301" s="27"/>
    </row>
    <row r="302" spans="18:24" x14ac:dyDescent="0.25">
      <c r="R302" s="29">
        <v>48.51537558685451</v>
      </c>
      <c r="S302" s="28">
        <v>0.60366731077580893</v>
      </c>
      <c r="T302" s="27">
        <v>3.0735826746161689E-2</v>
      </c>
      <c r="V302" s="29"/>
      <c r="W302" s="28"/>
      <c r="X302" s="27"/>
    </row>
    <row r="303" spans="18:24" x14ac:dyDescent="0.25">
      <c r="R303" s="29">
        <v>58.93384351256573</v>
      </c>
      <c r="S303" s="28">
        <v>0.60380330066180732</v>
      </c>
      <c r="T303" s="27">
        <v>1.4510579970305691E-2</v>
      </c>
      <c r="V303" s="29"/>
      <c r="W303" s="28"/>
      <c r="X303" s="27"/>
    </row>
    <row r="304" spans="18:24" x14ac:dyDescent="0.25">
      <c r="R304" s="29">
        <v>67.751353276353271</v>
      </c>
      <c r="S304" s="28">
        <v>0.60494569584489044</v>
      </c>
      <c r="T304" s="27">
        <v>3.4321581196581213E-2</v>
      </c>
      <c r="V304" s="29"/>
      <c r="W304" s="28"/>
      <c r="X304" s="27"/>
    </row>
    <row r="305" spans="18:24" x14ac:dyDescent="0.25">
      <c r="R305" s="29">
        <v>71.99595352564107</v>
      </c>
      <c r="S305" s="28">
        <v>0.61237384668924477</v>
      </c>
      <c r="T305" s="27">
        <v>8.530510988437226E-2</v>
      </c>
      <c r="V305" s="29"/>
      <c r="W305" s="28"/>
      <c r="X305" s="27"/>
    </row>
    <row r="306" spans="18:24" x14ac:dyDescent="0.25">
      <c r="R306" s="29">
        <v>65.071507936507928</v>
      </c>
      <c r="S306" s="28">
        <v>0.61525628206242933</v>
      </c>
      <c r="T306" s="27">
        <v>1.6570701783776547E-2</v>
      </c>
      <c r="V306" s="29"/>
      <c r="W306" s="28"/>
      <c r="X306" s="27"/>
    </row>
    <row r="307" spans="18:24" x14ac:dyDescent="0.25">
      <c r="R307" s="29">
        <v>51.632550860719867</v>
      </c>
      <c r="S307" s="28">
        <v>0.6161503364708889</v>
      </c>
      <c r="T307" s="27">
        <v>2.8798046259795627E-2</v>
      </c>
      <c r="V307" s="29"/>
      <c r="W307" s="28"/>
      <c r="X307" s="27"/>
    </row>
    <row r="308" spans="18:24" x14ac:dyDescent="0.25">
      <c r="R308" s="29">
        <v>59.077887788778867</v>
      </c>
      <c r="S308" s="28">
        <v>0.61770914215051864</v>
      </c>
      <c r="T308" s="27">
        <v>1.687090098406531E-2</v>
      </c>
      <c r="V308" s="29"/>
      <c r="W308" s="28"/>
      <c r="X308" s="27"/>
    </row>
    <row r="309" spans="18:24" x14ac:dyDescent="0.25">
      <c r="R309" s="29">
        <v>71.99595352564107</v>
      </c>
      <c r="S309" s="28">
        <v>0.620821184374307</v>
      </c>
      <c r="T309" s="27">
        <v>0.23111906157651987</v>
      </c>
      <c r="V309" s="29"/>
      <c r="W309" s="28"/>
      <c r="X309" s="27"/>
    </row>
    <row r="310" spans="18:24" x14ac:dyDescent="0.25">
      <c r="R310" s="29">
        <v>67.751353276353271</v>
      </c>
      <c r="S310" s="28">
        <v>0.62159771982632306</v>
      </c>
      <c r="T310" s="27">
        <v>1.5006663154811081E-2</v>
      </c>
      <c r="V310" s="29"/>
      <c r="W310" s="28"/>
      <c r="X310" s="27"/>
    </row>
    <row r="311" spans="18:24" x14ac:dyDescent="0.25">
      <c r="R311" s="29">
        <v>66.120187793427235</v>
      </c>
      <c r="S311" s="28">
        <v>0.6232834609344674</v>
      </c>
      <c r="T311" s="27">
        <v>5.4661243403241681E-2</v>
      </c>
      <c r="V311" s="29"/>
      <c r="W311" s="28"/>
      <c r="X311" s="27"/>
    </row>
    <row r="312" spans="18:24" x14ac:dyDescent="0.25">
      <c r="R312" s="29">
        <v>67.751353276353271</v>
      </c>
      <c r="S312" s="28">
        <v>0.62364734676873368</v>
      </c>
      <c r="T312" s="27">
        <v>1.5584941317233904E-2</v>
      </c>
      <c r="V312" s="29"/>
      <c r="W312" s="28"/>
      <c r="X312" s="27"/>
    </row>
    <row r="313" spans="18:24" x14ac:dyDescent="0.25">
      <c r="R313" s="29">
        <v>71.99595352564107</v>
      </c>
      <c r="S313" s="28">
        <v>0.6295566672714864</v>
      </c>
      <c r="T313" s="27">
        <v>0.13309940897085082</v>
      </c>
      <c r="V313" s="29"/>
      <c r="W313" s="28"/>
      <c r="X313" s="27"/>
    </row>
    <row r="314" spans="18:24" x14ac:dyDescent="0.25">
      <c r="R314" s="29">
        <v>58.93384351256573</v>
      </c>
      <c r="S314" s="28">
        <v>0.63404948249697346</v>
      </c>
      <c r="T314" s="27">
        <v>1.8400784740712901E-2</v>
      </c>
      <c r="V314" s="29"/>
      <c r="W314" s="28"/>
      <c r="X314" s="27"/>
    </row>
    <row r="315" spans="18:24" x14ac:dyDescent="0.25">
      <c r="R315" s="29">
        <v>55.692059748427681</v>
      </c>
      <c r="S315" s="28">
        <v>0.63407836422716535</v>
      </c>
      <c r="T315" s="27">
        <v>4.6873357029072471E-2</v>
      </c>
      <c r="V315" s="29"/>
      <c r="W315" s="28"/>
      <c r="X315" s="27"/>
    </row>
    <row r="316" spans="18:24" x14ac:dyDescent="0.25">
      <c r="R316" s="29">
        <v>67.751353276353271</v>
      </c>
      <c r="S316" s="28">
        <v>0.63442910574634426</v>
      </c>
      <c r="T316" s="27">
        <v>2.3422972374191064E-2</v>
      </c>
      <c r="V316" s="29"/>
      <c r="W316" s="28"/>
      <c r="X316" s="27"/>
    </row>
    <row r="317" spans="18:24" x14ac:dyDescent="0.25">
      <c r="R317" s="29">
        <v>67.751353276353271</v>
      </c>
      <c r="S317" s="28">
        <v>0.63838150289017359</v>
      </c>
      <c r="T317" s="27">
        <v>1.1235688841365176E-2</v>
      </c>
      <c r="V317" s="29"/>
      <c r="W317" s="28"/>
      <c r="X317" s="27"/>
    </row>
    <row r="318" spans="18:24" x14ac:dyDescent="0.25">
      <c r="R318" s="29">
        <v>59.077887788778867</v>
      </c>
      <c r="S318" s="28">
        <v>0.63981190026517043</v>
      </c>
      <c r="T318" s="27">
        <v>2.2114464886922664E-2</v>
      </c>
      <c r="V318" s="29"/>
      <c r="W318" s="28"/>
      <c r="X318" s="27"/>
    </row>
    <row r="319" spans="18:24" x14ac:dyDescent="0.25">
      <c r="R319" s="29">
        <v>65.071507936507928</v>
      </c>
      <c r="S319" s="28">
        <v>0.64066845291575758</v>
      </c>
      <c r="T319" s="27">
        <v>2.3957584388768771E-2</v>
      </c>
      <c r="V319" s="29"/>
      <c r="W319" s="28"/>
      <c r="X319" s="27"/>
    </row>
    <row r="320" spans="18:24" x14ac:dyDescent="0.25">
      <c r="R320" s="29">
        <v>58.93384351256573</v>
      </c>
      <c r="S320" s="28">
        <v>0.6409596618807879</v>
      </c>
      <c r="T320" s="27">
        <v>1.7931480379787038E-2</v>
      </c>
      <c r="V320" s="29"/>
      <c r="W320" s="28"/>
      <c r="X320" s="27"/>
    </row>
    <row r="321" spans="18:24" x14ac:dyDescent="0.25">
      <c r="R321" s="29">
        <v>67.751353276353271</v>
      </c>
      <c r="S321" s="28">
        <v>0.6417556875030036</v>
      </c>
      <c r="T321" s="27">
        <v>2.1174682236884627E-2</v>
      </c>
      <c r="V321" s="29"/>
      <c r="W321" s="28"/>
      <c r="X321" s="27"/>
    </row>
    <row r="322" spans="18:24" x14ac:dyDescent="0.25">
      <c r="R322" s="29">
        <v>64.173904761904751</v>
      </c>
      <c r="S322" s="28">
        <v>0.64230998533700712</v>
      </c>
      <c r="T322" s="27">
        <v>3.6861586234109865E-2</v>
      </c>
      <c r="V322" s="29"/>
      <c r="W322" s="28"/>
      <c r="X322" s="27"/>
    </row>
    <row r="323" spans="18:24" x14ac:dyDescent="0.25">
      <c r="R323" s="29">
        <v>62.149292452830181</v>
      </c>
      <c r="S323" s="28">
        <v>0.64551980905161732</v>
      </c>
      <c r="T323" s="27">
        <v>2.2509182475192378E-2</v>
      </c>
      <c r="V323" s="29"/>
      <c r="W323" s="28"/>
      <c r="X323" s="27"/>
    </row>
    <row r="324" spans="18:24" x14ac:dyDescent="0.25">
      <c r="R324" s="29">
        <v>59.290669856459331</v>
      </c>
      <c r="S324" s="28">
        <v>0.64674432687404382</v>
      </c>
      <c r="T324" s="27">
        <v>4.18171252487686E-2</v>
      </c>
      <c r="V324" s="29"/>
      <c r="W324" s="28"/>
      <c r="X324" s="27"/>
    </row>
    <row r="325" spans="18:24" x14ac:dyDescent="0.25">
      <c r="R325" s="29">
        <v>59.077887788778867</v>
      </c>
      <c r="S325" s="28">
        <v>0.64707658110200261</v>
      </c>
      <c r="T325" s="27">
        <v>1.7612664350135535E-2</v>
      </c>
      <c r="V325" s="29"/>
      <c r="W325" s="28"/>
      <c r="X325" s="27"/>
    </row>
    <row r="326" spans="18:24" x14ac:dyDescent="0.25">
      <c r="R326" s="29">
        <v>59.077887788778867</v>
      </c>
      <c r="S326" s="28">
        <v>0.64750096339113672</v>
      </c>
      <c r="T326" s="27">
        <v>2.16447550353281E-2</v>
      </c>
      <c r="V326" s="29"/>
      <c r="W326" s="28"/>
      <c r="X326" s="27"/>
    </row>
    <row r="327" spans="18:24" x14ac:dyDescent="0.25">
      <c r="R327" s="29">
        <v>58.93384351256573</v>
      </c>
      <c r="S327" s="28">
        <v>0.65130568356374829</v>
      </c>
      <c r="T327" s="27">
        <v>1.6716468524624661E-2</v>
      </c>
      <c r="V327" s="29"/>
      <c r="W327" s="28"/>
      <c r="X327" s="27"/>
    </row>
    <row r="328" spans="18:24" x14ac:dyDescent="0.25">
      <c r="R328" s="29">
        <v>51.632550860719867</v>
      </c>
      <c r="S328" s="28">
        <v>0.6514993261455525</v>
      </c>
      <c r="T328" s="27">
        <v>3.6829928709329357E-2</v>
      </c>
      <c r="V328" s="29"/>
      <c r="W328" s="28"/>
      <c r="X328" s="27"/>
    </row>
    <row r="329" spans="18:24" x14ac:dyDescent="0.25">
      <c r="R329" s="29">
        <v>42.553716744913906</v>
      </c>
      <c r="S329" s="28">
        <v>0.65197589686098656</v>
      </c>
      <c r="T329" s="27">
        <v>3.4368294681872157E-2</v>
      </c>
      <c r="V329" s="29"/>
      <c r="W329" s="28"/>
      <c r="X329" s="27"/>
    </row>
    <row r="330" spans="18:24" x14ac:dyDescent="0.25">
      <c r="R330" s="29">
        <v>61.154601226993904</v>
      </c>
      <c r="S330" s="28">
        <v>0.65221365708496903</v>
      </c>
      <c r="T330" s="27">
        <v>5.5329533762213175E-2</v>
      </c>
      <c r="V330" s="29"/>
      <c r="W330" s="28"/>
      <c r="X330" s="27"/>
    </row>
    <row r="331" spans="18:24" x14ac:dyDescent="0.25">
      <c r="R331" s="29">
        <v>58.93384351256573</v>
      </c>
      <c r="S331" s="28">
        <v>0.66269574356279548</v>
      </c>
      <c r="T331" s="27">
        <v>1.8488544777873015E-2</v>
      </c>
      <c r="V331" s="29"/>
      <c r="W331" s="28"/>
      <c r="X331" s="27"/>
    </row>
    <row r="332" spans="18:24" x14ac:dyDescent="0.25">
      <c r="R332" s="29">
        <v>67.751353276353271</v>
      </c>
      <c r="S332" s="28">
        <v>0.66835160454454834</v>
      </c>
      <c r="T332" s="27">
        <v>2.8920380717085133E-2</v>
      </c>
      <c r="V332" s="29"/>
      <c r="W332" s="28"/>
      <c r="X332" s="27"/>
    </row>
    <row r="333" spans="18:24" x14ac:dyDescent="0.25">
      <c r="R333" s="29">
        <v>65.071507936507928</v>
      </c>
      <c r="S333" s="28">
        <v>0.67119600017075043</v>
      </c>
      <c r="T333" s="27">
        <v>1.8614229035576243E-2</v>
      </c>
      <c r="V333" s="29"/>
      <c r="W333" s="28"/>
      <c r="X333" s="27"/>
    </row>
    <row r="334" spans="18:24" x14ac:dyDescent="0.25">
      <c r="R334" s="29">
        <v>51.921287519747246</v>
      </c>
      <c r="S334" s="28">
        <v>0.67369433112357635</v>
      </c>
      <c r="T334" s="27">
        <v>2.7171136631622399E-2</v>
      </c>
      <c r="V334" s="29"/>
      <c r="W334" s="28"/>
      <c r="X334" s="27"/>
    </row>
    <row r="335" spans="18:24" x14ac:dyDescent="0.25">
      <c r="R335" s="29">
        <v>62.149292452830181</v>
      </c>
      <c r="S335" s="28">
        <v>0.67392672364354467</v>
      </c>
      <c r="T335" s="27">
        <v>2.3057241420906375E-2</v>
      </c>
      <c r="V335" s="29"/>
      <c r="W335" s="28"/>
      <c r="X335" s="27"/>
    </row>
    <row r="336" spans="18:24" x14ac:dyDescent="0.25">
      <c r="R336" s="29">
        <v>59.077887788778867</v>
      </c>
      <c r="S336" s="28">
        <v>0.67453179190751444</v>
      </c>
      <c r="T336" s="27">
        <v>1.9134538699449321E-2</v>
      </c>
      <c r="V336" s="29"/>
      <c r="W336" s="28"/>
      <c r="X336" s="27"/>
    </row>
    <row r="337" spans="18:24" x14ac:dyDescent="0.25">
      <c r="R337" s="29">
        <v>56.942592592592618</v>
      </c>
      <c r="S337" s="28">
        <v>0.67675959236652894</v>
      </c>
      <c r="T337" s="27">
        <v>1.550215985786396E-2</v>
      </c>
      <c r="V337" s="29"/>
      <c r="W337" s="28"/>
      <c r="X337" s="27"/>
    </row>
    <row r="338" spans="18:24" x14ac:dyDescent="0.25">
      <c r="R338" s="29">
        <v>61.154601226993904</v>
      </c>
      <c r="S338" s="28">
        <v>0.67952290802944415</v>
      </c>
      <c r="T338" s="27">
        <v>4.5948702411092168E-2</v>
      </c>
      <c r="V338" s="29"/>
      <c r="W338" s="28"/>
      <c r="X338" s="27"/>
    </row>
    <row r="339" spans="18:24" x14ac:dyDescent="0.25">
      <c r="R339" s="29">
        <v>55.692059748427681</v>
      </c>
      <c r="S339" s="28">
        <v>0.68990741691178126</v>
      </c>
      <c r="T339" s="27">
        <v>5.0174915134651284E-2</v>
      </c>
      <c r="V339" s="29"/>
      <c r="W339" s="28"/>
      <c r="X339" s="27"/>
    </row>
    <row r="340" spans="18:24" x14ac:dyDescent="0.25">
      <c r="R340" s="29">
        <v>42.553716744913906</v>
      </c>
      <c r="S340" s="28">
        <v>0.69061139332365751</v>
      </c>
      <c r="T340" s="27">
        <v>3.5564446009912452E-2</v>
      </c>
      <c r="V340" s="29"/>
      <c r="W340" s="28"/>
      <c r="X340" s="27"/>
    </row>
    <row r="341" spans="18:24" x14ac:dyDescent="0.25">
      <c r="R341" s="29">
        <v>58.93384351256573</v>
      </c>
      <c r="S341" s="28">
        <v>0.69061356525428252</v>
      </c>
      <c r="T341" s="27">
        <v>2.5136552547761072E-2</v>
      </c>
      <c r="V341" s="29"/>
      <c r="W341" s="28"/>
      <c r="X341" s="27"/>
    </row>
    <row r="342" spans="18:24" x14ac:dyDescent="0.25">
      <c r="R342" s="29">
        <v>67.751353276353271</v>
      </c>
      <c r="S342" s="28">
        <v>0.69184270845566076</v>
      </c>
      <c r="T342" s="27">
        <v>1.436351205674702E-2</v>
      </c>
      <c r="V342" s="29"/>
      <c r="W342" s="28"/>
      <c r="X342" s="27"/>
    </row>
    <row r="343" spans="18:24" x14ac:dyDescent="0.25">
      <c r="R343" s="29">
        <v>62.149292452830181</v>
      </c>
      <c r="S343" s="28">
        <v>0.69242279396483641</v>
      </c>
      <c r="T343" s="27">
        <v>2.7635453304299475E-2</v>
      </c>
      <c r="V343" s="29"/>
      <c r="W343" s="28"/>
      <c r="X343" s="27"/>
    </row>
    <row r="344" spans="18:24" x14ac:dyDescent="0.25">
      <c r="R344" s="29">
        <v>65.071507936507928</v>
      </c>
      <c r="S344" s="28">
        <v>0.6926650423904912</v>
      </c>
      <c r="T344" s="27">
        <v>8.2300002258647587E-2</v>
      </c>
      <c r="V344" s="29"/>
      <c r="W344" s="28"/>
      <c r="X344" s="27"/>
    </row>
    <row r="345" spans="18:24" x14ac:dyDescent="0.25">
      <c r="R345" s="29">
        <v>51.921287519747246</v>
      </c>
      <c r="S345" s="28">
        <v>0.69324545532868098</v>
      </c>
      <c r="T345" s="27">
        <v>2.053408761711864E-2</v>
      </c>
      <c r="V345" s="29"/>
      <c r="W345" s="28"/>
      <c r="X345" s="27"/>
    </row>
    <row r="346" spans="18:24" x14ac:dyDescent="0.25">
      <c r="R346" s="29">
        <v>57.46417851500788</v>
      </c>
      <c r="S346" s="28">
        <v>0.69483326635079112</v>
      </c>
      <c r="T346" s="27">
        <v>4.1660768693116419E-2</v>
      </c>
      <c r="V346" s="29"/>
      <c r="W346" s="28"/>
      <c r="X346" s="27"/>
    </row>
    <row r="347" spans="18:24" x14ac:dyDescent="0.25">
      <c r="R347" s="29">
        <v>67.751353276353271</v>
      </c>
      <c r="S347" s="28">
        <v>0.69621760488812512</v>
      </c>
      <c r="T347" s="27">
        <v>1.6921258410620203E-2</v>
      </c>
      <c r="V347" s="29"/>
      <c r="W347" s="28"/>
      <c r="X347" s="27"/>
    </row>
    <row r="348" spans="18:24" x14ac:dyDescent="0.25">
      <c r="R348" s="29">
        <v>61.154601226993904</v>
      </c>
      <c r="S348" s="28">
        <v>0.69641836713490146</v>
      </c>
      <c r="T348" s="27">
        <v>4.7722622085931823E-2</v>
      </c>
      <c r="V348" s="29"/>
      <c r="W348" s="28"/>
      <c r="X348" s="27"/>
    </row>
    <row r="349" spans="18:24" x14ac:dyDescent="0.25">
      <c r="R349" s="29">
        <v>48.51537558685451</v>
      </c>
      <c r="S349" s="28">
        <v>0.69753965969893283</v>
      </c>
      <c r="T349" s="27">
        <v>0.72086951986152092</v>
      </c>
      <c r="V349" s="29"/>
      <c r="W349" s="28"/>
      <c r="X349" s="27"/>
    </row>
    <row r="350" spans="18:24" x14ac:dyDescent="0.25">
      <c r="R350" s="29">
        <v>49.226236263736283</v>
      </c>
      <c r="S350" s="28">
        <v>0.69766001518547149</v>
      </c>
      <c r="T350" s="27">
        <v>1.7933899549305611E-2</v>
      </c>
      <c r="V350" s="29"/>
      <c r="W350" s="28"/>
      <c r="X350" s="27"/>
    </row>
    <row r="351" spans="18:24" x14ac:dyDescent="0.25">
      <c r="R351" s="29">
        <v>62.149292452830181</v>
      </c>
      <c r="S351" s="28">
        <v>0.69781284357370787</v>
      </c>
      <c r="T351" s="27">
        <v>4.5792656955447278E-2</v>
      </c>
      <c r="V351" s="29"/>
      <c r="W351" s="28"/>
      <c r="X351" s="27"/>
    </row>
    <row r="352" spans="18:24" x14ac:dyDescent="0.25">
      <c r="R352" s="29">
        <v>62.149292452830181</v>
      </c>
      <c r="S352" s="28">
        <v>0.69791880765086534</v>
      </c>
      <c r="T352" s="27">
        <v>3.3379983510182024E-2</v>
      </c>
      <c r="V352" s="29"/>
      <c r="W352" s="28"/>
      <c r="X352" s="27"/>
    </row>
    <row r="353" spans="22:24" x14ac:dyDescent="0.25">
      <c r="V353" s="29"/>
      <c r="W353" s="28"/>
      <c r="X353" s="27"/>
    </row>
    <row r="354" spans="22:24" x14ac:dyDescent="0.25">
      <c r="V354" s="29"/>
      <c r="W354" s="28"/>
      <c r="X354" s="27"/>
    </row>
    <row r="355" spans="22:24" x14ac:dyDescent="0.25">
      <c r="V355" s="29"/>
      <c r="W355" s="28"/>
      <c r="X355" s="27"/>
    </row>
  </sheetData>
  <sortState ref="R9:T512">
    <sortCondition ref="S9"/>
  </sortState>
  <conditionalFormatting sqref="T321:T512">
    <cfRule type="cellIs" dxfId="3" priority="5" operator="greaterThan">
      <formula>0.4</formula>
    </cfRule>
  </conditionalFormatting>
  <conditionalFormatting sqref="X324:X515">
    <cfRule type="cellIs" dxfId="2" priority="2" operator="greaterThan">
      <formula>0.4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C505"/>
  <sheetViews>
    <sheetView workbookViewId="0">
      <selection activeCell="C3" sqref="C3"/>
    </sheetView>
  </sheetViews>
  <sheetFormatPr defaultRowHeight="15" x14ac:dyDescent="0.25"/>
  <sheetData>
    <row r="1" spans="1:3" x14ac:dyDescent="0.25">
      <c r="A1" t="s">
        <v>71</v>
      </c>
      <c r="B1" t="s">
        <v>70</v>
      </c>
      <c r="C1" t="s">
        <v>0</v>
      </c>
    </row>
    <row r="2" spans="1:3" x14ac:dyDescent="0.25">
      <c r="A2">
        <v>48.51537558685451</v>
      </c>
      <c r="B2">
        <v>2.5838046183751767E-2</v>
      </c>
      <c r="C2">
        <v>2.3848377012760099E-2</v>
      </c>
    </row>
    <row r="3" spans="1:3" x14ac:dyDescent="0.25">
      <c r="A3">
        <v>59.077887788778867</v>
      </c>
      <c r="B3">
        <v>2.6163471812763097E-2</v>
      </c>
      <c r="C3">
        <v>1.9541676960182424E-2</v>
      </c>
    </row>
    <row r="4" spans="1:3" x14ac:dyDescent="0.25">
      <c r="A4">
        <v>64.173904761904751</v>
      </c>
      <c r="B4">
        <v>2.8516676355963215E-2</v>
      </c>
      <c r="C4">
        <v>0.11335712633422564</v>
      </c>
    </row>
    <row r="5" spans="1:3" x14ac:dyDescent="0.25">
      <c r="A5">
        <v>48.51537558685451</v>
      </c>
      <c r="B5">
        <v>2.9511088528472101E-2</v>
      </c>
      <c r="C5">
        <v>2.2363039318179526E-2</v>
      </c>
    </row>
    <row r="6" spans="1:3" x14ac:dyDescent="0.25">
      <c r="A6">
        <v>51.632550860719867</v>
      </c>
      <c r="B6">
        <v>3.0188941883430687E-2</v>
      </c>
      <c r="C6">
        <v>3.6251314550630492E-2</v>
      </c>
    </row>
    <row r="7" spans="1:3" x14ac:dyDescent="0.25">
      <c r="A7">
        <v>61.154601226993904</v>
      </c>
      <c r="B7">
        <v>3.2749894000423996E-2</v>
      </c>
      <c r="C7">
        <v>7.2696751804517915E-2</v>
      </c>
    </row>
    <row r="8" spans="1:3" x14ac:dyDescent="0.25">
      <c r="A8">
        <v>62.400681818181816</v>
      </c>
      <c r="B8">
        <v>3.328927655419308E-2</v>
      </c>
      <c r="C8">
        <v>0.13893653516294965</v>
      </c>
    </row>
    <row r="9" spans="1:3" x14ac:dyDescent="0.25">
      <c r="A9">
        <v>71.99595352564107</v>
      </c>
      <c r="B9">
        <v>3.3425146448384235E-2</v>
      </c>
      <c r="C9">
        <v>0.3025342685387018</v>
      </c>
    </row>
    <row r="10" spans="1:3" x14ac:dyDescent="0.25">
      <c r="A10">
        <v>51.632550860719867</v>
      </c>
      <c r="B10">
        <v>3.3450816196735213E-2</v>
      </c>
      <c r="C10">
        <v>3.2382954236684407E-2</v>
      </c>
    </row>
    <row r="11" spans="1:3" x14ac:dyDescent="0.25">
      <c r="A11">
        <v>59.290669856459331</v>
      </c>
      <c r="B11">
        <v>3.3828439686241253E-2</v>
      </c>
      <c r="C11">
        <v>5.8632389956440323E-2</v>
      </c>
    </row>
    <row r="12" spans="1:3" x14ac:dyDescent="0.25">
      <c r="A12">
        <v>64.173904761904751</v>
      </c>
      <c r="B12">
        <v>3.4241865190770278E-2</v>
      </c>
      <c r="C12">
        <v>0.10271130049702273</v>
      </c>
    </row>
    <row r="13" spans="1:3" x14ac:dyDescent="0.25">
      <c r="A13">
        <v>67.751353276353271</v>
      </c>
      <c r="B13">
        <v>3.4767525815037441E-2</v>
      </c>
      <c r="C13">
        <v>1.5495129801914975E-2</v>
      </c>
    </row>
    <row r="14" spans="1:3" x14ac:dyDescent="0.25">
      <c r="A14">
        <v>62.149292452830181</v>
      </c>
      <c r="B14">
        <v>3.5050382541171793E-2</v>
      </c>
      <c r="C14">
        <v>4.3931535718020526E-2</v>
      </c>
    </row>
    <row r="15" spans="1:3" x14ac:dyDescent="0.25">
      <c r="A15">
        <v>51.921287519747246</v>
      </c>
      <c r="B15">
        <v>3.5499258002967993E-2</v>
      </c>
      <c r="C15">
        <v>2.4777357475399102E-2</v>
      </c>
    </row>
    <row r="16" spans="1:3" x14ac:dyDescent="0.25">
      <c r="A16">
        <v>59.290669856459331</v>
      </c>
      <c r="B16">
        <v>3.6956325429202783E-2</v>
      </c>
      <c r="C16">
        <v>6.4393838329438235E-2</v>
      </c>
    </row>
    <row r="17" spans="1:3" x14ac:dyDescent="0.25">
      <c r="A17">
        <v>56.942592592592618</v>
      </c>
      <c r="B17">
        <v>3.7220499602308756E-2</v>
      </c>
      <c r="C17">
        <v>1.6873005003569454E-2</v>
      </c>
    </row>
    <row r="18" spans="1:3" x14ac:dyDescent="0.25">
      <c r="A18">
        <v>58.93384351256573</v>
      </c>
      <c r="B18">
        <v>3.8468998457719748E-2</v>
      </c>
      <c r="C18">
        <v>1.8337115918714397E-2</v>
      </c>
    </row>
    <row r="19" spans="1:3" x14ac:dyDescent="0.25">
      <c r="A19">
        <v>65.071507936507928</v>
      </c>
      <c r="B19">
        <v>3.8577220691117235E-2</v>
      </c>
      <c r="C19">
        <v>2.0963032247466384E-2</v>
      </c>
    </row>
    <row r="20" spans="1:3" x14ac:dyDescent="0.25">
      <c r="A20">
        <v>71.99595352564107</v>
      </c>
      <c r="B20">
        <v>3.9397333401993709E-2</v>
      </c>
      <c r="C20">
        <v>0.30913315506633082</v>
      </c>
    </row>
    <row r="21" spans="1:3" x14ac:dyDescent="0.25">
      <c r="A21">
        <v>61.154601226993904</v>
      </c>
      <c r="B21">
        <v>3.9500777408917095E-2</v>
      </c>
      <c r="C21">
        <v>7.0602581472342232E-2</v>
      </c>
    </row>
    <row r="22" spans="1:3" x14ac:dyDescent="0.25">
      <c r="A22">
        <v>56.942592592592618</v>
      </c>
      <c r="B22">
        <v>3.9755235130957682E-2</v>
      </c>
      <c r="C22">
        <v>1.6834760652762001E-2</v>
      </c>
    </row>
    <row r="23" spans="1:3" x14ac:dyDescent="0.25">
      <c r="A23">
        <v>57.46417851500788</v>
      </c>
      <c r="B23">
        <v>3.9763090947636213E-2</v>
      </c>
      <c r="C23">
        <v>8.1499939770841329E-2</v>
      </c>
    </row>
    <row r="24" spans="1:3" x14ac:dyDescent="0.25">
      <c r="A24">
        <v>59.077887788778867</v>
      </c>
      <c r="B24">
        <v>4.000528920624126E-2</v>
      </c>
      <c r="C24">
        <v>1.5741260377117809E-2</v>
      </c>
    </row>
    <row r="25" spans="1:3" x14ac:dyDescent="0.25">
      <c r="A25">
        <v>71.99595352564107</v>
      </c>
      <c r="B25">
        <v>4.1407835581245986E-2</v>
      </c>
      <c r="C25">
        <v>0.29022006900497765</v>
      </c>
    </row>
    <row r="26" spans="1:3" x14ac:dyDescent="0.25">
      <c r="A26">
        <v>62.149292452830181</v>
      </c>
      <c r="B26">
        <v>4.1593523814707781E-2</v>
      </c>
      <c r="C26">
        <v>3.3938057875510144E-2</v>
      </c>
    </row>
    <row r="27" spans="1:3" x14ac:dyDescent="0.25">
      <c r="A27">
        <v>58.93384351256573</v>
      </c>
      <c r="B27">
        <v>4.1894726072944928E-2</v>
      </c>
      <c r="C27">
        <v>1.8797448114633523E-2</v>
      </c>
    </row>
    <row r="28" spans="1:3" x14ac:dyDescent="0.25">
      <c r="A28">
        <v>42.553716744913906</v>
      </c>
      <c r="B28">
        <v>4.2291307727864852E-2</v>
      </c>
      <c r="C28">
        <v>3.3928877124701634E-2</v>
      </c>
    </row>
    <row r="29" spans="1:3" x14ac:dyDescent="0.25">
      <c r="A29">
        <v>48.51537558685451</v>
      </c>
      <c r="B29">
        <v>4.3337590869430141E-2</v>
      </c>
      <c r="C29">
        <v>1.9766655865988258E-2</v>
      </c>
    </row>
    <row r="30" spans="1:3" x14ac:dyDescent="0.25">
      <c r="A30">
        <v>55.692059748427681</v>
      </c>
      <c r="B30">
        <v>4.3422687266018362E-2</v>
      </c>
      <c r="C30">
        <v>2.6899427340543312E-2</v>
      </c>
    </row>
    <row r="31" spans="1:3" x14ac:dyDescent="0.25">
      <c r="A31">
        <v>64.84398584905658</v>
      </c>
      <c r="B31">
        <v>4.3478104560281665E-2</v>
      </c>
      <c r="C31">
        <v>0.11935725807814435</v>
      </c>
    </row>
    <row r="32" spans="1:3" x14ac:dyDescent="0.25">
      <c r="A32">
        <v>67.751353276353271</v>
      </c>
      <c r="B32">
        <v>4.3599843129230792E-2</v>
      </c>
      <c r="C32">
        <v>1.6913291281522493E-2</v>
      </c>
    </row>
    <row r="33" spans="1:3" x14ac:dyDescent="0.25">
      <c r="A33">
        <v>51.921287519747246</v>
      </c>
      <c r="B33">
        <v>4.4104824137496321E-2</v>
      </c>
      <c r="C33">
        <v>1.8428084928437755E-2</v>
      </c>
    </row>
    <row r="34" spans="1:3" x14ac:dyDescent="0.25">
      <c r="A34">
        <v>59.077887788778867</v>
      </c>
      <c r="B34">
        <v>4.4106313045449409E-2</v>
      </c>
      <c r="C34">
        <v>1.5466279076575501E-2</v>
      </c>
    </row>
    <row r="35" spans="1:3" x14ac:dyDescent="0.25">
      <c r="A35">
        <v>64.173904761904751</v>
      </c>
      <c r="B35">
        <v>4.424647364513732E-2</v>
      </c>
      <c r="C35">
        <v>0.10946339799153375</v>
      </c>
    </row>
    <row r="36" spans="1:3" x14ac:dyDescent="0.25">
      <c r="A36">
        <v>57.46417851500788</v>
      </c>
      <c r="B36">
        <v>4.4475526694305774E-2</v>
      </c>
      <c r="C36">
        <v>9.0407561698688368E-2</v>
      </c>
    </row>
    <row r="37" spans="1:3" x14ac:dyDescent="0.25">
      <c r="A37">
        <v>66.120187793427235</v>
      </c>
      <c r="B37">
        <v>4.4671682249486498E-2</v>
      </c>
      <c r="C37">
        <v>2.5668323624646147E-2</v>
      </c>
    </row>
    <row r="38" spans="1:3" x14ac:dyDescent="0.25">
      <c r="A38">
        <v>55.692059748427681</v>
      </c>
      <c r="B38">
        <v>4.4725555572749702E-2</v>
      </c>
      <c r="C38">
        <v>2.1665884710692914E-2</v>
      </c>
    </row>
    <row r="39" spans="1:3" x14ac:dyDescent="0.25">
      <c r="A39">
        <v>51.921287519747246</v>
      </c>
      <c r="B39">
        <v>4.4915910136802906E-2</v>
      </c>
      <c r="C39">
        <v>1.5197469716364344E-2</v>
      </c>
    </row>
    <row r="40" spans="1:3" x14ac:dyDescent="0.25">
      <c r="A40">
        <v>67.751353276353271</v>
      </c>
      <c r="B40">
        <v>4.4943475369584131E-2</v>
      </c>
      <c r="C40">
        <v>1.6714122185737531E-2</v>
      </c>
    </row>
    <row r="41" spans="1:3" x14ac:dyDescent="0.25">
      <c r="A41">
        <v>65.071507936507928</v>
      </c>
      <c r="B41">
        <v>4.4976782787746354E-2</v>
      </c>
      <c r="C41">
        <v>1.6413828516183369E-2</v>
      </c>
    </row>
    <row r="42" spans="1:3" x14ac:dyDescent="0.25">
      <c r="A42">
        <v>62.400681818181816</v>
      </c>
      <c r="B42">
        <v>4.5068462151295653E-2</v>
      </c>
      <c r="C42">
        <v>0.1844669827396539</v>
      </c>
    </row>
    <row r="43" spans="1:3" x14ac:dyDescent="0.25">
      <c r="A43">
        <v>48.51537558685451</v>
      </c>
      <c r="B43">
        <v>4.5125684238718877E-2</v>
      </c>
      <c r="C43">
        <v>1.6894348500084349E-2</v>
      </c>
    </row>
    <row r="44" spans="1:3" x14ac:dyDescent="0.25">
      <c r="A44">
        <v>42.553716744913906</v>
      </c>
      <c r="B44">
        <v>4.6826637693449226E-2</v>
      </c>
      <c r="C44">
        <v>3.6207747912383056E-2</v>
      </c>
    </row>
    <row r="45" spans="1:3" x14ac:dyDescent="0.25">
      <c r="A45">
        <v>62.149292452830181</v>
      </c>
      <c r="B45">
        <v>4.6843177189409377E-2</v>
      </c>
      <c r="C45">
        <v>4.567151054965933E-2</v>
      </c>
    </row>
    <row r="46" spans="1:3" x14ac:dyDescent="0.25">
      <c r="A46">
        <v>65.071507936507928</v>
      </c>
      <c r="B46">
        <v>4.8647136342718486E-2</v>
      </c>
      <c r="C46">
        <v>1.7594122546759176E-2</v>
      </c>
    </row>
    <row r="47" spans="1:3" x14ac:dyDescent="0.25">
      <c r="A47">
        <v>61.154601226993904</v>
      </c>
      <c r="B47">
        <v>4.8758772114132036E-2</v>
      </c>
      <c r="C47">
        <v>6.1328980100564451E-2</v>
      </c>
    </row>
    <row r="48" spans="1:3" x14ac:dyDescent="0.25">
      <c r="A48">
        <v>51.632550860719867</v>
      </c>
      <c r="B48">
        <v>4.8878272471319914E-2</v>
      </c>
      <c r="C48">
        <v>3.2602732483631491E-2</v>
      </c>
    </row>
    <row r="49" spans="1:3" x14ac:dyDescent="0.25">
      <c r="A49">
        <v>51.632550860719867</v>
      </c>
      <c r="B49">
        <v>4.9453781952056228E-2</v>
      </c>
      <c r="C49">
        <v>2.7774158872137938E-2</v>
      </c>
    </row>
    <row r="50" spans="1:3" x14ac:dyDescent="0.25">
      <c r="A50">
        <v>64.173904761904751</v>
      </c>
      <c r="B50">
        <v>4.9549797422327256E-2</v>
      </c>
      <c r="C50">
        <v>0.11350337302333288</v>
      </c>
    </row>
    <row r="51" spans="1:3" x14ac:dyDescent="0.25">
      <c r="A51">
        <v>59.290669856459331</v>
      </c>
      <c r="B51">
        <v>5.2516853815328099E-2</v>
      </c>
      <c r="C51">
        <v>5.8734413465302643E-2</v>
      </c>
    </row>
    <row r="52" spans="1:3" x14ac:dyDescent="0.25">
      <c r="A52">
        <v>58.93384351256573</v>
      </c>
      <c r="B52">
        <v>5.2870564564257289E-2</v>
      </c>
      <c r="C52">
        <v>1.7948380128651777E-2</v>
      </c>
    </row>
    <row r="53" spans="1:3" x14ac:dyDescent="0.25">
      <c r="A53">
        <v>61.154601226993904</v>
      </c>
      <c r="B53">
        <v>5.3782290743320249E-2</v>
      </c>
      <c r="C53">
        <v>7.909486617541156E-2</v>
      </c>
    </row>
    <row r="54" spans="1:3" x14ac:dyDescent="0.25">
      <c r="A54">
        <v>59.980829420970281</v>
      </c>
      <c r="B54">
        <v>5.4043009918402683E-2</v>
      </c>
      <c r="C54">
        <v>6.6827678247639508E-2</v>
      </c>
    </row>
    <row r="55" spans="1:3" x14ac:dyDescent="0.25">
      <c r="A55">
        <v>59.290669856459331</v>
      </c>
      <c r="B55">
        <v>5.4050508797964809E-2</v>
      </c>
      <c r="C55">
        <v>4.9500256283758641E-2</v>
      </c>
    </row>
    <row r="56" spans="1:3" x14ac:dyDescent="0.25">
      <c r="A56">
        <v>64.84398584905658</v>
      </c>
      <c r="B56">
        <v>5.4564889947038529E-2</v>
      </c>
      <c r="C56">
        <v>0.12870872153031715</v>
      </c>
    </row>
    <row r="57" spans="1:3" x14ac:dyDescent="0.25">
      <c r="A57">
        <v>56.942592592592618</v>
      </c>
      <c r="B57">
        <v>5.4707095291214536E-2</v>
      </c>
      <c r="C57">
        <v>1.3425878499124445E-2</v>
      </c>
    </row>
    <row r="58" spans="1:3" x14ac:dyDescent="0.25">
      <c r="A58">
        <v>66.120187793427235</v>
      </c>
      <c r="B58">
        <v>5.5653099291852318E-2</v>
      </c>
      <c r="C58">
        <v>3.2731874424170443E-2</v>
      </c>
    </row>
    <row r="59" spans="1:3" x14ac:dyDescent="0.25">
      <c r="A59">
        <v>66.120187793427235</v>
      </c>
      <c r="B59">
        <v>5.5664649256181115E-2</v>
      </c>
      <c r="C59">
        <v>2.2253199211342618E-2</v>
      </c>
    </row>
    <row r="60" spans="1:3" x14ac:dyDescent="0.25">
      <c r="A60">
        <v>62.400681818181816</v>
      </c>
      <c r="B60">
        <v>5.5806650608982974E-2</v>
      </c>
      <c r="C60">
        <v>0.12827218702421228</v>
      </c>
    </row>
    <row r="61" spans="1:3" x14ac:dyDescent="0.25">
      <c r="A61">
        <v>64.84398584905658</v>
      </c>
      <c r="B61">
        <v>5.7201763167511625E-2</v>
      </c>
      <c r="C61">
        <v>0.12239411316699547</v>
      </c>
    </row>
    <row r="62" spans="1:3" x14ac:dyDescent="0.25">
      <c r="A62">
        <v>57.46417851500788</v>
      </c>
      <c r="B62">
        <v>5.9576949052382762E-2</v>
      </c>
      <c r="C62">
        <v>8.8158068491430777E-2</v>
      </c>
    </row>
    <row r="63" spans="1:3" x14ac:dyDescent="0.25">
      <c r="A63">
        <v>71.99595352564107</v>
      </c>
      <c r="B63">
        <v>6.1398404262197538E-2</v>
      </c>
      <c r="C63">
        <v>0.18755175000622593</v>
      </c>
    </row>
    <row r="64" spans="1:3" x14ac:dyDescent="0.25">
      <c r="A64">
        <v>59.980829420970281</v>
      </c>
      <c r="B64">
        <v>6.1802936090048118E-2</v>
      </c>
      <c r="C64">
        <v>4.8794563327163309E-2</v>
      </c>
    </row>
    <row r="65" spans="1:3" x14ac:dyDescent="0.25">
      <c r="A65">
        <v>56.942592592592618</v>
      </c>
      <c r="B65">
        <v>6.1836070046208627E-2</v>
      </c>
      <c r="C65">
        <v>1.9497545301060182E-2</v>
      </c>
    </row>
    <row r="66" spans="1:3" x14ac:dyDescent="0.25">
      <c r="A66">
        <v>55.692059748427681</v>
      </c>
      <c r="B66">
        <v>6.2238850288021855E-2</v>
      </c>
      <c r="C66">
        <v>2.8405267917218931E-2</v>
      </c>
    </row>
    <row r="67" spans="1:3" x14ac:dyDescent="0.25">
      <c r="A67">
        <v>49.226236263736283</v>
      </c>
      <c r="B67">
        <v>6.4153162846386697E-2</v>
      </c>
      <c r="C67">
        <v>2.1158950389464647E-2</v>
      </c>
    </row>
    <row r="68" spans="1:3" x14ac:dyDescent="0.25">
      <c r="A68">
        <v>57.46417851500788</v>
      </c>
      <c r="B68">
        <v>6.4783471613881399E-2</v>
      </c>
      <c r="C68">
        <v>5.7004626133902711E-2</v>
      </c>
    </row>
    <row r="69" spans="1:3" x14ac:dyDescent="0.25">
      <c r="A69">
        <v>59.077887788778867</v>
      </c>
      <c r="B69">
        <v>6.545203823340516E-2</v>
      </c>
      <c r="C69">
        <v>1.7338148277062312E-2</v>
      </c>
    </row>
    <row r="70" spans="1:3" x14ac:dyDescent="0.25">
      <c r="A70">
        <v>49.226236263736283</v>
      </c>
      <c r="B70">
        <v>6.6046321813360911E-2</v>
      </c>
      <c r="C70">
        <v>2.3535915056739899E-2</v>
      </c>
    </row>
    <row r="71" spans="1:3" x14ac:dyDescent="0.25">
      <c r="A71">
        <v>62.400681818181816</v>
      </c>
      <c r="B71">
        <v>6.6081398196455601E-2</v>
      </c>
      <c r="C71">
        <v>0.118323814976123</v>
      </c>
    </row>
    <row r="72" spans="1:3" x14ac:dyDescent="0.25">
      <c r="A72">
        <v>59.077887788778867</v>
      </c>
      <c r="B72">
        <v>6.6171748082662712E-2</v>
      </c>
      <c r="C72">
        <v>2.1086924621099186E-2</v>
      </c>
    </row>
    <row r="73" spans="1:3" x14ac:dyDescent="0.25">
      <c r="A73">
        <v>42.553716744913906</v>
      </c>
      <c r="B73">
        <v>6.7823675253183183E-2</v>
      </c>
      <c r="C73">
        <v>3.046235235478267E-2</v>
      </c>
    </row>
    <row r="74" spans="1:3" x14ac:dyDescent="0.25">
      <c r="A74">
        <v>59.980829420970281</v>
      </c>
      <c r="B74">
        <v>6.893693739880126E-2</v>
      </c>
      <c r="C74">
        <v>6.2681671455415547E-2</v>
      </c>
    </row>
    <row r="75" spans="1:3" x14ac:dyDescent="0.25">
      <c r="A75">
        <v>67.751353276353271</v>
      </c>
      <c r="B75">
        <v>6.9357326258496346E-2</v>
      </c>
      <c r="C75">
        <v>1.8154938463421869E-2</v>
      </c>
    </row>
    <row r="76" spans="1:3" x14ac:dyDescent="0.25">
      <c r="A76">
        <v>42.553716744913906</v>
      </c>
      <c r="B76">
        <v>6.9550631719867792E-2</v>
      </c>
      <c r="C76">
        <v>3.21986295383681E-2</v>
      </c>
    </row>
    <row r="77" spans="1:3" x14ac:dyDescent="0.25">
      <c r="A77">
        <v>71.99595352564107</v>
      </c>
      <c r="B77">
        <v>7.5166061044945304E-2</v>
      </c>
      <c r="C77">
        <v>0.20916558177955016</v>
      </c>
    </row>
    <row r="78" spans="1:3" x14ac:dyDescent="0.25">
      <c r="A78">
        <v>51.921287519747246</v>
      </c>
      <c r="B78">
        <v>7.5301538558946432E-2</v>
      </c>
      <c r="C78">
        <v>2.2728947919044243E-2</v>
      </c>
    </row>
    <row r="79" spans="1:3" x14ac:dyDescent="0.25">
      <c r="A79">
        <v>62.149292452830181</v>
      </c>
      <c r="B79">
        <v>7.854581573467824E-2</v>
      </c>
      <c r="C79">
        <v>3.5041794776466448E-2</v>
      </c>
    </row>
    <row r="80" spans="1:3" x14ac:dyDescent="0.25">
      <c r="A80">
        <v>65.071507936507928</v>
      </c>
      <c r="B80">
        <v>7.9294352285678105E-2</v>
      </c>
      <c r="C80">
        <v>2.5406245821687042E-2</v>
      </c>
    </row>
    <row r="81" spans="1:3" x14ac:dyDescent="0.25">
      <c r="A81">
        <v>48.51537558685451</v>
      </c>
      <c r="B81">
        <v>8.1651296068450882E-2</v>
      </c>
      <c r="C81">
        <v>1.8555926783103849E-2</v>
      </c>
    </row>
    <row r="82" spans="1:3" x14ac:dyDescent="0.25">
      <c r="A82">
        <v>59.290669856459331</v>
      </c>
      <c r="B82">
        <v>8.3583955932632653E-2</v>
      </c>
      <c r="C82">
        <v>6.7965083473359889E-2</v>
      </c>
    </row>
    <row r="83" spans="1:3" x14ac:dyDescent="0.25">
      <c r="A83">
        <v>51.632550860719867</v>
      </c>
      <c r="B83">
        <v>8.6028185808956992E-2</v>
      </c>
      <c r="C83">
        <v>2.9170930884436331E-2</v>
      </c>
    </row>
    <row r="84" spans="1:3" x14ac:dyDescent="0.25">
      <c r="A84">
        <v>64.84398584905658</v>
      </c>
      <c r="B84">
        <v>8.8038673405576945E-2</v>
      </c>
      <c r="C84">
        <v>0.1237086490786551</v>
      </c>
    </row>
    <row r="85" spans="1:3" x14ac:dyDescent="0.25">
      <c r="A85">
        <v>58.93384351256573</v>
      </c>
      <c r="B85">
        <v>8.8421790155894214E-2</v>
      </c>
      <c r="C85">
        <v>1.8657639828853018E-2</v>
      </c>
    </row>
    <row r="86" spans="1:3" x14ac:dyDescent="0.25">
      <c r="A86">
        <v>67.751353276353271</v>
      </c>
      <c r="B86">
        <v>9.0727573447917154E-2</v>
      </c>
      <c r="C86">
        <v>1.4379868554051427E-2</v>
      </c>
    </row>
    <row r="87" spans="1:3" x14ac:dyDescent="0.25">
      <c r="A87">
        <v>49.226236263736283</v>
      </c>
      <c r="B87">
        <v>9.0837414995041971E-2</v>
      </c>
      <c r="C87">
        <v>2.1981371938563608E-2</v>
      </c>
    </row>
    <row r="88" spans="1:3" x14ac:dyDescent="0.25">
      <c r="A88">
        <v>66.120187793427235</v>
      </c>
      <c r="B88">
        <v>9.1939015014282519E-2</v>
      </c>
      <c r="C88">
        <v>2.7362777757955377E-2</v>
      </c>
    </row>
    <row r="89" spans="1:3" x14ac:dyDescent="0.25">
      <c r="A89">
        <v>62.149292452830181</v>
      </c>
      <c r="B89">
        <v>9.2974203820211487E-2</v>
      </c>
      <c r="C89">
        <v>2.5947014492635354E-2</v>
      </c>
    </row>
    <row r="90" spans="1:3" x14ac:dyDescent="0.25">
      <c r="A90">
        <v>58.93384351256573</v>
      </c>
      <c r="B90">
        <v>9.590430883080138E-2</v>
      </c>
      <c r="C90">
        <v>1.6318449368984651E-2</v>
      </c>
    </row>
    <row r="91" spans="1:3" x14ac:dyDescent="0.25">
      <c r="A91">
        <v>56.942592592592618</v>
      </c>
      <c r="B91">
        <v>9.6027440767325056E-2</v>
      </c>
      <c r="C91">
        <v>1.7271781509637374E-2</v>
      </c>
    </row>
    <row r="92" spans="1:3" x14ac:dyDescent="0.25">
      <c r="A92">
        <v>57.46417851500788</v>
      </c>
      <c r="B92">
        <v>9.6214252474828663E-2</v>
      </c>
      <c r="C92">
        <v>8.4126589044335495E-2</v>
      </c>
    </row>
    <row r="93" spans="1:3" x14ac:dyDescent="0.25">
      <c r="A93">
        <v>55.692059748427681</v>
      </c>
      <c r="B93">
        <v>9.7492021583684391E-2</v>
      </c>
      <c r="C93">
        <v>1.72102552898881E-2</v>
      </c>
    </row>
    <row r="94" spans="1:3" x14ac:dyDescent="0.25">
      <c r="A94">
        <v>51.921287519747246</v>
      </c>
      <c r="B94">
        <v>9.9944320712694865E-2</v>
      </c>
      <c r="C94">
        <v>1.6633489955545484E-2</v>
      </c>
    </row>
    <row r="95" spans="1:3" x14ac:dyDescent="0.25">
      <c r="A95">
        <v>64.173904761904751</v>
      </c>
      <c r="B95">
        <v>0.10105079739478745</v>
      </c>
      <c r="C95">
        <v>9.7509188407543704E-2</v>
      </c>
    </row>
    <row r="96" spans="1:3" x14ac:dyDescent="0.25">
      <c r="A96">
        <v>65.071507936507928</v>
      </c>
      <c r="B96">
        <v>0.10179329327226121</v>
      </c>
      <c r="C96">
        <v>2.1058982587384558E-2</v>
      </c>
    </row>
    <row r="97" spans="1:3" x14ac:dyDescent="0.25">
      <c r="A97">
        <v>64.173904761904751</v>
      </c>
      <c r="B97">
        <v>0.10190081801238568</v>
      </c>
      <c r="C97">
        <v>7.4679301450955235E-2</v>
      </c>
    </row>
    <row r="98" spans="1:3" x14ac:dyDescent="0.25">
      <c r="A98">
        <v>61.154601226993904</v>
      </c>
      <c r="B98">
        <v>0.10487912735849056</v>
      </c>
      <c r="C98">
        <v>7.3533707961712255E-2</v>
      </c>
    </row>
    <row r="99" spans="1:3" x14ac:dyDescent="0.25">
      <c r="A99">
        <v>59.980829420970281</v>
      </c>
      <c r="B99">
        <v>0.1079101524614967</v>
      </c>
      <c r="C99">
        <v>5.1600963077638215E-2</v>
      </c>
    </row>
    <row r="100" spans="1:3" x14ac:dyDescent="0.25">
      <c r="A100">
        <v>55.692059748427681</v>
      </c>
      <c r="B100">
        <v>0.10844312759091131</v>
      </c>
      <c r="C100">
        <v>3.0350018174229498E-2</v>
      </c>
    </row>
    <row r="101" spans="1:3" x14ac:dyDescent="0.25">
      <c r="A101">
        <v>42.553716744913906</v>
      </c>
      <c r="B101">
        <v>0.11119069477860791</v>
      </c>
      <c r="C101">
        <v>3.0405379149268684E-2</v>
      </c>
    </row>
    <row r="102" spans="1:3" x14ac:dyDescent="0.25">
      <c r="A102">
        <v>71.99595352564107</v>
      </c>
      <c r="B102">
        <v>0.11486344515475928</v>
      </c>
      <c r="C102">
        <v>0.19287908594290198</v>
      </c>
    </row>
    <row r="103" spans="1:3" x14ac:dyDescent="0.25">
      <c r="A103">
        <v>61.154601226993904</v>
      </c>
      <c r="B103">
        <v>0.1169842837332437</v>
      </c>
      <c r="C103">
        <v>4.9501404162638415E-2</v>
      </c>
    </row>
    <row r="104" spans="1:3" x14ac:dyDescent="0.25">
      <c r="A104">
        <v>59.290669856459331</v>
      </c>
      <c r="B104">
        <v>0.11758456569777324</v>
      </c>
      <c r="C104">
        <v>3.6324588559255688E-2</v>
      </c>
    </row>
    <row r="105" spans="1:3" x14ac:dyDescent="0.25">
      <c r="A105">
        <v>64.84398584905658</v>
      </c>
      <c r="B105">
        <v>0.11934829938612916</v>
      </c>
      <c r="C105">
        <v>0.14436909764764871</v>
      </c>
    </row>
    <row r="106" spans="1:3" x14ac:dyDescent="0.25">
      <c r="A106">
        <v>66.120187793427235</v>
      </c>
      <c r="B106">
        <v>0.11967683991624598</v>
      </c>
      <c r="C106">
        <v>2.6161574894189819E-2</v>
      </c>
    </row>
    <row r="107" spans="1:3" x14ac:dyDescent="0.25">
      <c r="A107">
        <v>57.46417851500788</v>
      </c>
      <c r="B107">
        <v>0.12901285587938005</v>
      </c>
      <c r="C107">
        <v>2.5604788774398476E-2</v>
      </c>
    </row>
    <row r="108" spans="1:3" x14ac:dyDescent="0.25">
      <c r="A108">
        <v>59.980829420970281</v>
      </c>
      <c r="B108">
        <v>0.13502442884668317</v>
      </c>
      <c r="C108">
        <v>3.6997805468406711E-2</v>
      </c>
    </row>
    <row r="109" spans="1:3" x14ac:dyDescent="0.25">
      <c r="A109">
        <v>49.226236263736283</v>
      </c>
      <c r="B109">
        <v>0.14172244243974999</v>
      </c>
      <c r="C109">
        <v>1.9101335732765169E-2</v>
      </c>
    </row>
    <row r="110" spans="1:3" x14ac:dyDescent="0.25">
      <c r="A110">
        <v>51.921287519747246</v>
      </c>
      <c r="B110">
        <v>0.14368700279062019</v>
      </c>
      <c r="C110">
        <v>2.1584183219854176E-2</v>
      </c>
    </row>
    <row r="111" spans="1:3" x14ac:dyDescent="0.25">
      <c r="A111">
        <v>62.149292452830181</v>
      </c>
      <c r="B111">
        <v>0.14570585476022413</v>
      </c>
      <c r="C111">
        <v>3.5706835447034041E-2</v>
      </c>
    </row>
    <row r="112" spans="1:3" x14ac:dyDescent="0.25">
      <c r="A112">
        <v>67.751353276353271</v>
      </c>
      <c r="B112">
        <v>0.14716806304258406</v>
      </c>
      <c r="C112">
        <v>1.6179653106543027E-2</v>
      </c>
    </row>
    <row r="113" spans="1:3" x14ac:dyDescent="0.25">
      <c r="A113">
        <v>62.400681818181816</v>
      </c>
      <c r="B113">
        <v>0.14792322409430367</v>
      </c>
      <c r="C113">
        <v>8.8134149448823904E-2</v>
      </c>
    </row>
    <row r="114" spans="1:3" x14ac:dyDescent="0.25">
      <c r="A114">
        <v>56.942592592592618</v>
      </c>
      <c r="B114">
        <v>0.15336845874469288</v>
      </c>
      <c r="C114">
        <v>1.4404782313091707E-2</v>
      </c>
    </row>
    <row r="115" spans="1:3" x14ac:dyDescent="0.25">
      <c r="A115">
        <v>49.226236263736283</v>
      </c>
      <c r="B115">
        <v>0.1546445052277102</v>
      </c>
      <c r="C115">
        <v>1.7755054937822552E-2</v>
      </c>
    </row>
    <row r="116" spans="1:3" x14ac:dyDescent="0.25">
      <c r="A116">
        <v>48.51537558685451</v>
      </c>
      <c r="B116">
        <v>0.15746440087639504</v>
      </c>
      <c r="C116">
        <v>2.0522702866878895E-2</v>
      </c>
    </row>
    <row r="117" spans="1:3" x14ac:dyDescent="0.25">
      <c r="A117">
        <v>51.632550860719867</v>
      </c>
      <c r="B117">
        <v>0.15900677870798449</v>
      </c>
      <c r="C117">
        <v>3.0685224765700382E-2</v>
      </c>
    </row>
    <row r="118" spans="1:3" x14ac:dyDescent="0.25">
      <c r="A118">
        <v>65.071507936507928</v>
      </c>
      <c r="B118">
        <v>0.1611947602982215</v>
      </c>
      <c r="C118">
        <v>1.6665368075433278E-2</v>
      </c>
    </row>
    <row r="119" spans="1:3" x14ac:dyDescent="0.25">
      <c r="A119">
        <v>59.290669856459331</v>
      </c>
      <c r="B119">
        <v>0.16316797867466368</v>
      </c>
      <c r="C119">
        <v>8.4243676931804456E-2</v>
      </c>
    </row>
    <row r="120" spans="1:3" x14ac:dyDescent="0.25">
      <c r="A120">
        <v>48.51537558685451</v>
      </c>
      <c r="B120">
        <v>0.16319696304497211</v>
      </c>
      <c r="C120">
        <v>1.4456967223692998E-2</v>
      </c>
    </row>
    <row r="121" spans="1:3" x14ac:dyDescent="0.25">
      <c r="A121">
        <v>62.400681818181816</v>
      </c>
      <c r="B121">
        <v>0.17288718095856279</v>
      </c>
      <c r="C121">
        <v>9.445756165467914E-2</v>
      </c>
    </row>
    <row r="122" spans="1:3" x14ac:dyDescent="0.25">
      <c r="A122">
        <v>64.173904761904751</v>
      </c>
      <c r="B122">
        <v>0.17452161625176615</v>
      </c>
      <c r="C122">
        <v>9.4496016113266523E-2</v>
      </c>
    </row>
    <row r="123" spans="1:3" x14ac:dyDescent="0.25">
      <c r="A123">
        <v>51.632550860719867</v>
      </c>
      <c r="B123">
        <v>0.17494551255053908</v>
      </c>
      <c r="C123">
        <v>2.6513434632879453E-2</v>
      </c>
    </row>
    <row r="124" spans="1:3" x14ac:dyDescent="0.25">
      <c r="A124">
        <v>64.84398584905658</v>
      </c>
      <c r="B124">
        <v>0.17695557734351311</v>
      </c>
      <c r="C124">
        <v>0.12800661299807761</v>
      </c>
    </row>
    <row r="125" spans="1:3" x14ac:dyDescent="0.25">
      <c r="A125">
        <v>57.46417851500788</v>
      </c>
      <c r="B125">
        <v>0.17823619729011017</v>
      </c>
      <c r="C125">
        <v>7.3838193693588391E-2</v>
      </c>
    </row>
    <row r="126" spans="1:3" x14ac:dyDescent="0.25">
      <c r="A126">
        <v>58.93384351256573</v>
      </c>
      <c r="B126">
        <v>0.18200775042757264</v>
      </c>
      <c r="C126">
        <v>1.5504479364748826E-2</v>
      </c>
    </row>
    <row r="127" spans="1:3" x14ac:dyDescent="0.25">
      <c r="A127">
        <v>66.120187793427235</v>
      </c>
      <c r="B127">
        <v>0.18279113175067813</v>
      </c>
      <c r="C127">
        <v>2.4345113157592083E-2</v>
      </c>
    </row>
    <row r="128" spans="1:3" x14ac:dyDescent="0.25">
      <c r="A128">
        <v>42.553716744913906</v>
      </c>
      <c r="B128">
        <v>0.18282381864892183</v>
      </c>
      <c r="C128">
        <v>3.4615771047820688E-2</v>
      </c>
    </row>
    <row r="129" spans="1:3" x14ac:dyDescent="0.25">
      <c r="A129">
        <v>56.942592592592618</v>
      </c>
      <c r="B129">
        <v>0.18580875505833971</v>
      </c>
      <c r="C129">
        <v>1.254078755110781E-2</v>
      </c>
    </row>
    <row r="130" spans="1:3" x14ac:dyDescent="0.25">
      <c r="A130">
        <v>61.154601226993904</v>
      </c>
      <c r="B130">
        <v>0.19009831460674156</v>
      </c>
      <c r="C130">
        <v>8.2514844677636215E-2</v>
      </c>
    </row>
    <row r="131" spans="1:3" x14ac:dyDescent="0.25">
      <c r="A131">
        <v>59.980829420970281</v>
      </c>
      <c r="B131">
        <v>0.19071146329118246</v>
      </c>
      <c r="C131">
        <v>4.4788817023749601E-2</v>
      </c>
    </row>
    <row r="132" spans="1:3" x14ac:dyDescent="0.25">
      <c r="A132">
        <v>71.99595352564107</v>
      </c>
      <c r="B132">
        <v>0.19456467165312769</v>
      </c>
      <c r="C132">
        <v>0.17425849050505729</v>
      </c>
    </row>
    <row r="133" spans="1:3" x14ac:dyDescent="0.25">
      <c r="A133">
        <v>55.692059748427681</v>
      </c>
      <c r="B133">
        <v>0.20703239759168343</v>
      </c>
      <c r="C133">
        <v>3.1668778734839767E-2</v>
      </c>
    </row>
    <row r="134" spans="1:3" x14ac:dyDescent="0.25">
      <c r="A134">
        <v>42.553716744913906</v>
      </c>
      <c r="B134">
        <v>0.21534502686492565</v>
      </c>
      <c r="C134">
        <v>3.5497169513694957E-2</v>
      </c>
    </row>
    <row r="135" spans="1:3" x14ac:dyDescent="0.25">
      <c r="A135">
        <v>59.077887788778867</v>
      </c>
      <c r="B135">
        <v>0.2176650466357998</v>
      </c>
      <c r="C135">
        <v>1.8916672689166695E-2</v>
      </c>
    </row>
    <row r="136" spans="1:3" x14ac:dyDescent="0.25">
      <c r="A136">
        <v>59.077887788778867</v>
      </c>
      <c r="B136">
        <v>0.2194699459745364</v>
      </c>
      <c r="C136">
        <v>1.592029984097755E-2</v>
      </c>
    </row>
    <row r="137" spans="1:3" x14ac:dyDescent="0.25">
      <c r="A137">
        <v>71.99595352564107</v>
      </c>
      <c r="B137">
        <v>0.22885528488852194</v>
      </c>
      <c r="C137">
        <v>0.1266291259385183</v>
      </c>
    </row>
    <row r="138" spans="1:3" x14ac:dyDescent="0.25">
      <c r="A138">
        <v>64.173904761904751</v>
      </c>
      <c r="B138">
        <v>0.23611146069301117</v>
      </c>
      <c r="C138">
        <v>8.0342683792537298E-2</v>
      </c>
    </row>
    <row r="139" spans="1:3" x14ac:dyDescent="0.25">
      <c r="A139">
        <v>51.921287519747246</v>
      </c>
      <c r="B139">
        <v>0.24438742278438461</v>
      </c>
      <c r="C139">
        <v>2.2359437987128791E-2</v>
      </c>
    </row>
    <row r="140" spans="1:3" x14ac:dyDescent="0.25">
      <c r="A140">
        <v>62.149292452830181</v>
      </c>
      <c r="B140">
        <v>0.24985749428843185</v>
      </c>
      <c r="C140">
        <v>4.7770402071974832E-2</v>
      </c>
    </row>
    <row r="141" spans="1:3" x14ac:dyDescent="0.25">
      <c r="A141">
        <v>59.290669856459331</v>
      </c>
      <c r="B141">
        <v>0.25284282345013476</v>
      </c>
      <c r="C141">
        <v>3.0878586776401637E-2</v>
      </c>
    </row>
    <row r="142" spans="1:3" x14ac:dyDescent="0.25">
      <c r="A142">
        <v>67.751353276353271</v>
      </c>
      <c r="B142">
        <v>0.25332620032446523</v>
      </c>
      <c r="C142">
        <v>1.2844988759465121E-2</v>
      </c>
    </row>
    <row r="143" spans="1:3" x14ac:dyDescent="0.25">
      <c r="A143">
        <v>65.071507936507928</v>
      </c>
      <c r="B143">
        <v>0.26758997009770891</v>
      </c>
      <c r="C143">
        <v>1.7423311132448532E-2</v>
      </c>
    </row>
    <row r="144" spans="1:3" x14ac:dyDescent="0.25">
      <c r="A144">
        <v>62.149292452830181</v>
      </c>
      <c r="B144">
        <v>0.27067270390844733</v>
      </c>
      <c r="C144">
        <v>3.2322023056779052E-2</v>
      </c>
    </row>
    <row r="145" spans="1:3" x14ac:dyDescent="0.25">
      <c r="A145">
        <v>59.290669856459331</v>
      </c>
      <c r="B145">
        <v>0.27090074379123419</v>
      </c>
      <c r="C145">
        <v>7.4071346244294775E-2</v>
      </c>
    </row>
    <row r="146" spans="1:3" x14ac:dyDescent="0.25">
      <c r="A146">
        <v>61.154601226993904</v>
      </c>
      <c r="B146">
        <v>0.27173236623018032</v>
      </c>
      <c r="C146">
        <v>5.9353967822408399E-2</v>
      </c>
    </row>
    <row r="147" spans="1:3" x14ac:dyDescent="0.25">
      <c r="A147">
        <v>71.99595352564107</v>
      </c>
      <c r="B147">
        <v>0.27177582972859188</v>
      </c>
      <c r="C147">
        <v>0.13414585064337464</v>
      </c>
    </row>
    <row r="148" spans="1:3" x14ac:dyDescent="0.25">
      <c r="A148">
        <v>51.632550860719867</v>
      </c>
      <c r="B148">
        <v>0.272447682480985</v>
      </c>
      <c r="C148">
        <v>3.9175806376972704E-2</v>
      </c>
    </row>
    <row r="149" spans="1:3" x14ac:dyDescent="0.25">
      <c r="A149">
        <v>48.51537558685451</v>
      </c>
      <c r="B149">
        <v>0.2725386541027689</v>
      </c>
      <c r="C149">
        <v>2.6492174059671282E-2</v>
      </c>
    </row>
    <row r="150" spans="1:3" x14ac:dyDescent="0.25">
      <c r="A150">
        <v>57.46417851500788</v>
      </c>
      <c r="B150">
        <v>0.27475893304391386</v>
      </c>
      <c r="C150">
        <v>2.885765034546962E-2</v>
      </c>
    </row>
    <row r="151" spans="1:3" x14ac:dyDescent="0.25">
      <c r="A151">
        <v>65.071507936507928</v>
      </c>
      <c r="B151">
        <v>0.27739972475522123</v>
      </c>
      <c r="C151">
        <v>1.9224634788531654E-2</v>
      </c>
    </row>
    <row r="152" spans="1:3" x14ac:dyDescent="0.25">
      <c r="A152">
        <v>64.173904761904751</v>
      </c>
      <c r="B152">
        <v>0.27807045382418266</v>
      </c>
      <c r="C152">
        <v>2.8726925188750047E-2</v>
      </c>
    </row>
    <row r="153" spans="1:3" x14ac:dyDescent="0.25">
      <c r="A153">
        <v>55.692059748427681</v>
      </c>
      <c r="B153">
        <v>0.279629877071085</v>
      </c>
      <c r="C153">
        <v>1.9756407013876758E-2</v>
      </c>
    </row>
    <row r="154" spans="1:3" x14ac:dyDescent="0.25">
      <c r="A154">
        <v>58.93384351256573</v>
      </c>
      <c r="B154">
        <v>0.28022064214708353</v>
      </c>
      <c r="C154">
        <v>1.4694483109262397E-2</v>
      </c>
    </row>
    <row r="155" spans="1:3" x14ac:dyDescent="0.25">
      <c r="A155">
        <v>58.93384351256573</v>
      </c>
      <c r="B155">
        <v>0.28106838554782826</v>
      </c>
      <c r="C155">
        <v>2.4187673443582219E-2</v>
      </c>
    </row>
    <row r="156" spans="1:3" x14ac:dyDescent="0.25">
      <c r="A156">
        <v>49.226236263736283</v>
      </c>
      <c r="B156">
        <v>0.29221335264334525</v>
      </c>
      <c r="C156">
        <v>1.4398587283334376E-2</v>
      </c>
    </row>
    <row r="157" spans="1:3" x14ac:dyDescent="0.25">
      <c r="A157">
        <v>57.46417851500788</v>
      </c>
      <c r="B157">
        <v>0.29436712073779508</v>
      </c>
      <c r="C157">
        <v>8.861365472770133E-2</v>
      </c>
    </row>
    <row r="158" spans="1:3" x14ac:dyDescent="0.25">
      <c r="A158">
        <v>62.400681818181816</v>
      </c>
      <c r="B158">
        <v>0.29748439104491103</v>
      </c>
      <c r="C158">
        <v>9.8862365101372446E-2</v>
      </c>
    </row>
    <row r="159" spans="1:3" x14ac:dyDescent="0.25">
      <c r="A159">
        <v>59.980829420970281</v>
      </c>
      <c r="B159">
        <v>0.29795864069587291</v>
      </c>
      <c r="C159">
        <v>2.9735264745267321E-2</v>
      </c>
    </row>
    <row r="160" spans="1:3" x14ac:dyDescent="0.25">
      <c r="A160">
        <v>67.751353276353271</v>
      </c>
      <c r="B160">
        <v>0.29908467113817488</v>
      </c>
      <c r="C160">
        <v>1.482363301316012E-2</v>
      </c>
    </row>
    <row r="161" spans="1:3" x14ac:dyDescent="0.25">
      <c r="A161">
        <v>71.99595352564107</v>
      </c>
      <c r="B161">
        <v>0.30350468392617314</v>
      </c>
      <c r="C161">
        <v>0.13077860875303748</v>
      </c>
    </row>
    <row r="162" spans="1:3" x14ac:dyDescent="0.25">
      <c r="A162">
        <v>64.84398584905658</v>
      </c>
      <c r="B162">
        <v>0.30504154966378166</v>
      </c>
      <c r="C162">
        <v>0.12808594153496528</v>
      </c>
    </row>
    <row r="163" spans="1:3" x14ac:dyDescent="0.25">
      <c r="A163">
        <v>56.942592592592618</v>
      </c>
      <c r="B163">
        <v>0.3065092481238656</v>
      </c>
      <c r="C163">
        <v>1.8892454684406857E-2</v>
      </c>
    </row>
    <row r="164" spans="1:3" x14ac:dyDescent="0.25">
      <c r="A164">
        <v>51.921287519747246</v>
      </c>
      <c r="B164">
        <v>0.30806730121293802</v>
      </c>
      <c r="C164">
        <v>1.2302817710850657E-2</v>
      </c>
    </row>
    <row r="165" spans="1:3" x14ac:dyDescent="0.25">
      <c r="A165">
        <v>64.173904761904751</v>
      </c>
      <c r="B165">
        <v>0.31396079187969617</v>
      </c>
      <c r="C165">
        <v>2.6481815847842625E-2</v>
      </c>
    </row>
    <row r="166" spans="1:3" x14ac:dyDescent="0.25">
      <c r="A166">
        <v>67.751353276353271</v>
      </c>
      <c r="B166">
        <v>0.32147601090828443</v>
      </c>
      <c r="C166">
        <v>1.6843084263383545E-2</v>
      </c>
    </row>
    <row r="167" spans="1:3" x14ac:dyDescent="0.25">
      <c r="A167">
        <v>61.154601226993904</v>
      </c>
      <c r="B167">
        <v>0.32445660167247975</v>
      </c>
      <c r="C167">
        <v>3.493959265139799E-2</v>
      </c>
    </row>
    <row r="168" spans="1:3" x14ac:dyDescent="0.25">
      <c r="A168">
        <v>66.120187793427235</v>
      </c>
      <c r="B168">
        <v>0.32505514362339732</v>
      </c>
      <c r="C168">
        <v>3.20892468365825E-2</v>
      </c>
    </row>
    <row r="169" spans="1:3" x14ac:dyDescent="0.25">
      <c r="A169">
        <v>59.077887788778867</v>
      </c>
      <c r="B169">
        <v>0.33744603336249795</v>
      </c>
      <c r="C169">
        <v>2.0389081367873121E-2</v>
      </c>
    </row>
    <row r="170" spans="1:3" x14ac:dyDescent="0.25">
      <c r="A170">
        <v>64.173904761904751</v>
      </c>
      <c r="B170">
        <v>0.3411860121177423</v>
      </c>
      <c r="C170">
        <v>4.0817146876839246E-2</v>
      </c>
    </row>
    <row r="171" spans="1:3" x14ac:dyDescent="0.25">
      <c r="A171">
        <v>51.921287519747246</v>
      </c>
      <c r="B171">
        <v>0.3426993288172222</v>
      </c>
      <c r="C171">
        <v>1.7077209117317055E-2</v>
      </c>
    </row>
    <row r="172" spans="1:3" x14ac:dyDescent="0.25">
      <c r="A172">
        <v>56.942592592592618</v>
      </c>
      <c r="B172">
        <v>0.34382832881477315</v>
      </c>
      <c r="C172">
        <v>1.4243107919922756E-2</v>
      </c>
    </row>
    <row r="173" spans="1:3" x14ac:dyDescent="0.25">
      <c r="A173">
        <v>42.553716744913906</v>
      </c>
      <c r="B173">
        <v>0.35025160734546368</v>
      </c>
      <c r="C173">
        <v>3.5213281334960857E-2</v>
      </c>
    </row>
    <row r="174" spans="1:3" x14ac:dyDescent="0.25">
      <c r="A174">
        <v>62.149292452830181</v>
      </c>
      <c r="B174">
        <v>0.35409021715399919</v>
      </c>
      <c r="C174">
        <v>5.3488245999754623E-2</v>
      </c>
    </row>
    <row r="175" spans="1:3" x14ac:dyDescent="0.25">
      <c r="A175">
        <v>61.154601226993904</v>
      </c>
      <c r="B175">
        <v>0.35719286977762799</v>
      </c>
      <c r="C175">
        <v>2.4432098988354533E-2</v>
      </c>
    </row>
    <row r="176" spans="1:3" x14ac:dyDescent="0.25">
      <c r="A176">
        <v>55.692059748427681</v>
      </c>
      <c r="B176">
        <v>0.35822821425127876</v>
      </c>
      <c r="C176">
        <v>3.4028170322820211E-2</v>
      </c>
    </row>
    <row r="177" spans="1:3" x14ac:dyDescent="0.25">
      <c r="A177">
        <v>67.751353276353271</v>
      </c>
      <c r="B177">
        <v>0.36326268464996792</v>
      </c>
      <c r="C177">
        <v>2.2236074946918125E-2</v>
      </c>
    </row>
    <row r="178" spans="1:3" x14ac:dyDescent="0.25">
      <c r="A178">
        <v>48.51537558685451</v>
      </c>
      <c r="B178">
        <v>0.36360637205980428</v>
      </c>
      <c r="C178">
        <v>1.9432056999333095E-2</v>
      </c>
    </row>
    <row r="179" spans="1:3" x14ac:dyDescent="0.25">
      <c r="A179">
        <v>64.84398584905658</v>
      </c>
      <c r="B179">
        <v>0.36444056845079026</v>
      </c>
      <c r="C179">
        <v>0.12479557388558855</v>
      </c>
    </row>
    <row r="180" spans="1:3" x14ac:dyDescent="0.25">
      <c r="A180">
        <v>59.980829420970281</v>
      </c>
      <c r="B180">
        <v>0.36649291219377955</v>
      </c>
      <c r="C180">
        <v>2.7064655763846732E-2</v>
      </c>
    </row>
    <row r="181" spans="1:3" x14ac:dyDescent="0.25">
      <c r="A181">
        <v>71.99595352564107</v>
      </c>
      <c r="B181">
        <v>0.36896221720323075</v>
      </c>
      <c r="C181">
        <v>0.12749227274584113</v>
      </c>
    </row>
    <row r="182" spans="1:3" x14ac:dyDescent="0.25">
      <c r="A182">
        <v>66.120187793427235</v>
      </c>
      <c r="B182">
        <v>0.3698676223562648</v>
      </c>
      <c r="C182">
        <v>2.3023721361131545E-2</v>
      </c>
    </row>
    <row r="183" spans="1:3" x14ac:dyDescent="0.25">
      <c r="A183">
        <v>51.632550860719867</v>
      </c>
      <c r="B183">
        <v>0.37603898262821051</v>
      </c>
      <c r="C183">
        <v>3.1722633599996344E-2</v>
      </c>
    </row>
    <row r="184" spans="1:3" x14ac:dyDescent="0.25">
      <c r="A184">
        <v>62.400681818181816</v>
      </c>
      <c r="B184">
        <v>0.37737745632470227</v>
      </c>
      <c r="C184">
        <v>6.4509278529469805E-2</v>
      </c>
    </row>
    <row r="185" spans="1:3" x14ac:dyDescent="0.25">
      <c r="A185">
        <v>65.071507936507928</v>
      </c>
      <c r="B185">
        <v>0.37901177167317757</v>
      </c>
      <c r="C185">
        <v>2.8337334636985959E-2</v>
      </c>
    </row>
    <row r="186" spans="1:3" x14ac:dyDescent="0.25">
      <c r="A186">
        <v>51.632550860719867</v>
      </c>
      <c r="B186">
        <v>0.38017746076139591</v>
      </c>
      <c r="C186">
        <v>3.7719298245614249E-2</v>
      </c>
    </row>
    <row r="187" spans="1:3" x14ac:dyDescent="0.25">
      <c r="A187">
        <v>58.93384351256573</v>
      </c>
      <c r="B187">
        <v>0.38054776288834669</v>
      </c>
      <c r="C187">
        <v>3.4355517825398682E-2</v>
      </c>
    </row>
    <row r="188" spans="1:3" x14ac:dyDescent="0.25">
      <c r="A188">
        <v>48.51537558685451</v>
      </c>
      <c r="B188">
        <v>0.38857874773084194</v>
      </c>
      <c r="C188">
        <v>3.0961087276040019E-2</v>
      </c>
    </row>
    <row r="189" spans="1:3" x14ac:dyDescent="0.25">
      <c r="A189">
        <v>59.290669856459331</v>
      </c>
      <c r="B189">
        <v>0.39067748289446402</v>
      </c>
      <c r="C189">
        <v>6.6439532581303098E-2</v>
      </c>
    </row>
    <row r="190" spans="1:3" x14ac:dyDescent="0.25">
      <c r="A190">
        <v>61.154601226993904</v>
      </c>
      <c r="B190">
        <v>0.39892722520721396</v>
      </c>
      <c r="C190">
        <v>3.3725972754913611E-2</v>
      </c>
    </row>
    <row r="191" spans="1:3" x14ac:dyDescent="0.25">
      <c r="A191">
        <v>49.226236263736283</v>
      </c>
      <c r="B191">
        <v>0.40082138918872967</v>
      </c>
      <c r="C191">
        <v>1.2839027157912963E-2</v>
      </c>
    </row>
    <row r="192" spans="1:3" x14ac:dyDescent="0.25">
      <c r="A192">
        <v>51.921287519747246</v>
      </c>
      <c r="B192">
        <v>0.40768269109551625</v>
      </c>
      <c r="C192">
        <v>2.7823548305388031E-2</v>
      </c>
    </row>
    <row r="193" spans="1:3" x14ac:dyDescent="0.25">
      <c r="A193">
        <v>59.290669856459331</v>
      </c>
      <c r="B193">
        <v>0.40807571495050343</v>
      </c>
      <c r="C193">
        <v>2.6454709514491657E-2</v>
      </c>
    </row>
    <row r="194" spans="1:3" x14ac:dyDescent="0.25">
      <c r="A194">
        <v>59.980829420970281</v>
      </c>
      <c r="B194">
        <v>0.40891921944097825</v>
      </c>
      <c r="C194">
        <v>3.4694611785296148E-2</v>
      </c>
    </row>
    <row r="195" spans="1:3" x14ac:dyDescent="0.25">
      <c r="A195">
        <v>56.942592592592618</v>
      </c>
      <c r="B195">
        <v>0.40917958731513493</v>
      </c>
      <c r="C195">
        <v>1.9564054731901728E-2</v>
      </c>
    </row>
    <row r="196" spans="1:3" x14ac:dyDescent="0.25">
      <c r="A196">
        <v>51.632550860719867</v>
      </c>
      <c r="B196">
        <v>0.40961964743455059</v>
      </c>
      <c r="C196">
        <v>3.7058550053172934E-2</v>
      </c>
    </row>
    <row r="197" spans="1:3" x14ac:dyDescent="0.25">
      <c r="A197">
        <v>62.149292452830181</v>
      </c>
      <c r="B197">
        <v>0.41798701799427579</v>
      </c>
      <c r="C197">
        <v>5.1250860562262829E-2</v>
      </c>
    </row>
    <row r="198" spans="1:3" x14ac:dyDescent="0.25">
      <c r="A198">
        <v>57.46417851500788</v>
      </c>
      <c r="B198">
        <v>0.41815048523470366</v>
      </c>
      <c r="C198">
        <v>7.9574040262150023E-2</v>
      </c>
    </row>
    <row r="199" spans="1:3" x14ac:dyDescent="0.25">
      <c r="A199">
        <v>48.51537558685451</v>
      </c>
      <c r="B199">
        <v>0.42166034384861423</v>
      </c>
      <c r="C199">
        <v>2.6578698452773598E-2</v>
      </c>
    </row>
    <row r="200" spans="1:3" x14ac:dyDescent="0.25">
      <c r="A200">
        <v>65.071507936507928</v>
      </c>
      <c r="B200">
        <v>0.42723478799848724</v>
      </c>
      <c r="C200">
        <v>2.5888068751300501E-2</v>
      </c>
    </row>
    <row r="201" spans="1:3" x14ac:dyDescent="0.25">
      <c r="A201">
        <v>57.46417851500788</v>
      </c>
      <c r="B201">
        <v>0.4277248148767937</v>
      </c>
      <c r="C201">
        <v>2.1716233359142495E-2</v>
      </c>
    </row>
    <row r="202" spans="1:3" x14ac:dyDescent="0.25">
      <c r="A202">
        <v>59.290669856459331</v>
      </c>
      <c r="B202">
        <v>0.42787254737899005</v>
      </c>
      <c r="C202">
        <v>3.5010267929152683E-2</v>
      </c>
    </row>
    <row r="203" spans="1:3" x14ac:dyDescent="0.25">
      <c r="A203">
        <v>64.84398584905658</v>
      </c>
      <c r="B203">
        <v>0.42825017137369142</v>
      </c>
      <c r="C203">
        <v>0.12625972095527083</v>
      </c>
    </row>
    <row r="204" spans="1:3" x14ac:dyDescent="0.25">
      <c r="A204">
        <v>59.290669856459331</v>
      </c>
      <c r="B204">
        <v>0.42856324711566496</v>
      </c>
      <c r="C204">
        <v>3.2842960287189714E-2</v>
      </c>
    </row>
    <row r="205" spans="1:3" x14ac:dyDescent="0.25">
      <c r="A205">
        <v>56.942592592592618</v>
      </c>
      <c r="B205">
        <v>0.42888281034957343</v>
      </c>
      <c r="C205">
        <v>9.9609609250013928E-3</v>
      </c>
    </row>
    <row r="206" spans="1:3" x14ac:dyDescent="0.25">
      <c r="A206">
        <v>62.400681818181816</v>
      </c>
      <c r="B206">
        <v>0.43115795789665756</v>
      </c>
      <c r="C206">
        <v>2.5666241646546312E-2</v>
      </c>
    </row>
    <row r="207" spans="1:3" x14ac:dyDescent="0.25">
      <c r="A207">
        <v>59.290669856459331</v>
      </c>
      <c r="B207">
        <v>0.43827237898061988</v>
      </c>
      <c r="C207">
        <v>2.5432393667596941E-2</v>
      </c>
    </row>
    <row r="208" spans="1:3" x14ac:dyDescent="0.25">
      <c r="A208">
        <v>58.93384351256573</v>
      </c>
      <c r="B208">
        <v>0.43861028658716533</v>
      </c>
      <c r="C208">
        <v>5.9716470515998335E-2</v>
      </c>
    </row>
    <row r="209" spans="1:3" x14ac:dyDescent="0.25">
      <c r="A209">
        <v>59.290669856459331</v>
      </c>
      <c r="B209">
        <v>0.44421856043174496</v>
      </c>
      <c r="C209">
        <v>1.9085018871988393E-2</v>
      </c>
    </row>
    <row r="210" spans="1:3" x14ac:dyDescent="0.25">
      <c r="A210">
        <v>56.942592592592618</v>
      </c>
      <c r="B210">
        <v>0.44457232314891287</v>
      </c>
      <c r="C210">
        <v>1.8238226829268601E-2</v>
      </c>
    </row>
    <row r="211" spans="1:3" x14ac:dyDescent="0.25">
      <c r="A211">
        <v>59.077887788778867</v>
      </c>
      <c r="B211">
        <v>0.44649840706614008</v>
      </c>
      <c r="C211">
        <v>2.5665177137183293E-2</v>
      </c>
    </row>
    <row r="212" spans="1:3" x14ac:dyDescent="0.25">
      <c r="A212">
        <v>57.46417851500788</v>
      </c>
      <c r="B212">
        <v>0.44705608900281552</v>
      </c>
      <c r="C212">
        <v>4.0056621983287501E-2</v>
      </c>
    </row>
    <row r="213" spans="1:3" x14ac:dyDescent="0.25">
      <c r="A213">
        <v>67.751353276353271</v>
      </c>
      <c r="B213">
        <v>0.44733519130195465</v>
      </c>
      <c r="C213">
        <v>4.5877059789216537E-2</v>
      </c>
    </row>
    <row r="214" spans="1:3" x14ac:dyDescent="0.25">
      <c r="A214">
        <v>62.400681818181816</v>
      </c>
      <c r="B214">
        <v>0.45006480281429384</v>
      </c>
      <c r="C214">
        <v>1.9679202717108133E-2</v>
      </c>
    </row>
    <row r="215" spans="1:3" x14ac:dyDescent="0.25">
      <c r="A215">
        <v>59.077887788778867</v>
      </c>
      <c r="B215">
        <v>0.4510635082549394</v>
      </c>
      <c r="C215">
        <v>2.351856235451931E-2</v>
      </c>
    </row>
    <row r="216" spans="1:3" x14ac:dyDescent="0.25">
      <c r="A216">
        <v>48.51537558685451</v>
      </c>
      <c r="B216">
        <v>0.46224585299317278</v>
      </c>
      <c r="C216">
        <v>1.39236273271875E-2</v>
      </c>
    </row>
    <row r="217" spans="1:3" x14ac:dyDescent="0.25">
      <c r="A217">
        <v>66.120187793427235</v>
      </c>
      <c r="B217">
        <v>0.46261981507686295</v>
      </c>
      <c r="C217">
        <v>2.8843851441986489E-2</v>
      </c>
    </row>
    <row r="218" spans="1:3" x14ac:dyDescent="0.25">
      <c r="A218">
        <v>56.942592592592618</v>
      </c>
      <c r="B218">
        <v>0.46296621249655939</v>
      </c>
      <c r="C218">
        <v>1.5089733107690321E-2</v>
      </c>
    </row>
    <row r="219" spans="1:3" x14ac:dyDescent="0.25">
      <c r="A219">
        <v>42.553716744913906</v>
      </c>
      <c r="B219">
        <v>0.46546402780096846</v>
      </c>
      <c r="C219">
        <v>3.6270349110342791E-2</v>
      </c>
    </row>
    <row r="220" spans="1:3" x14ac:dyDescent="0.25">
      <c r="A220">
        <v>56.942592592592618</v>
      </c>
      <c r="B220">
        <v>0.469122986381451</v>
      </c>
      <c r="C220">
        <v>1.0419271726930296E-2</v>
      </c>
    </row>
    <row r="221" spans="1:3" x14ac:dyDescent="0.25">
      <c r="A221">
        <v>57.46417851500788</v>
      </c>
      <c r="B221">
        <v>0.47125492432096205</v>
      </c>
      <c r="C221">
        <v>2.9535966313227555E-2</v>
      </c>
    </row>
    <row r="222" spans="1:3" x14ac:dyDescent="0.25">
      <c r="A222">
        <v>59.980829420970281</v>
      </c>
      <c r="B222">
        <v>0.47470594041136172</v>
      </c>
      <c r="C222">
        <v>3.0070029423486539E-2</v>
      </c>
    </row>
    <row r="223" spans="1:3" x14ac:dyDescent="0.25">
      <c r="A223">
        <v>59.290669856459331</v>
      </c>
      <c r="B223">
        <v>0.47718106530541915</v>
      </c>
      <c r="C223">
        <v>3.5548921115281171E-2</v>
      </c>
    </row>
    <row r="224" spans="1:3" x14ac:dyDescent="0.25">
      <c r="A224">
        <v>64.84398584905658</v>
      </c>
      <c r="B224">
        <v>0.48015603294452069</v>
      </c>
      <c r="C224">
        <v>9.0441195072357719E-2</v>
      </c>
    </row>
    <row r="225" spans="1:3" x14ac:dyDescent="0.25">
      <c r="A225">
        <v>57.46417851500788</v>
      </c>
      <c r="B225">
        <v>0.4809668224892123</v>
      </c>
      <c r="C225">
        <v>2.4345761084603703E-2</v>
      </c>
    </row>
    <row r="226" spans="1:3" x14ac:dyDescent="0.25">
      <c r="A226">
        <v>57.46417851500788</v>
      </c>
      <c r="B226">
        <v>0.48305644826871241</v>
      </c>
      <c r="C226">
        <v>2.64159585864648E-2</v>
      </c>
    </row>
    <row r="227" spans="1:3" x14ac:dyDescent="0.25">
      <c r="A227">
        <v>48.51537558685451</v>
      </c>
      <c r="B227">
        <v>0.48537866801641882</v>
      </c>
      <c r="C227">
        <v>1.5116270470424057E-2</v>
      </c>
    </row>
    <row r="228" spans="1:3" x14ac:dyDescent="0.25">
      <c r="A228">
        <v>49.226236263736283</v>
      </c>
      <c r="B228">
        <v>0.48710944881981055</v>
      </c>
      <c r="C228">
        <v>1.4240381870702866E-2</v>
      </c>
    </row>
    <row r="229" spans="1:3" x14ac:dyDescent="0.25">
      <c r="A229">
        <v>51.632550860719867</v>
      </c>
      <c r="B229">
        <v>0.48831297638385607</v>
      </c>
      <c r="C229">
        <v>6.3653563655784826E-2</v>
      </c>
    </row>
    <row r="230" spans="1:3" x14ac:dyDescent="0.25">
      <c r="A230">
        <v>59.077887788778867</v>
      </c>
      <c r="B230">
        <v>0.48954768309200852</v>
      </c>
      <c r="C230">
        <v>4.6622383757362988E-2</v>
      </c>
    </row>
    <row r="231" spans="1:3" x14ac:dyDescent="0.25">
      <c r="A231">
        <v>42.553716744913906</v>
      </c>
      <c r="B231">
        <v>0.4902946035242291</v>
      </c>
      <c r="C231">
        <v>3.6407229618007964E-2</v>
      </c>
    </row>
    <row r="232" spans="1:3" x14ac:dyDescent="0.25">
      <c r="A232">
        <v>56.942592592592618</v>
      </c>
      <c r="B232">
        <v>0.49075403717048155</v>
      </c>
      <c r="C232">
        <v>1.4211460265338604E-2</v>
      </c>
    </row>
    <row r="233" spans="1:3" x14ac:dyDescent="0.25">
      <c r="A233">
        <v>48.51537558685451</v>
      </c>
      <c r="B233">
        <v>0.49239168368928293</v>
      </c>
      <c r="C233">
        <v>1.4386985759125641E-2</v>
      </c>
    </row>
    <row r="234" spans="1:3" x14ac:dyDescent="0.25">
      <c r="A234">
        <v>48.51537558685451</v>
      </c>
      <c r="B234">
        <v>0.4941001435881463</v>
      </c>
      <c r="C234">
        <v>5.2474073705574532E-2</v>
      </c>
    </row>
    <row r="235" spans="1:3" x14ac:dyDescent="0.25">
      <c r="A235">
        <v>42.553716744913906</v>
      </c>
      <c r="B235">
        <v>0.50236636971046766</v>
      </c>
      <c r="C235">
        <v>3.9806091959880788E-2</v>
      </c>
    </row>
    <row r="236" spans="1:3" x14ac:dyDescent="0.25">
      <c r="A236">
        <v>51.632550860719867</v>
      </c>
      <c r="B236">
        <v>0.50407051146459092</v>
      </c>
      <c r="C236">
        <v>2.6365969930326912E-2</v>
      </c>
    </row>
    <row r="237" spans="1:3" x14ac:dyDescent="0.25">
      <c r="A237">
        <v>64.173904761904751</v>
      </c>
      <c r="B237">
        <v>0.50419032170857003</v>
      </c>
      <c r="C237">
        <v>3.113363195950156E-2</v>
      </c>
    </row>
    <row r="238" spans="1:3" x14ac:dyDescent="0.25">
      <c r="A238">
        <v>71.99595352564107</v>
      </c>
      <c r="B238">
        <v>0.50692921721823436</v>
      </c>
      <c r="C238">
        <v>0.14466549248507116</v>
      </c>
    </row>
    <row r="239" spans="1:3" x14ac:dyDescent="0.25">
      <c r="A239">
        <v>59.290669856459331</v>
      </c>
      <c r="B239">
        <v>0.51153009780162717</v>
      </c>
      <c r="C239">
        <v>2.7576110566258673E-2</v>
      </c>
    </row>
    <row r="240" spans="1:3" x14ac:dyDescent="0.25">
      <c r="A240">
        <v>64.173904761904751</v>
      </c>
      <c r="B240">
        <v>0.51271644136034777</v>
      </c>
      <c r="C240">
        <v>2.7514220979991569E-2</v>
      </c>
    </row>
    <row r="241" spans="1:3" x14ac:dyDescent="0.25">
      <c r="A241">
        <v>64.173904761904751</v>
      </c>
      <c r="B241">
        <v>0.51355678918434811</v>
      </c>
      <c r="C241">
        <v>3.0074549670055798E-2</v>
      </c>
    </row>
    <row r="242" spans="1:3" x14ac:dyDescent="0.25">
      <c r="A242">
        <v>48.51537558685451</v>
      </c>
      <c r="B242">
        <v>0.5139980582429059</v>
      </c>
      <c r="C242">
        <v>1.6936749860785638E-2</v>
      </c>
    </row>
    <row r="243" spans="1:3" x14ac:dyDescent="0.25">
      <c r="A243">
        <v>59.290669856459331</v>
      </c>
      <c r="B243">
        <v>0.51405675859791089</v>
      </c>
      <c r="C243">
        <v>6.4835835082772436E-2</v>
      </c>
    </row>
    <row r="244" spans="1:3" x14ac:dyDescent="0.25">
      <c r="A244">
        <v>55.692059748427681</v>
      </c>
      <c r="B244">
        <v>0.51603067454328411</v>
      </c>
      <c r="C244">
        <v>3.0899264978546809E-2</v>
      </c>
    </row>
    <row r="245" spans="1:3" x14ac:dyDescent="0.25">
      <c r="A245">
        <v>51.921287519747246</v>
      </c>
      <c r="B245">
        <v>0.5165146403432046</v>
      </c>
      <c r="C245">
        <v>3.6384201654713608E-2</v>
      </c>
    </row>
    <row r="246" spans="1:3" x14ac:dyDescent="0.25">
      <c r="A246">
        <v>66.120187793427235</v>
      </c>
      <c r="B246">
        <v>0.51665617162195465</v>
      </c>
      <c r="C246">
        <v>2.9174408615651914E-2</v>
      </c>
    </row>
    <row r="247" spans="1:3" x14ac:dyDescent="0.25">
      <c r="A247">
        <v>71.99595352564107</v>
      </c>
      <c r="B247">
        <v>0.51667434746160701</v>
      </c>
      <c r="C247">
        <v>0.13931398142742901</v>
      </c>
    </row>
    <row r="248" spans="1:3" x14ac:dyDescent="0.25">
      <c r="A248">
        <v>64.173904761904751</v>
      </c>
      <c r="B248">
        <v>0.51687983119092173</v>
      </c>
      <c r="C248">
        <v>3.3340398304862476E-2</v>
      </c>
    </row>
    <row r="249" spans="1:3" x14ac:dyDescent="0.25">
      <c r="A249">
        <v>64.173904761904751</v>
      </c>
      <c r="B249">
        <v>0.51690778369610468</v>
      </c>
      <c r="C249">
        <v>2.6057730429991884E-2</v>
      </c>
    </row>
    <row r="250" spans="1:3" x14ac:dyDescent="0.25">
      <c r="A250">
        <v>56.942592592592618</v>
      </c>
      <c r="B250">
        <v>0.52086826711104195</v>
      </c>
      <c r="C250">
        <v>1.2420490664065401E-2</v>
      </c>
    </row>
    <row r="251" spans="1:3" x14ac:dyDescent="0.25">
      <c r="A251">
        <v>71.99595352564107</v>
      </c>
      <c r="B251">
        <v>0.52117008232615203</v>
      </c>
      <c r="C251">
        <v>0.13143400430405114</v>
      </c>
    </row>
    <row r="252" spans="1:3" x14ac:dyDescent="0.25">
      <c r="A252">
        <v>64.173904761904751</v>
      </c>
      <c r="B252">
        <v>0.52215442085252384</v>
      </c>
      <c r="C252">
        <v>3.2745660368492878E-2</v>
      </c>
    </row>
    <row r="253" spans="1:3" x14ac:dyDescent="0.25">
      <c r="A253">
        <v>71.99595352564107</v>
      </c>
      <c r="B253">
        <v>0.52274899124739727</v>
      </c>
      <c r="C253">
        <v>0.11075001129893002</v>
      </c>
    </row>
    <row r="254" spans="1:3" x14ac:dyDescent="0.25">
      <c r="A254">
        <v>56.942592592592618</v>
      </c>
      <c r="B254">
        <v>0.52284345320306247</v>
      </c>
      <c r="C254">
        <v>5.2864609042417979E-2</v>
      </c>
    </row>
    <row r="255" spans="1:3" x14ac:dyDescent="0.25">
      <c r="A255">
        <v>65.071507936507928</v>
      </c>
      <c r="B255">
        <v>0.52410814694489571</v>
      </c>
      <c r="C255">
        <v>7.0156530372339709E-2</v>
      </c>
    </row>
    <row r="256" spans="1:3" x14ac:dyDescent="0.25">
      <c r="A256">
        <v>71.99595352564107</v>
      </c>
      <c r="B256">
        <v>0.52452418940008239</v>
      </c>
      <c r="C256">
        <v>0.11582962702663623</v>
      </c>
    </row>
    <row r="257" spans="1:3" x14ac:dyDescent="0.25">
      <c r="A257">
        <v>62.400681818181816</v>
      </c>
      <c r="B257">
        <v>0.52577300499907442</v>
      </c>
      <c r="C257">
        <v>6.8127718093164105E-2</v>
      </c>
    </row>
    <row r="258" spans="1:3" x14ac:dyDescent="0.25">
      <c r="A258">
        <v>57.46417851500788</v>
      </c>
      <c r="B258">
        <v>0.52729205796977718</v>
      </c>
      <c r="C258">
        <v>2.4370525644797421E-2</v>
      </c>
    </row>
    <row r="259" spans="1:3" x14ac:dyDescent="0.25">
      <c r="A259">
        <v>62.149292452830181</v>
      </c>
      <c r="B259">
        <v>0.52932775237572871</v>
      </c>
      <c r="C259">
        <v>5.144107643015268E-2</v>
      </c>
    </row>
    <row r="260" spans="1:3" x14ac:dyDescent="0.25">
      <c r="A260">
        <v>58.93384351256573</v>
      </c>
      <c r="B260">
        <v>0.53185900082576354</v>
      </c>
      <c r="C260">
        <v>6.4038513615362322E-2</v>
      </c>
    </row>
    <row r="261" spans="1:3" x14ac:dyDescent="0.25">
      <c r="A261">
        <v>71.99595352564107</v>
      </c>
      <c r="B261">
        <v>0.53514587276416525</v>
      </c>
      <c r="C261">
        <v>0.11919979924479449</v>
      </c>
    </row>
    <row r="262" spans="1:3" x14ac:dyDescent="0.25">
      <c r="A262">
        <v>51.632550860719867</v>
      </c>
      <c r="B262">
        <v>0.53675403397933918</v>
      </c>
      <c r="C262">
        <v>2.7018502104144901E-2</v>
      </c>
    </row>
    <row r="263" spans="1:3" x14ac:dyDescent="0.25">
      <c r="A263">
        <v>48.51537558685451</v>
      </c>
      <c r="B263">
        <v>0.54419383573846425</v>
      </c>
      <c r="C263">
        <v>2.9625422414486225E-2</v>
      </c>
    </row>
    <row r="264" spans="1:3" x14ac:dyDescent="0.25">
      <c r="A264">
        <v>57.46417851500788</v>
      </c>
      <c r="B264">
        <v>0.54687694381090601</v>
      </c>
      <c r="C264">
        <v>4.390587800198803E-2</v>
      </c>
    </row>
    <row r="265" spans="1:3" x14ac:dyDescent="0.25">
      <c r="A265">
        <v>64.173904761904751</v>
      </c>
      <c r="B265">
        <v>0.54802044649336268</v>
      </c>
      <c r="C265">
        <v>3.6268881454952287E-2</v>
      </c>
    </row>
    <row r="266" spans="1:3" x14ac:dyDescent="0.25">
      <c r="A266">
        <v>51.632550860719867</v>
      </c>
      <c r="B266">
        <v>0.54898022084048026</v>
      </c>
      <c r="C266">
        <v>3.5717614606799848E-2</v>
      </c>
    </row>
    <row r="267" spans="1:3" x14ac:dyDescent="0.25">
      <c r="A267">
        <v>71.99595352564107</v>
      </c>
      <c r="B267">
        <v>0.54929234541951266</v>
      </c>
      <c r="C267">
        <v>0.13928460766665632</v>
      </c>
    </row>
    <row r="268" spans="1:3" x14ac:dyDescent="0.25">
      <c r="A268">
        <v>51.632550860719867</v>
      </c>
      <c r="B268">
        <v>0.54999352063031304</v>
      </c>
      <c r="C268">
        <v>2.8519042554400041E-2</v>
      </c>
    </row>
    <row r="269" spans="1:3" x14ac:dyDescent="0.25">
      <c r="A269">
        <v>59.290669856459331</v>
      </c>
      <c r="B269">
        <v>0.55048292902066487</v>
      </c>
      <c r="C269">
        <v>2.9177189430465461E-2</v>
      </c>
    </row>
    <row r="270" spans="1:3" x14ac:dyDescent="0.25">
      <c r="A270">
        <v>56.942592592592618</v>
      </c>
      <c r="B270">
        <v>0.55310349573355344</v>
      </c>
      <c r="C270">
        <v>1.0703585330451449E-2</v>
      </c>
    </row>
    <row r="271" spans="1:3" x14ac:dyDescent="0.25">
      <c r="A271">
        <v>48.51537558685451</v>
      </c>
      <c r="B271">
        <v>0.55736864494595273</v>
      </c>
      <c r="C271">
        <v>1.5737324254715041E-2</v>
      </c>
    </row>
    <row r="272" spans="1:3" x14ac:dyDescent="0.25">
      <c r="A272">
        <v>57.46417851500788</v>
      </c>
      <c r="B272">
        <v>0.56142259862778732</v>
      </c>
      <c r="C272">
        <v>3.2128151622921514E-2</v>
      </c>
    </row>
    <row r="273" spans="1:3" x14ac:dyDescent="0.25">
      <c r="A273">
        <v>55.692059748427681</v>
      </c>
      <c r="B273">
        <v>0.56825250958540807</v>
      </c>
      <c r="C273">
        <v>2.7582641486482193E-2</v>
      </c>
    </row>
    <row r="274" spans="1:3" x14ac:dyDescent="0.25">
      <c r="A274">
        <v>48.51537558685451</v>
      </c>
      <c r="B274">
        <v>0.57352300291904779</v>
      </c>
      <c r="C274">
        <v>2.5064856641906993E-2</v>
      </c>
    </row>
    <row r="275" spans="1:3" x14ac:dyDescent="0.25">
      <c r="A275">
        <v>59.980829420970281</v>
      </c>
      <c r="B275">
        <v>0.57443461913086391</v>
      </c>
      <c r="C275">
        <v>6.6431878229907926E-2</v>
      </c>
    </row>
    <row r="276" spans="1:3" x14ac:dyDescent="0.25">
      <c r="A276">
        <v>51.632550860719867</v>
      </c>
      <c r="B276">
        <v>0.57536569853720587</v>
      </c>
      <c r="C276">
        <v>3.2535438286026369E-2</v>
      </c>
    </row>
    <row r="277" spans="1:3" x14ac:dyDescent="0.25">
      <c r="A277">
        <v>64.173904761904751</v>
      </c>
      <c r="B277">
        <v>0.57591240875912375</v>
      </c>
      <c r="C277">
        <v>2.5990102697440134E-2</v>
      </c>
    </row>
    <row r="278" spans="1:3" x14ac:dyDescent="0.25">
      <c r="A278">
        <v>61.154601226993904</v>
      </c>
      <c r="B278">
        <v>0.57872726691937471</v>
      </c>
      <c r="C278">
        <v>3.5769034474023437E-2</v>
      </c>
    </row>
    <row r="279" spans="1:3" x14ac:dyDescent="0.25">
      <c r="A279">
        <v>61.154601226993904</v>
      </c>
      <c r="B279">
        <v>0.58230541109726219</v>
      </c>
      <c r="C279">
        <v>3.6821239997633419E-2</v>
      </c>
    </row>
    <row r="280" spans="1:3" x14ac:dyDescent="0.25">
      <c r="A280">
        <v>59.077887788778867</v>
      </c>
      <c r="B280">
        <v>0.58275816020908444</v>
      </c>
      <c r="C280">
        <v>5.7191541747047769E-2</v>
      </c>
    </row>
    <row r="281" spans="1:3" x14ac:dyDescent="0.25">
      <c r="A281">
        <v>64.173904761904751</v>
      </c>
      <c r="B281">
        <v>0.58292461689503483</v>
      </c>
      <c r="C281">
        <v>3.3439287537181339E-2</v>
      </c>
    </row>
    <row r="282" spans="1:3" x14ac:dyDescent="0.25">
      <c r="A282">
        <v>65.071507936507928</v>
      </c>
      <c r="B282">
        <v>0.58381763474067183</v>
      </c>
      <c r="C282">
        <v>2.259661691704154E-2</v>
      </c>
    </row>
    <row r="283" spans="1:3" x14ac:dyDescent="0.25">
      <c r="A283">
        <v>61.154601226993904</v>
      </c>
      <c r="B283">
        <v>0.58387315376077864</v>
      </c>
      <c r="C283">
        <v>3.7672292972328242E-2</v>
      </c>
    </row>
    <row r="284" spans="1:3" x14ac:dyDescent="0.25">
      <c r="A284">
        <v>61.154601226993904</v>
      </c>
      <c r="B284">
        <v>0.58431074964040952</v>
      </c>
      <c r="C284">
        <v>2.9806582810661186E-2</v>
      </c>
    </row>
    <row r="285" spans="1:3" x14ac:dyDescent="0.25">
      <c r="A285">
        <v>65.071507936507928</v>
      </c>
      <c r="B285">
        <v>0.58841469777926192</v>
      </c>
      <c r="C285">
        <v>2.3345820698658093E-2</v>
      </c>
    </row>
    <row r="286" spans="1:3" x14ac:dyDescent="0.25">
      <c r="A286">
        <v>61.154601226993904</v>
      </c>
      <c r="B286">
        <v>0.5901111859838275</v>
      </c>
      <c r="C286">
        <v>5.4451327327924501E-2</v>
      </c>
    </row>
    <row r="287" spans="1:3" x14ac:dyDescent="0.25">
      <c r="A287">
        <v>64.84398584905658</v>
      </c>
      <c r="B287">
        <v>0.59336710073469467</v>
      </c>
      <c r="C287">
        <v>8.7768656363550662E-2</v>
      </c>
    </row>
    <row r="288" spans="1:3" x14ac:dyDescent="0.25">
      <c r="A288">
        <v>61.154601226993904</v>
      </c>
      <c r="B288">
        <v>0.59602444932980447</v>
      </c>
      <c r="C288">
        <v>5.9241047465684891E-2</v>
      </c>
    </row>
    <row r="289" spans="1:3" x14ac:dyDescent="0.25">
      <c r="A289">
        <v>65.071507936507928</v>
      </c>
      <c r="B289">
        <v>0.59656633118859226</v>
      </c>
      <c r="C289">
        <v>1.3943537424034194E-2</v>
      </c>
    </row>
    <row r="290" spans="1:3" x14ac:dyDescent="0.25">
      <c r="A290">
        <v>56.942592592592618</v>
      </c>
      <c r="B290">
        <v>0.59750394114555971</v>
      </c>
      <c r="C290">
        <v>1.4803729350909327E-2</v>
      </c>
    </row>
    <row r="291" spans="1:3" x14ac:dyDescent="0.25">
      <c r="A291">
        <v>42.553716744913906</v>
      </c>
      <c r="B291">
        <v>0.59785639412997904</v>
      </c>
      <c r="C291">
        <v>5.8321611911950594E-2</v>
      </c>
    </row>
    <row r="292" spans="1:3" x14ac:dyDescent="0.25">
      <c r="A292">
        <v>71.99595352564107</v>
      </c>
      <c r="B292">
        <v>0.59894048527326205</v>
      </c>
      <c r="C292">
        <v>0.14335029861940932</v>
      </c>
    </row>
    <row r="293" spans="1:3" x14ac:dyDescent="0.25">
      <c r="A293">
        <v>51.632550860719867</v>
      </c>
      <c r="B293">
        <v>0.60183962264150948</v>
      </c>
      <c r="C293">
        <v>4.1673729711404053E-2</v>
      </c>
    </row>
    <row r="294" spans="1:3" x14ac:dyDescent="0.25">
      <c r="A294">
        <v>57.46417851500788</v>
      </c>
      <c r="B294">
        <v>0.60216769132923476</v>
      </c>
      <c r="C294">
        <v>2.454503316849373E-2</v>
      </c>
    </row>
    <row r="295" spans="1:3" x14ac:dyDescent="0.25">
      <c r="A295">
        <v>48.51537558685451</v>
      </c>
      <c r="B295">
        <v>0.60366731077580893</v>
      </c>
      <c r="C295">
        <v>3.0735826746161689E-2</v>
      </c>
    </row>
    <row r="296" spans="1:3" x14ac:dyDescent="0.25">
      <c r="A296">
        <v>58.93384351256573</v>
      </c>
      <c r="B296">
        <v>0.60380330066180732</v>
      </c>
      <c r="C296">
        <v>1.4510579970305691E-2</v>
      </c>
    </row>
    <row r="297" spans="1:3" x14ac:dyDescent="0.25">
      <c r="A297">
        <v>67.751353276353271</v>
      </c>
      <c r="B297">
        <v>0.60494569584489044</v>
      </c>
      <c r="C297">
        <v>3.4321581196581213E-2</v>
      </c>
    </row>
    <row r="298" spans="1:3" x14ac:dyDescent="0.25">
      <c r="A298">
        <v>71.99595352564107</v>
      </c>
      <c r="B298">
        <v>0.61237384668924477</v>
      </c>
      <c r="C298">
        <v>8.530510988437226E-2</v>
      </c>
    </row>
    <row r="299" spans="1:3" x14ac:dyDescent="0.25">
      <c r="A299">
        <v>65.071507936507928</v>
      </c>
      <c r="B299">
        <v>0.61525628206242933</v>
      </c>
      <c r="C299">
        <v>1.6570701783776547E-2</v>
      </c>
    </row>
    <row r="300" spans="1:3" x14ac:dyDescent="0.25">
      <c r="A300">
        <v>51.632550860719867</v>
      </c>
      <c r="B300">
        <v>0.6161503364708889</v>
      </c>
      <c r="C300">
        <v>2.8798046259795627E-2</v>
      </c>
    </row>
    <row r="301" spans="1:3" x14ac:dyDescent="0.25">
      <c r="A301">
        <v>59.077887788778867</v>
      </c>
      <c r="B301">
        <v>0.61770914215051864</v>
      </c>
      <c r="C301">
        <v>1.687090098406531E-2</v>
      </c>
    </row>
    <row r="302" spans="1:3" x14ac:dyDescent="0.25">
      <c r="A302">
        <v>71.99595352564107</v>
      </c>
      <c r="B302">
        <v>0.620821184374307</v>
      </c>
      <c r="C302">
        <v>0.23111906157651987</v>
      </c>
    </row>
    <row r="303" spans="1:3" x14ac:dyDescent="0.25">
      <c r="A303">
        <v>67.751353276353271</v>
      </c>
      <c r="B303">
        <v>0.62159771982632306</v>
      </c>
      <c r="C303">
        <v>1.5006663154811081E-2</v>
      </c>
    </row>
    <row r="304" spans="1:3" x14ac:dyDescent="0.25">
      <c r="A304">
        <v>66.120187793427235</v>
      </c>
      <c r="B304">
        <v>0.6232834609344674</v>
      </c>
      <c r="C304">
        <v>5.4661243403241681E-2</v>
      </c>
    </row>
    <row r="305" spans="1:3" x14ac:dyDescent="0.25">
      <c r="A305">
        <v>67.751353276353271</v>
      </c>
      <c r="B305">
        <v>0.62364734676873368</v>
      </c>
      <c r="C305">
        <v>1.5584941317233904E-2</v>
      </c>
    </row>
    <row r="306" spans="1:3" x14ac:dyDescent="0.25">
      <c r="A306">
        <v>71.99595352564107</v>
      </c>
      <c r="B306">
        <v>0.6295566672714864</v>
      </c>
      <c r="C306">
        <v>0.13309940897085082</v>
      </c>
    </row>
    <row r="307" spans="1:3" x14ac:dyDescent="0.25">
      <c r="A307">
        <v>58.93384351256573</v>
      </c>
      <c r="B307">
        <v>0.63404948249697346</v>
      </c>
      <c r="C307">
        <v>1.8400784740712901E-2</v>
      </c>
    </row>
    <row r="308" spans="1:3" x14ac:dyDescent="0.25">
      <c r="A308">
        <v>55.692059748427681</v>
      </c>
      <c r="B308">
        <v>0.63407836422716535</v>
      </c>
      <c r="C308">
        <v>4.6873357029072471E-2</v>
      </c>
    </row>
    <row r="309" spans="1:3" x14ac:dyDescent="0.25">
      <c r="A309">
        <v>67.751353276353271</v>
      </c>
      <c r="B309">
        <v>0.63442910574634426</v>
      </c>
      <c r="C309">
        <v>2.3422972374191064E-2</v>
      </c>
    </row>
    <row r="310" spans="1:3" x14ac:dyDescent="0.25">
      <c r="A310">
        <v>67.751353276353271</v>
      </c>
      <c r="B310">
        <v>0.63838150289017359</v>
      </c>
      <c r="C310">
        <v>1.1235688841365176E-2</v>
      </c>
    </row>
    <row r="311" spans="1:3" x14ac:dyDescent="0.25">
      <c r="A311">
        <v>59.077887788778867</v>
      </c>
      <c r="B311">
        <v>0.63981190026517043</v>
      </c>
      <c r="C311">
        <v>2.2114464886922664E-2</v>
      </c>
    </row>
    <row r="312" spans="1:3" x14ac:dyDescent="0.25">
      <c r="A312">
        <v>65.071507936507928</v>
      </c>
      <c r="B312">
        <v>0.64066845291575758</v>
      </c>
      <c r="C312">
        <v>2.3957584388768771E-2</v>
      </c>
    </row>
    <row r="313" spans="1:3" x14ac:dyDescent="0.25">
      <c r="A313">
        <v>58.93384351256573</v>
      </c>
      <c r="B313">
        <v>0.6409596618807879</v>
      </c>
      <c r="C313">
        <v>1.7931480379787038E-2</v>
      </c>
    </row>
    <row r="314" spans="1:3" x14ac:dyDescent="0.25">
      <c r="A314">
        <v>67.751353276353271</v>
      </c>
      <c r="B314">
        <v>0.6417556875030036</v>
      </c>
      <c r="C314">
        <v>2.1174682236884627E-2</v>
      </c>
    </row>
    <row r="315" spans="1:3" x14ac:dyDescent="0.25">
      <c r="A315">
        <v>64.173904761904751</v>
      </c>
      <c r="B315">
        <v>0.64230998533700712</v>
      </c>
      <c r="C315">
        <v>3.6861586234109865E-2</v>
      </c>
    </row>
    <row r="316" spans="1:3" x14ac:dyDescent="0.25">
      <c r="A316">
        <v>62.149292452830181</v>
      </c>
      <c r="B316">
        <v>0.64551980905161732</v>
      </c>
      <c r="C316">
        <v>2.2509182475192378E-2</v>
      </c>
    </row>
    <row r="317" spans="1:3" x14ac:dyDescent="0.25">
      <c r="A317">
        <v>59.290669856459331</v>
      </c>
      <c r="B317">
        <v>0.64674432687404382</v>
      </c>
      <c r="C317">
        <v>4.18171252487686E-2</v>
      </c>
    </row>
    <row r="318" spans="1:3" x14ac:dyDescent="0.25">
      <c r="A318">
        <v>59.077887788778867</v>
      </c>
      <c r="B318">
        <v>0.64707658110200261</v>
      </c>
      <c r="C318">
        <v>1.7612664350135535E-2</v>
      </c>
    </row>
    <row r="319" spans="1:3" x14ac:dyDescent="0.25">
      <c r="A319">
        <v>59.077887788778867</v>
      </c>
      <c r="B319">
        <v>0.64750096339113672</v>
      </c>
      <c r="C319">
        <v>2.16447550353281E-2</v>
      </c>
    </row>
    <row r="320" spans="1:3" x14ac:dyDescent="0.25">
      <c r="A320">
        <v>58.93384351256573</v>
      </c>
      <c r="B320">
        <v>0.65130568356374829</v>
      </c>
      <c r="C320">
        <v>1.6716468524624661E-2</v>
      </c>
    </row>
    <row r="321" spans="1:3" x14ac:dyDescent="0.25">
      <c r="A321">
        <v>51.632550860719867</v>
      </c>
      <c r="B321">
        <v>0.6514993261455525</v>
      </c>
      <c r="C321">
        <v>3.6829928709329357E-2</v>
      </c>
    </row>
    <row r="322" spans="1:3" x14ac:dyDescent="0.25">
      <c r="A322">
        <v>42.553716744913906</v>
      </c>
      <c r="B322">
        <v>0.65197589686098656</v>
      </c>
      <c r="C322">
        <v>3.4368294681872157E-2</v>
      </c>
    </row>
    <row r="323" spans="1:3" x14ac:dyDescent="0.25">
      <c r="A323">
        <v>61.154601226993904</v>
      </c>
      <c r="B323">
        <v>0.65221365708496903</v>
      </c>
      <c r="C323">
        <v>5.5329533762213175E-2</v>
      </c>
    </row>
    <row r="324" spans="1:3" x14ac:dyDescent="0.25">
      <c r="A324">
        <v>58.93384351256573</v>
      </c>
      <c r="B324">
        <v>0.66269574356279548</v>
      </c>
      <c r="C324">
        <v>1.8488544777873015E-2</v>
      </c>
    </row>
    <row r="325" spans="1:3" x14ac:dyDescent="0.25">
      <c r="A325">
        <v>67.751353276353271</v>
      </c>
      <c r="B325">
        <v>0.66835160454454834</v>
      </c>
      <c r="C325">
        <v>2.8920380717085133E-2</v>
      </c>
    </row>
    <row r="326" spans="1:3" x14ac:dyDescent="0.25">
      <c r="A326">
        <v>65.071507936507928</v>
      </c>
      <c r="B326">
        <v>0.67119600017075043</v>
      </c>
      <c r="C326">
        <v>1.8614229035576243E-2</v>
      </c>
    </row>
    <row r="327" spans="1:3" x14ac:dyDescent="0.25">
      <c r="A327">
        <v>51.921287519747246</v>
      </c>
      <c r="B327">
        <v>0.67369433112357635</v>
      </c>
      <c r="C327">
        <v>2.7171136631622399E-2</v>
      </c>
    </row>
    <row r="328" spans="1:3" x14ac:dyDescent="0.25">
      <c r="A328">
        <v>62.149292452830181</v>
      </c>
      <c r="B328">
        <v>0.67392672364354467</v>
      </c>
      <c r="C328">
        <v>2.3057241420906375E-2</v>
      </c>
    </row>
    <row r="329" spans="1:3" x14ac:dyDescent="0.25">
      <c r="A329">
        <v>59.077887788778867</v>
      </c>
      <c r="B329">
        <v>0.67453179190751444</v>
      </c>
      <c r="C329">
        <v>1.9134538699449321E-2</v>
      </c>
    </row>
    <row r="330" spans="1:3" x14ac:dyDescent="0.25">
      <c r="A330">
        <v>56.942592592592618</v>
      </c>
      <c r="B330">
        <v>0.67675959236652894</v>
      </c>
      <c r="C330">
        <v>1.550215985786396E-2</v>
      </c>
    </row>
    <row r="331" spans="1:3" x14ac:dyDescent="0.25">
      <c r="A331">
        <v>61.154601226993904</v>
      </c>
      <c r="B331">
        <v>0.67952290802944415</v>
      </c>
      <c r="C331">
        <v>4.5948702411092168E-2</v>
      </c>
    </row>
    <row r="332" spans="1:3" x14ac:dyDescent="0.25">
      <c r="A332">
        <v>55.692059748427681</v>
      </c>
      <c r="B332">
        <v>0.68990741691178126</v>
      </c>
      <c r="C332">
        <v>5.0174915134651284E-2</v>
      </c>
    </row>
    <row r="333" spans="1:3" x14ac:dyDescent="0.25">
      <c r="A333">
        <v>42.553716744913906</v>
      </c>
      <c r="B333">
        <v>0.69061139332365751</v>
      </c>
      <c r="C333">
        <v>3.5564446009912452E-2</v>
      </c>
    </row>
    <row r="334" spans="1:3" x14ac:dyDescent="0.25">
      <c r="A334">
        <v>58.93384351256573</v>
      </c>
      <c r="B334">
        <v>0.69061356525428252</v>
      </c>
      <c r="C334">
        <v>2.5136552547761072E-2</v>
      </c>
    </row>
    <row r="335" spans="1:3" x14ac:dyDescent="0.25">
      <c r="A335">
        <v>67.751353276353271</v>
      </c>
      <c r="B335">
        <v>0.69184270845566076</v>
      </c>
      <c r="C335">
        <v>1.436351205674702E-2</v>
      </c>
    </row>
    <row r="336" spans="1:3" x14ac:dyDescent="0.25">
      <c r="A336">
        <v>62.149292452830181</v>
      </c>
      <c r="B336">
        <v>0.69242279396483641</v>
      </c>
      <c r="C336">
        <v>2.7635453304299475E-2</v>
      </c>
    </row>
    <row r="337" spans="1:3" x14ac:dyDescent="0.25">
      <c r="A337">
        <v>65.071507936507928</v>
      </c>
      <c r="B337">
        <v>0.6926650423904912</v>
      </c>
      <c r="C337">
        <v>8.2300002258647587E-2</v>
      </c>
    </row>
    <row r="338" spans="1:3" x14ac:dyDescent="0.25">
      <c r="A338">
        <v>51.921287519747246</v>
      </c>
      <c r="B338">
        <v>0.69324545532868098</v>
      </c>
      <c r="C338">
        <v>2.053408761711864E-2</v>
      </c>
    </row>
    <row r="339" spans="1:3" x14ac:dyDescent="0.25">
      <c r="A339">
        <v>57.46417851500788</v>
      </c>
      <c r="B339">
        <v>0.69483326635079112</v>
      </c>
      <c r="C339">
        <v>4.1660768693116419E-2</v>
      </c>
    </row>
    <row r="340" spans="1:3" x14ac:dyDescent="0.25">
      <c r="A340">
        <v>67.751353276353271</v>
      </c>
      <c r="B340">
        <v>0.69621760488812512</v>
      </c>
      <c r="C340">
        <v>1.6921258410620203E-2</v>
      </c>
    </row>
    <row r="341" spans="1:3" x14ac:dyDescent="0.25">
      <c r="A341">
        <v>61.154601226993904</v>
      </c>
      <c r="B341">
        <v>0.69641836713490146</v>
      </c>
      <c r="C341">
        <v>4.7722622085931823E-2</v>
      </c>
    </row>
    <row r="342" spans="1:3" x14ac:dyDescent="0.25">
      <c r="A342">
        <v>48.51537558685451</v>
      </c>
      <c r="B342">
        <v>0.69753965969893283</v>
      </c>
      <c r="C342">
        <v>0.72086951986152092</v>
      </c>
    </row>
    <row r="343" spans="1:3" x14ac:dyDescent="0.25">
      <c r="A343">
        <v>49.226236263736283</v>
      </c>
      <c r="B343">
        <v>0.69766001518547149</v>
      </c>
      <c r="C343">
        <v>1.7933899549305611E-2</v>
      </c>
    </row>
    <row r="344" spans="1:3" x14ac:dyDescent="0.25">
      <c r="A344">
        <v>62.149292452830181</v>
      </c>
      <c r="B344">
        <v>0.69781284357370787</v>
      </c>
      <c r="C344">
        <v>4.5792656955447278E-2</v>
      </c>
    </row>
    <row r="345" spans="1:3" x14ac:dyDescent="0.25">
      <c r="A345">
        <v>62.149292452830181</v>
      </c>
      <c r="B345">
        <v>0.69791880765086534</v>
      </c>
      <c r="C345">
        <v>3.3379983510182024E-2</v>
      </c>
    </row>
    <row r="346" spans="1:3" x14ac:dyDescent="0.25">
      <c r="A346">
        <v>51.921287519747246</v>
      </c>
      <c r="B346">
        <v>0.70198920763273864</v>
      </c>
      <c r="C346">
        <v>2.5242216626050515E-2</v>
      </c>
    </row>
    <row r="347" spans="1:3" x14ac:dyDescent="0.25">
      <c r="A347">
        <v>59.077887788778867</v>
      </c>
      <c r="B347">
        <v>0.70254297106011121</v>
      </c>
      <c r="C347">
        <v>2.4964726678822324E-2</v>
      </c>
    </row>
    <row r="348" spans="1:3" x14ac:dyDescent="0.25">
      <c r="A348">
        <v>61.154601226993904</v>
      </c>
      <c r="B348">
        <v>0.70477529545925766</v>
      </c>
      <c r="C348">
        <v>8.0099349508615178E-2</v>
      </c>
    </row>
    <row r="349" spans="1:3" x14ac:dyDescent="0.25">
      <c r="A349">
        <v>59.980829420970281</v>
      </c>
      <c r="B349">
        <v>0.70647588930074223</v>
      </c>
      <c r="C349">
        <v>2.456983776069992E-2</v>
      </c>
    </row>
    <row r="350" spans="1:3" x14ac:dyDescent="0.25">
      <c r="A350">
        <v>42.553716744913906</v>
      </c>
      <c r="B350">
        <v>0.70845510809300727</v>
      </c>
      <c r="C350">
        <v>3.2641605032098356E-2</v>
      </c>
    </row>
    <row r="351" spans="1:3" x14ac:dyDescent="0.25">
      <c r="A351">
        <v>51.632550860719867</v>
      </c>
      <c r="B351">
        <v>0.70945858386896121</v>
      </c>
      <c r="C351">
        <v>0.77117282576303414</v>
      </c>
    </row>
    <row r="352" spans="1:3" x14ac:dyDescent="0.25">
      <c r="A352">
        <v>51.921287519747246</v>
      </c>
      <c r="B352">
        <v>0.71135131772546301</v>
      </c>
      <c r="C352">
        <v>3.0169242089771627E-2</v>
      </c>
    </row>
    <row r="353" spans="1:3" x14ac:dyDescent="0.25">
      <c r="A353">
        <v>56.942592592592618</v>
      </c>
      <c r="B353">
        <v>0.71151016912866594</v>
      </c>
      <c r="C353">
        <v>0.2669145493974534</v>
      </c>
    </row>
    <row r="354" spans="1:3" x14ac:dyDescent="0.25">
      <c r="A354">
        <v>59.077887788778867</v>
      </c>
      <c r="B354">
        <v>0.71646339360071765</v>
      </c>
      <c r="C354">
        <v>1.8127422498347381E-2</v>
      </c>
    </row>
    <row r="355" spans="1:3" x14ac:dyDescent="0.25">
      <c r="A355">
        <v>48.51537558685451</v>
      </c>
      <c r="B355">
        <v>0.71651308505764677</v>
      </c>
      <c r="C355">
        <v>6.3362024551599866E-2</v>
      </c>
    </row>
    <row r="356" spans="1:3" x14ac:dyDescent="0.25">
      <c r="A356">
        <v>55.692059748427681</v>
      </c>
      <c r="B356">
        <v>0.72220256065793209</v>
      </c>
      <c r="C356">
        <v>2.4772561758007652E-2</v>
      </c>
    </row>
    <row r="357" spans="1:3" x14ac:dyDescent="0.25">
      <c r="A357">
        <v>67.751353276353271</v>
      </c>
      <c r="B357">
        <v>0.72536299201761611</v>
      </c>
      <c r="C357">
        <v>3.3004137161781182E-2</v>
      </c>
    </row>
    <row r="358" spans="1:3" x14ac:dyDescent="0.25">
      <c r="A358">
        <v>62.400681818181816</v>
      </c>
      <c r="B358">
        <v>0.72873984382507717</v>
      </c>
      <c r="C358">
        <v>3.8568980015871175E-2</v>
      </c>
    </row>
    <row r="359" spans="1:3" x14ac:dyDescent="0.25">
      <c r="A359">
        <v>58.93384351256573</v>
      </c>
      <c r="B359">
        <v>0.72887188254769508</v>
      </c>
      <c r="C359">
        <v>2.0274630152870628E-2</v>
      </c>
    </row>
    <row r="360" spans="1:3" x14ac:dyDescent="0.25">
      <c r="A360">
        <v>62.400681818181816</v>
      </c>
      <c r="B360">
        <v>0.72999440271303839</v>
      </c>
      <c r="C360">
        <v>1.890708599435895E-2</v>
      </c>
    </row>
    <row r="361" spans="1:3" x14ac:dyDescent="0.25">
      <c r="A361">
        <v>64.173904761904751</v>
      </c>
      <c r="B361">
        <v>0.73153732872326727</v>
      </c>
      <c r="C361">
        <v>3.2319479792663773E-2</v>
      </c>
    </row>
    <row r="362" spans="1:3" x14ac:dyDescent="0.25">
      <c r="A362">
        <v>51.632550860719867</v>
      </c>
      <c r="B362">
        <v>0.73207047043463613</v>
      </c>
      <c r="C362">
        <v>8.7221839888994679E-2</v>
      </c>
    </row>
    <row r="363" spans="1:3" x14ac:dyDescent="0.25">
      <c r="A363">
        <v>62.400681818181816</v>
      </c>
      <c r="B363">
        <v>0.73282767984643138</v>
      </c>
      <c r="C363">
        <v>2.0476113447643402E-2</v>
      </c>
    </row>
    <row r="364" spans="1:3" x14ac:dyDescent="0.25">
      <c r="A364">
        <v>62.400681818181816</v>
      </c>
      <c r="B364">
        <v>0.73468539632386098</v>
      </c>
      <c r="C364">
        <v>2.738044915935979E-2</v>
      </c>
    </row>
    <row r="365" spans="1:3" x14ac:dyDescent="0.25">
      <c r="A365">
        <v>62.400681818181816</v>
      </c>
      <c r="B365">
        <v>0.73479254941436178</v>
      </c>
      <c r="C365">
        <v>2.1430285941388301E-2</v>
      </c>
    </row>
    <row r="366" spans="1:3" x14ac:dyDescent="0.25">
      <c r="A366">
        <v>51.921287519747246</v>
      </c>
      <c r="B366">
        <v>0.73662410356014685</v>
      </c>
      <c r="C366">
        <v>2.8743095457487978E-2</v>
      </c>
    </row>
    <row r="367" spans="1:3" x14ac:dyDescent="0.25">
      <c r="A367">
        <v>62.149292452830181</v>
      </c>
      <c r="B367">
        <v>0.73798864135944897</v>
      </c>
      <c r="C367">
        <v>0.14337135220750277</v>
      </c>
    </row>
    <row r="368" spans="1:3" x14ac:dyDescent="0.25">
      <c r="A368">
        <v>62.149292452830181</v>
      </c>
      <c r="B368">
        <v>0.73857489102487306</v>
      </c>
      <c r="C368">
        <v>3.1017154340251103E-2</v>
      </c>
    </row>
    <row r="369" spans="1:3" x14ac:dyDescent="0.25">
      <c r="A369">
        <v>59.077887788778867</v>
      </c>
      <c r="B369">
        <v>0.73907332869291598</v>
      </c>
      <c r="C369">
        <v>3.2578623294543092E-2</v>
      </c>
    </row>
    <row r="370" spans="1:3" x14ac:dyDescent="0.25">
      <c r="A370">
        <v>65.071507936507928</v>
      </c>
      <c r="B370">
        <v>0.74098719676549873</v>
      </c>
      <c r="C370">
        <v>0.24411744001233829</v>
      </c>
    </row>
    <row r="371" spans="1:3" x14ac:dyDescent="0.25">
      <c r="A371">
        <v>59.980829420970281</v>
      </c>
      <c r="B371">
        <v>0.74244009794839028</v>
      </c>
      <c r="C371">
        <v>2.6240975447952664E-2</v>
      </c>
    </row>
    <row r="372" spans="1:3" x14ac:dyDescent="0.25">
      <c r="A372">
        <v>58.93384351256573</v>
      </c>
      <c r="B372">
        <v>0.74342690755765128</v>
      </c>
      <c r="C372">
        <v>0.55963265111634575</v>
      </c>
    </row>
    <row r="373" spans="1:3" x14ac:dyDescent="0.25">
      <c r="A373">
        <v>62.400681818181816</v>
      </c>
      <c r="B373">
        <v>0.74431452607746984</v>
      </c>
      <c r="C373">
        <v>2.729174878761223E-2</v>
      </c>
    </row>
    <row r="374" spans="1:3" x14ac:dyDescent="0.25">
      <c r="A374">
        <v>42.553716744913906</v>
      </c>
      <c r="B374">
        <v>0.74718441665224156</v>
      </c>
      <c r="C374">
        <v>3.5334195703217823E-2</v>
      </c>
    </row>
    <row r="375" spans="1:3" x14ac:dyDescent="0.25">
      <c r="A375">
        <v>51.921287519747246</v>
      </c>
      <c r="B375">
        <v>0.75527031930333821</v>
      </c>
      <c r="C375">
        <v>0.3494371560595631</v>
      </c>
    </row>
    <row r="376" spans="1:3" x14ac:dyDescent="0.25">
      <c r="A376">
        <v>42.553716744913906</v>
      </c>
      <c r="B376">
        <v>0.76096698113207539</v>
      </c>
      <c r="C376">
        <v>3.1756295672639816E-2</v>
      </c>
    </row>
    <row r="377" spans="1:3" x14ac:dyDescent="0.25">
      <c r="A377">
        <v>49.226236263736283</v>
      </c>
      <c r="B377">
        <v>0.76220912639661642</v>
      </c>
      <c r="C377">
        <v>2.6980439202464613E-2</v>
      </c>
    </row>
    <row r="378" spans="1:3" x14ac:dyDescent="0.25">
      <c r="A378">
        <v>59.290669856459331</v>
      </c>
      <c r="B378">
        <v>0.76240519792822792</v>
      </c>
      <c r="C378">
        <v>0.45125116562037637</v>
      </c>
    </row>
    <row r="379" spans="1:3" x14ac:dyDescent="0.25">
      <c r="A379">
        <v>58.93384351256573</v>
      </c>
      <c r="B379">
        <v>0.76558176673783651</v>
      </c>
      <c r="C379">
        <v>3.5712164192926124E-2</v>
      </c>
    </row>
    <row r="380" spans="1:3" x14ac:dyDescent="0.25">
      <c r="A380">
        <v>65.071507936507928</v>
      </c>
      <c r="B380">
        <v>0.76792426507749334</v>
      </c>
      <c r="C380">
        <v>0.112558671512292</v>
      </c>
    </row>
    <row r="381" spans="1:3" x14ac:dyDescent="0.25">
      <c r="A381">
        <v>55.692059748427681</v>
      </c>
      <c r="B381">
        <v>0.77009339864160742</v>
      </c>
      <c r="C381">
        <v>2.10379478363905E-2</v>
      </c>
    </row>
    <row r="382" spans="1:3" x14ac:dyDescent="0.25">
      <c r="A382">
        <v>64.84398584905658</v>
      </c>
      <c r="B382">
        <v>0.77020647050043101</v>
      </c>
      <c r="C382">
        <v>8.6836517652534001E-2</v>
      </c>
    </row>
    <row r="383" spans="1:3" x14ac:dyDescent="0.25">
      <c r="A383">
        <v>51.921287519747246</v>
      </c>
      <c r="B383">
        <v>0.77104117966271501</v>
      </c>
      <c r="C383">
        <v>5.1989703888892874E-2</v>
      </c>
    </row>
    <row r="384" spans="1:3" x14ac:dyDescent="0.25">
      <c r="A384">
        <v>59.980829420970281</v>
      </c>
      <c r="B384">
        <v>0.77451217376072901</v>
      </c>
      <c r="C384">
        <v>3.0595567773760761E-2</v>
      </c>
    </row>
    <row r="385" spans="1:3" x14ac:dyDescent="0.25">
      <c r="A385">
        <v>59.980829420970281</v>
      </c>
      <c r="B385">
        <v>0.7811393793226985</v>
      </c>
      <c r="C385">
        <v>3.8570393360587943E-2</v>
      </c>
    </row>
    <row r="386" spans="1:3" x14ac:dyDescent="0.25">
      <c r="A386">
        <v>67.751353276353271</v>
      </c>
      <c r="B386">
        <v>0.78376199819695602</v>
      </c>
      <c r="C386">
        <v>1.8789104853813011E-2</v>
      </c>
    </row>
    <row r="387" spans="1:3" x14ac:dyDescent="0.25">
      <c r="A387">
        <v>51.921287519747246</v>
      </c>
      <c r="B387">
        <v>0.78622745179348952</v>
      </c>
      <c r="C387">
        <v>0.1815721349035877</v>
      </c>
    </row>
    <row r="388" spans="1:3" x14ac:dyDescent="0.25">
      <c r="A388">
        <v>62.400681818181816</v>
      </c>
      <c r="B388">
        <v>0.78855463924409874</v>
      </c>
      <c r="C388">
        <v>4.6483180428134575E-2</v>
      </c>
    </row>
    <row r="389" spans="1:3" x14ac:dyDescent="0.25">
      <c r="A389">
        <v>64.84398584905658</v>
      </c>
      <c r="B389">
        <v>0.79130700065744974</v>
      </c>
      <c r="C389">
        <v>0.10001325650203167</v>
      </c>
    </row>
    <row r="390" spans="1:3" x14ac:dyDescent="0.25">
      <c r="A390">
        <v>59.077887788778867</v>
      </c>
      <c r="B390">
        <v>0.7915892598663713</v>
      </c>
      <c r="C390">
        <v>0.38909960647806041</v>
      </c>
    </row>
    <row r="391" spans="1:3" x14ac:dyDescent="0.25">
      <c r="A391">
        <v>66.120187793427235</v>
      </c>
      <c r="B391">
        <v>0.79210309293309888</v>
      </c>
      <c r="C391">
        <v>3.0567690404111468E-2</v>
      </c>
    </row>
    <row r="392" spans="1:3" x14ac:dyDescent="0.25">
      <c r="A392">
        <v>71.99595352564107</v>
      </c>
      <c r="B392">
        <v>0.79264519680704659</v>
      </c>
      <c r="C392">
        <v>9.4740086837137041E-2</v>
      </c>
    </row>
    <row r="393" spans="1:3" x14ac:dyDescent="0.25">
      <c r="A393">
        <v>59.980829420970281</v>
      </c>
      <c r="B393">
        <v>0.79314827754134132</v>
      </c>
      <c r="C393">
        <v>4.0119849386500296E-2</v>
      </c>
    </row>
    <row r="394" spans="1:3" x14ac:dyDescent="0.25">
      <c r="A394">
        <v>55.692059748427681</v>
      </c>
      <c r="B394">
        <v>0.79383330547164344</v>
      </c>
      <c r="C394">
        <v>0.10515204530927316</v>
      </c>
    </row>
    <row r="395" spans="1:3" x14ac:dyDescent="0.25">
      <c r="A395">
        <v>59.980829420970281</v>
      </c>
      <c r="B395">
        <v>0.79410029498525103</v>
      </c>
      <c r="C395">
        <v>4.3075272221929632E-2</v>
      </c>
    </row>
    <row r="396" spans="1:3" x14ac:dyDescent="0.25">
      <c r="A396">
        <v>64.84398584905658</v>
      </c>
      <c r="B396">
        <v>0.79465599671994314</v>
      </c>
      <c r="C396">
        <v>7.3535457980969443E-2</v>
      </c>
    </row>
    <row r="397" spans="1:3" x14ac:dyDescent="0.25">
      <c r="A397">
        <v>71.99595352564107</v>
      </c>
      <c r="B397">
        <v>0.79528152429886556</v>
      </c>
      <c r="C397">
        <v>7.3755733932470785E-2</v>
      </c>
    </row>
    <row r="398" spans="1:3" x14ac:dyDescent="0.25">
      <c r="A398">
        <v>42.553716744913906</v>
      </c>
      <c r="B398">
        <v>0.79611624524023439</v>
      </c>
      <c r="C398">
        <v>4.4084780481563252E-2</v>
      </c>
    </row>
    <row r="399" spans="1:3" x14ac:dyDescent="0.25">
      <c r="A399">
        <v>59.980829420970281</v>
      </c>
      <c r="B399">
        <v>0.7961311905820575</v>
      </c>
      <c r="C399">
        <v>1.0064228661926118</v>
      </c>
    </row>
    <row r="400" spans="1:3" x14ac:dyDescent="0.25">
      <c r="A400">
        <v>42.553716744913906</v>
      </c>
      <c r="B400">
        <v>0.7968136896810819</v>
      </c>
      <c r="C400">
        <v>0.7209149723345164</v>
      </c>
    </row>
    <row r="401" spans="1:3" x14ac:dyDescent="0.25">
      <c r="A401">
        <v>58.93384351256573</v>
      </c>
      <c r="B401">
        <v>0.79984620302928222</v>
      </c>
      <c r="C401">
        <v>1.8688485047842075E-2</v>
      </c>
    </row>
    <row r="402" spans="1:3" x14ac:dyDescent="0.25">
      <c r="A402">
        <v>64.84398584905658</v>
      </c>
      <c r="B402">
        <v>0.80008973271419392</v>
      </c>
      <c r="C402">
        <v>7.3188266170722382E-2</v>
      </c>
    </row>
    <row r="403" spans="1:3" x14ac:dyDescent="0.25">
      <c r="A403">
        <v>55.692059748427681</v>
      </c>
      <c r="B403">
        <v>0.80013508941399136</v>
      </c>
      <c r="C403">
        <v>4.0690161548383549E-2</v>
      </c>
    </row>
    <row r="404" spans="1:3" x14ac:dyDescent="0.25">
      <c r="A404">
        <v>61.154601226993904</v>
      </c>
      <c r="B404">
        <v>0.80266817290031722</v>
      </c>
      <c r="C404">
        <v>5.9099843719927297E-2</v>
      </c>
    </row>
    <row r="405" spans="1:3" x14ac:dyDescent="0.25">
      <c r="A405">
        <v>59.980829420970281</v>
      </c>
      <c r="B405">
        <v>0.80288446767702071</v>
      </c>
      <c r="C405">
        <v>3.2905844445593829E-2</v>
      </c>
    </row>
    <row r="406" spans="1:3" x14ac:dyDescent="0.25">
      <c r="A406">
        <v>48.51537558685451</v>
      </c>
      <c r="B406">
        <v>0.8056270410649915</v>
      </c>
      <c r="C406">
        <v>0.86310966155355251</v>
      </c>
    </row>
    <row r="407" spans="1:3" x14ac:dyDescent="0.25">
      <c r="A407">
        <v>59.290669856459331</v>
      </c>
      <c r="B407">
        <v>0.8077086638003006</v>
      </c>
      <c r="C407">
        <v>8.9071592308919201E-2</v>
      </c>
    </row>
    <row r="408" spans="1:3" x14ac:dyDescent="0.25">
      <c r="A408">
        <v>66.120187793427235</v>
      </c>
      <c r="B408">
        <v>0.80963101801346671</v>
      </c>
      <c r="C408">
        <v>2.2320481895775769E-2</v>
      </c>
    </row>
    <row r="409" spans="1:3" x14ac:dyDescent="0.25">
      <c r="A409">
        <v>58.93384351256573</v>
      </c>
      <c r="B409">
        <v>0.81343798059076222</v>
      </c>
      <c r="C409">
        <v>2.0405669619906659E-2</v>
      </c>
    </row>
    <row r="410" spans="1:3" x14ac:dyDescent="0.25">
      <c r="A410">
        <v>62.149292452830181</v>
      </c>
      <c r="B410">
        <v>0.81344643136903771</v>
      </c>
      <c r="C410">
        <v>7.345454427651861E-2</v>
      </c>
    </row>
    <row r="411" spans="1:3" x14ac:dyDescent="0.25">
      <c r="A411">
        <v>48.51537558685451</v>
      </c>
      <c r="B411">
        <v>0.81352493073964205</v>
      </c>
      <c r="C411">
        <v>0.59752461282183467</v>
      </c>
    </row>
    <row r="412" spans="1:3" x14ac:dyDescent="0.25">
      <c r="A412">
        <v>64.84398584905658</v>
      </c>
      <c r="B412">
        <v>0.81705128158514428</v>
      </c>
      <c r="C412">
        <v>8.288733365914798E-2</v>
      </c>
    </row>
    <row r="413" spans="1:3" x14ac:dyDescent="0.25">
      <c r="A413">
        <v>62.400681818181816</v>
      </c>
      <c r="B413">
        <v>0.81852862223384881</v>
      </c>
      <c r="C413">
        <v>3.0417370785446218E-2</v>
      </c>
    </row>
    <row r="414" spans="1:3" x14ac:dyDescent="0.25">
      <c r="A414">
        <v>57.46417851500788</v>
      </c>
      <c r="B414">
        <v>0.8185979056192707</v>
      </c>
      <c r="C414">
        <v>0.21585018487053131</v>
      </c>
    </row>
    <row r="415" spans="1:3" x14ac:dyDescent="0.25">
      <c r="A415">
        <v>62.400681818181816</v>
      </c>
      <c r="B415">
        <v>0.82227528462516897</v>
      </c>
      <c r="C415">
        <v>2.3500377862843695E-2</v>
      </c>
    </row>
    <row r="416" spans="1:3" x14ac:dyDescent="0.25">
      <c r="A416">
        <v>56.942592592592618</v>
      </c>
      <c r="B416">
        <v>0.82481345244350945</v>
      </c>
      <c r="C416">
        <v>8.9211689518890414E-2</v>
      </c>
    </row>
    <row r="417" spans="1:3" x14ac:dyDescent="0.25">
      <c r="A417">
        <v>66.120187793427235</v>
      </c>
      <c r="B417">
        <v>0.82489739578991761</v>
      </c>
      <c r="C417">
        <v>4.239300974245467E-2</v>
      </c>
    </row>
    <row r="418" spans="1:3" x14ac:dyDescent="0.25">
      <c r="A418">
        <v>51.632550860719867</v>
      </c>
      <c r="B418">
        <v>0.82620677832266654</v>
      </c>
      <c r="C418">
        <v>0.770360050084686</v>
      </c>
    </row>
    <row r="419" spans="1:3" x14ac:dyDescent="0.25">
      <c r="A419">
        <v>65.071507936507928</v>
      </c>
      <c r="B419">
        <v>0.83223875181422358</v>
      </c>
      <c r="C419">
        <v>0.54650410855046794</v>
      </c>
    </row>
    <row r="420" spans="1:3" x14ac:dyDescent="0.25">
      <c r="A420">
        <v>56.942592592592618</v>
      </c>
      <c r="B420">
        <v>0.83246972199284408</v>
      </c>
      <c r="C420">
        <v>1.3222917044287359</v>
      </c>
    </row>
    <row r="421" spans="1:3" x14ac:dyDescent="0.25">
      <c r="A421">
        <v>66.120187793427235</v>
      </c>
      <c r="B421">
        <v>0.83419685351425443</v>
      </c>
      <c r="C421">
        <v>5.5204806909198108E-2</v>
      </c>
    </row>
    <row r="422" spans="1:3" x14ac:dyDescent="0.25">
      <c r="A422">
        <v>65.071507936507928</v>
      </c>
      <c r="B422">
        <v>0.83455712788259961</v>
      </c>
      <c r="C422">
        <v>0.15748902609708393</v>
      </c>
    </row>
    <row r="423" spans="1:3" x14ac:dyDescent="0.25">
      <c r="A423">
        <v>49.226236263736283</v>
      </c>
      <c r="B423">
        <v>0.83581481764271714</v>
      </c>
      <c r="C423">
        <v>1.7822537600687499E-2</v>
      </c>
    </row>
    <row r="424" spans="1:3" x14ac:dyDescent="0.25">
      <c r="A424">
        <v>65.071507936507928</v>
      </c>
      <c r="B424">
        <v>0.83694422116930367</v>
      </c>
      <c r="C424">
        <v>0.28040646152732435</v>
      </c>
    </row>
    <row r="425" spans="1:3" x14ac:dyDescent="0.25">
      <c r="A425">
        <v>55.692059748427681</v>
      </c>
      <c r="B425">
        <v>0.83919860479377928</v>
      </c>
      <c r="C425">
        <v>2.8644901332585126E-2</v>
      </c>
    </row>
    <row r="426" spans="1:3" x14ac:dyDescent="0.25">
      <c r="A426">
        <v>59.077887788778867</v>
      </c>
      <c r="B426">
        <v>0.83929263067064874</v>
      </c>
      <c r="C426">
        <v>0.12269714735046029</v>
      </c>
    </row>
    <row r="427" spans="1:3" x14ac:dyDescent="0.25">
      <c r="A427">
        <v>51.921287519747246</v>
      </c>
      <c r="B427">
        <v>0.84043039808782471</v>
      </c>
      <c r="C427">
        <v>6.8539246276252908E-2</v>
      </c>
    </row>
    <row r="428" spans="1:3" x14ac:dyDescent="0.25">
      <c r="A428">
        <v>42.553716744913906</v>
      </c>
      <c r="B428">
        <v>0.84140965166908566</v>
      </c>
      <c r="C428">
        <v>4.0608171412565293E-2</v>
      </c>
    </row>
    <row r="429" spans="1:3" x14ac:dyDescent="0.25">
      <c r="A429">
        <v>51.632550860719867</v>
      </c>
      <c r="B429">
        <v>0.84301231068618332</v>
      </c>
      <c r="C429">
        <v>0.45957989763404383</v>
      </c>
    </row>
    <row r="430" spans="1:3" x14ac:dyDescent="0.25">
      <c r="A430">
        <v>64.84398584905658</v>
      </c>
      <c r="B430">
        <v>0.84422635559177828</v>
      </c>
      <c r="C430">
        <v>6.6585309093267556E-2</v>
      </c>
    </row>
    <row r="431" spans="1:3" x14ac:dyDescent="0.25">
      <c r="A431">
        <v>65.071507936507928</v>
      </c>
      <c r="B431">
        <v>0.84879555938824702</v>
      </c>
      <c r="C431">
        <v>0.67048122289915413</v>
      </c>
    </row>
    <row r="432" spans="1:3" x14ac:dyDescent="0.25">
      <c r="A432">
        <v>64.84398584905658</v>
      </c>
      <c r="B432">
        <v>0.85165598698468825</v>
      </c>
      <c r="C432">
        <v>0.11456603646998383</v>
      </c>
    </row>
    <row r="433" spans="1:3" x14ac:dyDescent="0.25">
      <c r="A433">
        <v>62.149292452830181</v>
      </c>
      <c r="B433">
        <v>0.85773839831248144</v>
      </c>
      <c r="C433">
        <v>5.3588180112570258E-2</v>
      </c>
    </row>
    <row r="434" spans="1:3" x14ac:dyDescent="0.25">
      <c r="A434">
        <v>66.120187793427235</v>
      </c>
      <c r="B434">
        <v>0.86497921229005359</v>
      </c>
      <c r="C434">
        <v>2.4072340358606052E-2</v>
      </c>
    </row>
    <row r="435" spans="1:3" x14ac:dyDescent="0.25">
      <c r="A435">
        <v>42.553716744913906</v>
      </c>
      <c r="B435">
        <v>0.87111810115534871</v>
      </c>
      <c r="C435">
        <v>1.1613671418732199</v>
      </c>
    </row>
    <row r="436" spans="1:3" x14ac:dyDescent="0.25">
      <c r="A436">
        <v>66.120187793427235</v>
      </c>
      <c r="B436">
        <v>0.87555956477891905</v>
      </c>
      <c r="C436">
        <v>7.3053996930405138E-2</v>
      </c>
    </row>
    <row r="437" spans="1:3" x14ac:dyDescent="0.25">
      <c r="A437">
        <v>59.077887788778867</v>
      </c>
      <c r="B437">
        <v>0.87889980732177309</v>
      </c>
      <c r="C437">
        <v>0.36281171369732101</v>
      </c>
    </row>
    <row r="438" spans="1:3" x14ac:dyDescent="0.25">
      <c r="A438">
        <v>51.921287519747246</v>
      </c>
      <c r="B438">
        <v>0.8812235059429806</v>
      </c>
      <c r="C438">
        <v>1.8499131658785699</v>
      </c>
    </row>
    <row r="439" spans="1:3" x14ac:dyDescent="0.25">
      <c r="A439">
        <v>64.84398584905658</v>
      </c>
      <c r="B439">
        <v>0.8866810367612078</v>
      </c>
      <c r="C439">
        <v>0.11787727459496107</v>
      </c>
    </row>
    <row r="440" spans="1:3" x14ac:dyDescent="0.25">
      <c r="A440">
        <v>58.93384351256573</v>
      </c>
      <c r="B440">
        <v>0.88685569140168008</v>
      </c>
      <c r="C440">
        <v>0.35387047257620707</v>
      </c>
    </row>
    <row r="441" spans="1:3" x14ac:dyDescent="0.25">
      <c r="A441">
        <v>51.921287519747246</v>
      </c>
      <c r="B441">
        <v>0.88845894671366366</v>
      </c>
      <c r="C441">
        <v>0.81781312979421428</v>
      </c>
    </row>
    <row r="442" spans="1:3" x14ac:dyDescent="0.25">
      <c r="A442">
        <v>64.173904761904751</v>
      </c>
      <c r="B442">
        <v>0.88947568246838304</v>
      </c>
      <c r="C442">
        <v>0.20282406888448828</v>
      </c>
    </row>
    <row r="443" spans="1:3" x14ac:dyDescent="0.25">
      <c r="A443">
        <v>59.980829420970281</v>
      </c>
      <c r="B443">
        <v>0.89029839087642504</v>
      </c>
      <c r="C443">
        <v>8.4985093062831016E-2</v>
      </c>
    </row>
    <row r="444" spans="1:3" x14ac:dyDescent="0.25">
      <c r="A444">
        <v>57.46417851500788</v>
      </c>
      <c r="B444">
        <v>0.89166857989647685</v>
      </c>
      <c r="C444">
        <v>8.2967796483855077E-2</v>
      </c>
    </row>
    <row r="445" spans="1:3" x14ac:dyDescent="0.25">
      <c r="A445">
        <v>51.921287519747246</v>
      </c>
      <c r="B445">
        <v>0.89290020306286477</v>
      </c>
      <c r="C445">
        <v>0.39083368907452298</v>
      </c>
    </row>
    <row r="446" spans="1:3" x14ac:dyDescent="0.25">
      <c r="A446">
        <v>62.400681818181816</v>
      </c>
      <c r="B446">
        <v>0.8931610103355726</v>
      </c>
      <c r="C446">
        <v>3.3719125636587043E-2</v>
      </c>
    </row>
    <row r="447" spans="1:3" x14ac:dyDescent="0.25">
      <c r="A447">
        <v>62.149292452830181</v>
      </c>
      <c r="B447">
        <v>0.89440701864327099</v>
      </c>
      <c r="C447">
        <v>0.97377665590568241</v>
      </c>
    </row>
    <row r="448" spans="1:3" x14ac:dyDescent="0.25">
      <c r="A448">
        <v>42.553716744913906</v>
      </c>
      <c r="B448">
        <v>0.8969587744386579</v>
      </c>
      <c r="C448">
        <v>5.194679181525004E-2</v>
      </c>
    </row>
    <row r="449" spans="1:3" x14ac:dyDescent="0.25">
      <c r="A449">
        <v>59.077887788778867</v>
      </c>
      <c r="B449">
        <v>0.90429928385511005</v>
      </c>
      <c r="C449">
        <v>0.16516651665166548</v>
      </c>
    </row>
    <row r="450" spans="1:3" x14ac:dyDescent="0.25">
      <c r="A450">
        <v>66.120187793427235</v>
      </c>
      <c r="B450">
        <v>0.9078861277685436</v>
      </c>
      <c r="C450">
        <v>0.13309151881978612</v>
      </c>
    </row>
    <row r="451" spans="1:3" x14ac:dyDescent="0.25">
      <c r="A451">
        <v>59.980829420970281</v>
      </c>
      <c r="B451">
        <v>0.90889196941560091</v>
      </c>
      <c r="C451">
        <v>0.7105561807208185</v>
      </c>
    </row>
    <row r="452" spans="1:3" x14ac:dyDescent="0.25">
      <c r="A452">
        <v>49.226236263736283</v>
      </c>
      <c r="B452">
        <v>0.91206120934162793</v>
      </c>
      <c r="C452">
        <v>6.6986234021632257E-2</v>
      </c>
    </row>
    <row r="453" spans="1:3" x14ac:dyDescent="0.25">
      <c r="A453">
        <v>56.942592592592618</v>
      </c>
      <c r="B453">
        <v>0.91905359213424509</v>
      </c>
      <c r="C453">
        <v>0.33629979531302323</v>
      </c>
    </row>
    <row r="454" spans="1:3" x14ac:dyDescent="0.25">
      <c r="A454">
        <v>58.93384351256573</v>
      </c>
      <c r="B454">
        <v>0.91947785936225224</v>
      </c>
      <c r="C454">
        <v>0.96798742789383452</v>
      </c>
    </row>
    <row r="455" spans="1:3" x14ac:dyDescent="0.25">
      <c r="A455">
        <v>61.154601226993904</v>
      </c>
      <c r="B455">
        <v>0.92330121441575641</v>
      </c>
      <c r="C455">
        <v>0.3100640234214242</v>
      </c>
    </row>
    <row r="456" spans="1:3" x14ac:dyDescent="0.25">
      <c r="A456">
        <v>55.692059748427681</v>
      </c>
      <c r="B456">
        <v>0.92715319075868641</v>
      </c>
      <c r="C456">
        <v>8.87063148103686E-2</v>
      </c>
    </row>
    <row r="457" spans="1:3" x14ac:dyDescent="0.25">
      <c r="A457">
        <v>64.84398584905658</v>
      </c>
      <c r="B457">
        <v>0.92753707910208449</v>
      </c>
      <c r="C457">
        <v>6.8498951756777934E-2</v>
      </c>
    </row>
    <row r="458" spans="1:3" x14ac:dyDescent="0.25">
      <c r="A458">
        <v>66.120187793427235</v>
      </c>
      <c r="B458">
        <v>0.93386804284755232</v>
      </c>
      <c r="C458">
        <v>7.1861785161790051E-2</v>
      </c>
    </row>
    <row r="459" spans="1:3" x14ac:dyDescent="0.25">
      <c r="A459">
        <v>62.149292452830181</v>
      </c>
      <c r="B459">
        <v>0.94416690260260239</v>
      </c>
      <c r="C459">
        <v>7.1642929076983344E-2</v>
      </c>
    </row>
    <row r="460" spans="1:3" x14ac:dyDescent="0.25">
      <c r="A460">
        <v>59.290669856459331</v>
      </c>
      <c r="B460">
        <v>0.9446973270440252</v>
      </c>
      <c r="C460">
        <v>0.2777492370184288</v>
      </c>
    </row>
    <row r="461" spans="1:3" x14ac:dyDescent="0.25">
      <c r="A461">
        <v>59.980829420970281</v>
      </c>
      <c r="B461">
        <v>0.95541129390840374</v>
      </c>
      <c r="C461">
        <v>0.5460153917764804</v>
      </c>
    </row>
    <row r="462" spans="1:3" x14ac:dyDescent="0.25">
      <c r="A462">
        <v>59.290669856459331</v>
      </c>
      <c r="B462">
        <v>0.95579117574359407</v>
      </c>
      <c r="C462">
        <v>0.58066301936708442</v>
      </c>
    </row>
    <row r="463" spans="1:3" x14ac:dyDescent="0.25">
      <c r="A463">
        <v>59.980829420970281</v>
      </c>
      <c r="B463">
        <v>0.96154516879548457</v>
      </c>
      <c r="C463">
        <v>0.9120442913921033</v>
      </c>
    </row>
    <row r="464" spans="1:3" x14ac:dyDescent="0.25">
      <c r="A464">
        <v>55.692059748427681</v>
      </c>
      <c r="B464">
        <v>0.96298506410745854</v>
      </c>
      <c r="C464">
        <v>0.4320991012759432</v>
      </c>
    </row>
    <row r="465" spans="1:3" x14ac:dyDescent="0.25">
      <c r="A465">
        <v>51.921287519747246</v>
      </c>
      <c r="B465">
        <v>0.96500524109014674</v>
      </c>
      <c r="C465">
        <v>0.3599610168214501</v>
      </c>
    </row>
    <row r="466" spans="1:3" x14ac:dyDescent="0.25">
      <c r="A466">
        <v>64.173904761904751</v>
      </c>
      <c r="B466">
        <v>0.96511389332001241</v>
      </c>
      <c r="C466">
        <v>8.1859047046943828E-2</v>
      </c>
    </row>
    <row r="467" spans="1:3" x14ac:dyDescent="0.25">
      <c r="A467">
        <v>55.692059748427681</v>
      </c>
      <c r="B467">
        <v>0.97353049468495756</v>
      </c>
      <c r="C467">
        <v>0.24392636727764419</v>
      </c>
    </row>
    <row r="468" spans="1:3" x14ac:dyDescent="0.25">
      <c r="A468">
        <v>49.226236263736283</v>
      </c>
      <c r="B468">
        <v>0.97422887344854203</v>
      </c>
      <c r="C468">
        <v>1.4862878580589491E-2</v>
      </c>
    </row>
    <row r="469" spans="1:3" x14ac:dyDescent="0.25">
      <c r="A469">
        <v>62.149292452830181</v>
      </c>
      <c r="B469">
        <v>0.97429131779437228</v>
      </c>
      <c r="C469">
        <v>0.26512183994840044</v>
      </c>
    </row>
    <row r="470" spans="1:3" x14ac:dyDescent="0.25">
      <c r="A470">
        <v>66.120187793427235</v>
      </c>
      <c r="B470">
        <v>0.97837171680537527</v>
      </c>
      <c r="C470">
        <v>8.1048974847976865E-2</v>
      </c>
    </row>
    <row r="471" spans="1:3" x14ac:dyDescent="0.25">
      <c r="A471">
        <v>64.84398584905658</v>
      </c>
      <c r="B471">
        <v>0.97868217518748524</v>
      </c>
      <c r="C471">
        <v>0.20696347367564402</v>
      </c>
    </row>
    <row r="472" spans="1:3" x14ac:dyDescent="0.25">
      <c r="A472">
        <v>55.692059748427681</v>
      </c>
      <c r="B472">
        <v>0.98331662118123386</v>
      </c>
      <c r="C472">
        <v>0.43552905448748225</v>
      </c>
    </row>
    <row r="473" spans="1:3" x14ac:dyDescent="0.25">
      <c r="A473">
        <v>64.84398584905658</v>
      </c>
      <c r="B473">
        <v>0.98729153765919431</v>
      </c>
      <c r="C473">
        <v>0.41364687753990448</v>
      </c>
    </row>
    <row r="474" spans="1:3" x14ac:dyDescent="0.25">
      <c r="A474">
        <v>59.980829420970281</v>
      </c>
      <c r="B474">
        <v>0.99473003639477531</v>
      </c>
      <c r="C474">
        <v>0.31705364940028585</v>
      </c>
    </row>
    <row r="475" spans="1:3" x14ac:dyDescent="0.25">
      <c r="A475">
        <v>62.400681818181816</v>
      </c>
      <c r="B475">
        <v>0.99630623958526232</v>
      </c>
      <c r="C475">
        <v>2.7670317250307788E-2</v>
      </c>
    </row>
    <row r="476" spans="1:3" x14ac:dyDescent="0.25">
      <c r="A476">
        <v>62.149292452830181</v>
      </c>
      <c r="B476">
        <v>0.9998863537806798</v>
      </c>
      <c r="C476">
        <v>0.1687315501296518</v>
      </c>
    </row>
    <row r="477" spans="1:3" x14ac:dyDescent="0.25">
      <c r="A477">
        <v>61.154601226993904</v>
      </c>
      <c r="B477">
        <v>1.0015212264150943</v>
      </c>
      <c r="C477">
        <v>0.19262056900188021</v>
      </c>
    </row>
    <row r="478" spans="1:3" x14ac:dyDescent="0.25">
      <c r="A478">
        <v>42.553716744913906</v>
      </c>
      <c r="B478">
        <v>1.0283189963780324</v>
      </c>
      <c r="C478">
        <v>0.17414250272153606</v>
      </c>
    </row>
    <row r="479" spans="1:3" x14ac:dyDescent="0.25">
      <c r="A479">
        <v>67.751353276353271</v>
      </c>
      <c r="B479">
        <v>1.0284054019809596</v>
      </c>
      <c r="C479">
        <v>0.11341583034269957</v>
      </c>
    </row>
    <row r="480" spans="1:3" x14ac:dyDescent="0.25">
      <c r="A480">
        <v>66.120187793427235</v>
      </c>
      <c r="B480">
        <v>1.031036531924332</v>
      </c>
      <c r="C480">
        <v>9.8046331166854919E-2</v>
      </c>
    </row>
    <row r="481" spans="1:3" x14ac:dyDescent="0.25">
      <c r="A481">
        <v>42.553716744913906</v>
      </c>
      <c r="B481">
        <v>1.0340037757001437</v>
      </c>
      <c r="C481">
        <v>0.63712639543976957</v>
      </c>
    </row>
    <row r="482" spans="1:3" x14ac:dyDescent="0.25">
      <c r="A482">
        <v>49.226236263736283</v>
      </c>
      <c r="B482">
        <v>1.0341810844408146</v>
      </c>
      <c r="C482">
        <v>1.7863319956717378E-2</v>
      </c>
    </row>
    <row r="483" spans="1:3" x14ac:dyDescent="0.25">
      <c r="A483">
        <v>66.120187793427235</v>
      </c>
      <c r="B483">
        <v>1.0400890475304732</v>
      </c>
      <c r="C483">
        <v>0.15011632968215735</v>
      </c>
    </row>
    <row r="484" spans="1:3" x14ac:dyDescent="0.25">
      <c r="A484">
        <v>64.84398584905658</v>
      </c>
      <c r="B484">
        <v>1.0468088162235087</v>
      </c>
      <c r="C484">
        <v>0.25257005141241717</v>
      </c>
    </row>
    <row r="485" spans="1:3" x14ac:dyDescent="0.25">
      <c r="A485">
        <v>57.46417851500788</v>
      </c>
      <c r="B485">
        <v>1.0477895702306079</v>
      </c>
      <c r="C485">
        <v>0.18034973554238784</v>
      </c>
    </row>
    <row r="486" spans="1:3" x14ac:dyDescent="0.25">
      <c r="A486">
        <v>57.46417851500788</v>
      </c>
      <c r="B486">
        <v>1.0513267796819643</v>
      </c>
      <c r="C486">
        <v>0.24956082663784473</v>
      </c>
    </row>
    <row r="487" spans="1:3" x14ac:dyDescent="0.25">
      <c r="A487">
        <v>67.751353276353271</v>
      </c>
      <c r="B487">
        <v>1.0519484802721806</v>
      </c>
      <c r="C487">
        <v>8.5052162140638987E-2</v>
      </c>
    </row>
    <row r="488" spans="1:3" x14ac:dyDescent="0.25">
      <c r="A488">
        <v>49.226236263736283</v>
      </c>
      <c r="B488">
        <v>1.0537064930437459</v>
      </c>
      <c r="C488">
        <v>4.0589742126191625E-2</v>
      </c>
    </row>
    <row r="489" spans="1:3" x14ac:dyDescent="0.25">
      <c r="A489">
        <v>55.692059748427681</v>
      </c>
      <c r="B489">
        <v>1.0677421356035735</v>
      </c>
      <c r="C489">
        <v>0.1436649684524966</v>
      </c>
    </row>
    <row r="490" spans="1:3" x14ac:dyDescent="0.25">
      <c r="A490">
        <v>49.226236263736283</v>
      </c>
      <c r="B490">
        <v>1.0718547197150761</v>
      </c>
      <c r="C490">
        <v>1.9677466980653237E-2</v>
      </c>
    </row>
    <row r="491" spans="1:3" x14ac:dyDescent="0.25">
      <c r="A491">
        <v>55.692059748427681</v>
      </c>
      <c r="B491">
        <v>1.0771089925762332</v>
      </c>
      <c r="C491">
        <v>0.76492028992006589</v>
      </c>
    </row>
    <row r="492" spans="1:3" x14ac:dyDescent="0.25">
      <c r="A492">
        <v>64.84398584905658</v>
      </c>
      <c r="B492">
        <v>1.1005848190425289</v>
      </c>
      <c r="C492">
        <v>9.1884002228829961E-2</v>
      </c>
    </row>
    <row r="493" spans="1:3" x14ac:dyDescent="0.25">
      <c r="A493">
        <v>66.120187793427235</v>
      </c>
      <c r="B493">
        <v>1.1102789247097105</v>
      </c>
      <c r="C493">
        <v>0.14062821435749207</v>
      </c>
    </row>
    <row r="494" spans="1:3" x14ac:dyDescent="0.25">
      <c r="A494">
        <v>55.692059748427681</v>
      </c>
      <c r="B494">
        <v>1.1195818643300026</v>
      </c>
      <c r="C494">
        <v>0.57947260497193398</v>
      </c>
    </row>
    <row r="495" spans="1:3" x14ac:dyDescent="0.25">
      <c r="A495">
        <v>49.226236263736283</v>
      </c>
      <c r="B495">
        <v>1.124735887934349</v>
      </c>
      <c r="C495">
        <v>2.5871661319582854E-2</v>
      </c>
    </row>
    <row r="496" spans="1:3" x14ac:dyDescent="0.25">
      <c r="A496">
        <v>49.226236263736283</v>
      </c>
      <c r="B496">
        <v>1.1626312233393503</v>
      </c>
      <c r="C496">
        <v>0.65963954150377124</v>
      </c>
    </row>
    <row r="497" spans="1:3" x14ac:dyDescent="0.25">
      <c r="A497">
        <v>66.120187793427235</v>
      </c>
      <c r="B497">
        <v>1.1690207256963003</v>
      </c>
      <c r="C497">
        <v>6.7989764232739197E-2</v>
      </c>
    </row>
    <row r="498" spans="1:3" x14ac:dyDescent="0.25">
      <c r="A498">
        <v>49.226236263736283</v>
      </c>
      <c r="B498">
        <v>1.2038502651811043</v>
      </c>
      <c r="C498">
        <v>0.80613598472706982</v>
      </c>
    </row>
    <row r="499" spans="1:3" x14ac:dyDescent="0.25">
      <c r="A499">
        <v>62.400681818181816</v>
      </c>
      <c r="B499">
        <v>1.2063256076967412</v>
      </c>
      <c r="C499">
        <v>0.19808360393361099</v>
      </c>
    </row>
    <row r="500" spans="1:3" x14ac:dyDescent="0.25">
      <c r="A500">
        <v>49.226236263736283</v>
      </c>
      <c r="B500">
        <v>1.2183604161037236</v>
      </c>
      <c r="C500">
        <v>4.4111599003781268E-2</v>
      </c>
    </row>
    <row r="501" spans="1:3" x14ac:dyDescent="0.25">
      <c r="A501">
        <v>49.226236263736283</v>
      </c>
      <c r="B501">
        <v>1.2397706411358724</v>
      </c>
      <c r="C501">
        <v>2.0681043501737571E-2</v>
      </c>
    </row>
    <row r="502" spans="1:3" x14ac:dyDescent="0.25">
      <c r="A502">
        <v>49.226236263736283</v>
      </c>
      <c r="B502">
        <v>1.2612349346715996</v>
      </c>
      <c r="C502">
        <v>3.9416911974569334E-2</v>
      </c>
    </row>
    <row r="503" spans="1:3" x14ac:dyDescent="0.25">
      <c r="A503">
        <v>62.400681818181816</v>
      </c>
      <c r="B503">
        <v>1.3018725437072187</v>
      </c>
      <c r="C503">
        <v>0.12604303908651698</v>
      </c>
    </row>
    <row r="504" spans="1:3" x14ac:dyDescent="0.25">
      <c r="A504">
        <v>49.226236263736283</v>
      </c>
      <c r="B504">
        <v>1.3504487734753683</v>
      </c>
      <c r="C504">
        <v>0.51984233413371506</v>
      </c>
    </row>
    <row r="505" spans="1:3" x14ac:dyDescent="0.25">
      <c r="A505">
        <v>49.226236263736283</v>
      </c>
      <c r="B505">
        <v>1.3542101938681308</v>
      </c>
      <c r="C505">
        <v>0.18936215939081602</v>
      </c>
    </row>
  </sheetData>
  <sortState ref="A1:C504">
    <sortCondition ref="B1:B504"/>
  </sortState>
  <conditionalFormatting sqref="C314:C505">
    <cfRule type="cellIs" dxfId="1" priority="1" operator="greaterThan">
      <formula>0.4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538"/>
  <sheetViews>
    <sheetView topLeftCell="A35" zoomScale="85" zoomScaleNormal="85" workbookViewId="0">
      <selection activeCell="C50" sqref="C50"/>
    </sheetView>
  </sheetViews>
  <sheetFormatPr defaultRowHeight="15" x14ac:dyDescent="0.25"/>
  <cols>
    <col min="2" max="2" width="5.42578125" bestFit="1" customWidth="1"/>
    <col min="3" max="3" width="15.7109375" bestFit="1" customWidth="1"/>
    <col min="4" max="4" width="5" bestFit="1" customWidth="1"/>
    <col min="5" max="5" width="17.5703125" bestFit="1" customWidth="1"/>
    <col min="6" max="6" width="7.85546875" bestFit="1" customWidth="1"/>
    <col min="7" max="7" width="20" bestFit="1" customWidth="1"/>
    <col min="8" max="8" width="6.140625" bestFit="1" customWidth="1"/>
    <col min="9" max="9" width="17.7109375" bestFit="1" customWidth="1"/>
    <col min="10" max="10" width="11.5703125" bestFit="1" customWidth="1"/>
    <col min="11" max="11" width="13.7109375" bestFit="1" customWidth="1"/>
    <col min="12" max="12" width="17.5703125" bestFit="1" customWidth="1"/>
    <col min="13" max="13" width="20.28515625" bestFit="1" customWidth="1"/>
    <col min="14" max="14" width="11.42578125" bestFit="1" customWidth="1"/>
    <col min="15" max="15" width="20.5703125" bestFit="1" customWidth="1"/>
    <col min="16" max="16" width="11.42578125" bestFit="1" customWidth="1"/>
    <col min="17" max="17" width="20" bestFit="1" customWidth="1"/>
    <col min="18" max="18" width="10.5703125" bestFit="1" customWidth="1"/>
    <col min="19" max="19" width="15.5703125" bestFit="1" customWidth="1"/>
    <col min="20" max="20" width="5.28515625" bestFit="1" customWidth="1"/>
    <col min="21" max="21" width="28.85546875" bestFit="1" customWidth="1"/>
    <col min="22" max="22" width="17.7109375" bestFit="1" customWidth="1"/>
    <col min="23" max="23" width="23.85546875" bestFit="1" customWidth="1"/>
    <col min="24" max="24" width="5" bestFit="1" customWidth="1"/>
    <col min="25" max="25" width="18.42578125" bestFit="1" customWidth="1"/>
    <col min="26" max="26" width="32.5703125" bestFit="1" customWidth="1"/>
    <col min="27" max="27" width="34" bestFit="1" customWidth="1"/>
    <col min="28" max="28" width="6.5703125" bestFit="1" customWidth="1"/>
    <col min="29" max="29" width="16.28515625" bestFit="1" customWidth="1"/>
    <col min="30" max="30" width="5.28515625" bestFit="1" customWidth="1"/>
    <col min="31" max="31" width="16.42578125" bestFit="1" customWidth="1"/>
    <col min="32" max="32" width="20.28515625" bestFit="1" customWidth="1"/>
    <col min="33" max="33" width="18.140625" bestFit="1" customWidth="1"/>
    <col min="34" max="34" width="11.42578125" bestFit="1" customWidth="1"/>
    <col min="35" max="35" width="20.85546875" bestFit="1" customWidth="1"/>
    <col min="36" max="36" width="7.85546875" bestFit="1" customWidth="1"/>
    <col min="37" max="37" width="20.5703125" bestFit="1" customWidth="1"/>
    <col min="38" max="38" width="5" bestFit="1" customWidth="1"/>
    <col min="39" max="39" width="12.7109375" bestFit="1" customWidth="1"/>
    <col min="40" max="40" width="14.5703125" bestFit="1" customWidth="1"/>
    <col min="41" max="41" width="20.28515625" bestFit="1" customWidth="1"/>
    <col min="42" max="42" width="18.85546875" bestFit="1" customWidth="1"/>
    <col min="43" max="43" width="15.28515625" bestFit="1" customWidth="1"/>
    <col min="44" max="44" width="5" bestFit="1" customWidth="1"/>
    <col min="45" max="45" width="4.85546875" bestFit="1" customWidth="1"/>
    <col min="46" max="46" width="7.85546875" bestFit="1" customWidth="1"/>
    <col min="47" max="47" width="15.5703125" bestFit="1" customWidth="1"/>
    <col min="48" max="48" width="4.28515625" bestFit="1" customWidth="1"/>
    <col min="49" max="50" width="4.85546875" bestFit="1" customWidth="1"/>
    <col min="51" max="51" width="7.85546875" bestFit="1" customWidth="1"/>
    <col min="52" max="52" width="28.85546875" bestFit="1" customWidth="1"/>
    <col min="53" max="53" width="4.28515625" bestFit="1" customWidth="1"/>
    <col min="54" max="55" width="4.85546875" bestFit="1" customWidth="1"/>
    <col min="56" max="56" width="7.85546875" bestFit="1" customWidth="1"/>
    <col min="57" max="57" width="23.85546875" bestFit="1" customWidth="1"/>
    <col min="58" max="58" width="4.28515625" bestFit="1" customWidth="1"/>
    <col min="59" max="60" width="4.85546875" bestFit="1" customWidth="1"/>
    <col min="61" max="61" width="7.85546875" bestFit="1" customWidth="1"/>
    <col min="62" max="62" width="32.5703125" bestFit="1" customWidth="1"/>
    <col min="63" max="63" width="4.28515625" bestFit="1" customWidth="1"/>
    <col min="64" max="65" width="4.85546875" bestFit="1" customWidth="1"/>
    <col min="66" max="66" width="7.85546875" bestFit="1" customWidth="1"/>
    <col min="67" max="67" width="34" bestFit="1" customWidth="1"/>
    <col min="68" max="68" width="5.28515625" bestFit="1" customWidth="1"/>
    <col min="69" max="70" width="4.85546875" bestFit="1" customWidth="1"/>
    <col min="71" max="71" width="7.85546875" bestFit="1" customWidth="1"/>
    <col min="72" max="72" width="16.28515625" bestFit="1" customWidth="1"/>
    <col min="73" max="73" width="4.28515625" bestFit="1" customWidth="1"/>
    <col min="74" max="75" width="4.85546875" bestFit="1" customWidth="1"/>
    <col min="76" max="76" width="7.85546875" bestFit="1" customWidth="1"/>
    <col min="77" max="77" width="16.42578125" bestFit="1" customWidth="1"/>
    <col min="78" max="78" width="4.28515625" bestFit="1" customWidth="1"/>
    <col min="79" max="80" width="4.85546875" bestFit="1" customWidth="1"/>
    <col min="81" max="81" width="7.85546875" bestFit="1" customWidth="1"/>
    <col min="82" max="82" width="18.140625" bestFit="1" customWidth="1"/>
    <col min="83" max="83" width="4.28515625" bestFit="1" customWidth="1"/>
    <col min="84" max="85" width="4.85546875" bestFit="1" customWidth="1"/>
    <col min="86" max="86" width="7.85546875" bestFit="1" customWidth="1"/>
    <col min="87" max="87" width="20.85546875" bestFit="1" customWidth="1"/>
    <col min="88" max="88" width="4.28515625" bestFit="1" customWidth="1"/>
    <col min="89" max="90" width="4.85546875" bestFit="1" customWidth="1"/>
    <col min="91" max="91" width="7.85546875" bestFit="1" customWidth="1"/>
    <col min="92" max="92" width="17.42578125" bestFit="1" customWidth="1"/>
    <col min="93" max="93" width="4.28515625" bestFit="1" customWidth="1"/>
    <col min="94" max="95" width="4.85546875" bestFit="1" customWidth="1"/>
    <col min="96" max="96" width="7.85546875" bestFit="1" customWidth="1"/>
    <col min="97" max="97" width="14.5703125" bestFit="1" customWidth="1"/>
    <col min="98" max="98" width="4.28515625" bestFit="1" customWidth="1"/>
    <col min="99" max="100" width="4.85546875" bestFit="1" customWidth="1"/>
    <col min="101" max="101" width="7.85546875" bestFit="1" customWidth="1"/>
    <col min="102" max="102" width="20.28515625" bestFit="1" customWidth="1"/>
    <col min="103" max="103" width="4.28515625" bestFit="1" customWidth="1"/>
    <col min="104" max="105" width="4.85546875" bestFit="1" customWidth="1"/>
    <col min="106" max="106" width="7.85546875" bestFit="1" customWidth="1"/>
    <col min="107" max="107" width="15.28515625" bestFit="1" customWidth="1"/>
    <col min="108" max="110" width="5.42578125" bestFit="1" customWidth="1"/>
    <col min="111" max="111" width="7.85546875" bestFit="1" customWidth="1"/>
    <col min="112" max="112" width="8.5703125" bestFit="1" customWidth="1"/>
  </cols>
  <sheetData>
    <row r="1" spans="2:112" x14ac:dyDescent="0.25">
      <c r="B1">
        <v>0</v>
      </c>
      <c r="C1" s="9">
        <f>G2</f>
        <v>42.553716744913906</v>
      </c>
      <c r="D1" s="9">
        <f>G2</f>
        <v>42.553716744913906</v>
      </c>
      <c r="E1" s="9">
        <f>G2</f>
        <v>42.553716744913906</v>
      </c>
      <c r="F1" s="9">
        <f>G2</f>
        <v>42.553716744913906</v>
      </c>
      <c r="G1" s="9">
        <f>G2</f>
        <v>42.553716744913906</v>
      </c>
      <c r="H1" s="9">
        <f>L2</f>
        <v>48.51537558685451</v>
      </c>
      <c r="I1" s="9">
        <f>L2</f>
        <v>48.51537558685451</v>
      </c>
      <c r="J1" s="9">
        <f>L2</f>
        <v>48.51537558685451</v>
      </c>
      <c r="K1" s="9">
        <f>L2</f>
        <v>48.51537558685451</v>
      </c>
      <c r="L1" s="9">
        <f>L2</f>
        <v>48.51537558685451</v>
      </c>
      <c r="M1" s="9">
        <f>Q2</f>
        <v>49.226236263736283</v>
      </c>
      <c r="N1" s="9">
        <f>Q2</f>
        <v>49.226236263736283</v>
      </c>
      <c r="O1" s="9">
        <f>Q2</f>
        <v>49.226236263736283</v>
      </c>
      <c r="P1" s="9">
        <f>Q2</f>
        <v>49.226236263736283</v>
      </c>
      <c r="Q1" s="9">
        <f>Q2</f>
        <v>49.226236263736283</v>
      </c>
      <c r="R1" s="9">
        <f>V2</f>
        <v>51.632550860719867</v>
      </c>
      <c r="S1" s="9">
        <f>V2</f>
        <v>51.632550860719867</v>
      </c>
      <c r="T1" s="9">
        <f>V2</f>
        <v>51.632550860719867</v>
      </c>
      <c r="U1" s="9">
        <f>V2</f>
        <v>51.632550860719867</v>
      </c>
      <c r="V1" s="9">
        <f>V2</f>
        <v>51.632550860719867</v>
      </c>
      <c r="W1" s="9">
        <f>AA2</f>
        <v>51.921287519747246</v>
      </c>
      <c r="X1" s="9">
        <f>AA2</f>
        <v>51.921287519747246</v>
      </c>
      <c r="Y1" s="9">
        <f>AA2</f>
        <v>51.921287519747246</v>
      </c>
      <c r="Z1" s="9">
        <f>AA2</f>
        <v>51.921287519747246</v>
      </c>
      <c r="AA1" s="9">
        <f>AA2</f>
        <v>51.921287519747246</v>
      </c>
      <c r="AB1" s="9">
        <f>AF2</f>
        <v>55.692059748427681</v>
      </c>
      <c r="AC1" s="9">
        <f>AF2</f>
        <v>55.692059748427681</v>
      </c>
      <c r="AD1" s="9">
        <f>AF2</f>
        <v>55.692059748427681</v>
      </c>
      <c r="AE1" s="9">
        <f>AF2</f>
        <v>55.692059748427681</v>
      </c>
      <c r="AF1" s="9">
        <f>AF2</f>
        <v>55.692059748427681</v>
      </c>
      <c r="AG1" s="9">
        <f>AK2</f>
        <v>56.942592592592618</v>
      </c>
      <c r="AH1" s="9">
        <f>AK2</f>
        <v>56.942592592592618</v>
      </c>
      <c r="AI1" s="9">
        <f>AK2</f>
        <v>56.942592592592618</v>
      </c>
      <c r="AJ1" s="9">
        <f>AK2</f>
        <v>56.942592592592618</v>
      </c>
      <c r="AK1" s="9">
        <f>AK2</f>
        <v>56.942592592592618</v>
      </c>
      <c r="AL1" s="9">
        <f>AP2</f>
        <v>57.46417851500788</v>
      </c>
      <c r="AM1" s="9">
        <f>AP2</f>
        <v>57.46417851500788</v>
      </c>
      <c r="AN1" s="9">
        <f>AP2</f>
        <v>57.46417851500788</v>
      </c>
      <c r="AO1" s="9">
        <f>AP2</f>
        <v>57.46417851500788</v>
      </c>
      <c r="AP1" s="9">
        <f>AP2</f>
        <v>57.46417851500788</v>
      </c>
      <c r="AQ1" s="9">
        <f>AU2</f>
        <v>58.93384351256573</v>
      </c>
      <c r="AR1" s="9">
        <f>AU2</f>
        <v>58.93384351256573</v>
      </c>
      <c r="AS1" s="9">
        <f>AU2</f>
        <v>58.93384351256573</v>
      </c>
      <c r="AT1" s="9">
        <f>AU2</f>
        <v>58.93384351256573</v>
      </c>
      <c r="AU1" s="9">
        <f>AU2</f>
        <v>58.93384351256573</v>
      </c>
      <c r="AV1" s="9">
        <f>AZ2</f>
        <v>59.077887788778867</v>
      </c>
      <c r="AW1" s="9">
        <f>AZ2</f>
        <v>59.077887788778867</v>
      </c>
      <c r="AX1" s="9">
        <f>AZ2</f>
        <v>59.077887788778867</v>
      </c>
      <c r="AY1" s="9">
        <f>AZ2</f>
        <v>59.077887788778867</v>
      </c>
      <c r="AZ1" s="9">
        <f>AZ2</f>
        <v>59.077887788778867</v>
      </c>
      <c r="BA1" s="9">
        <f>BE2</f>
        <v>59.290669856459331</v>
      </c>
      <c r="BB1" s="9">
        <f>BE2</f>
        <v>59.290669856459331</v>
      </c>
      <c r="BC1" s="9">
        <f>BE2</f>
        <v>59.290669856459331</v>
      </c>
      <c r="BD1" s="9">
        <f>BE2</f>
        <v>59.290669856459331</v>
      </c>
      <c r="BE1" s="9">
        <f>BE2</f>
        <v>59.290669856459331</v>
      </c>
      <c r="BF1" s="9">
        <f>BJ2</f>
        <v>59.980829420970281</v>
      </c>
      <c r="BG1" s="9">
        <f>BJ2</f>
        <v>59.980829420970281</v>
      </c>
      <c r="BH1" s="9">
        <f>BJ2</f>
        <v>59.980829420970281</v>
      </c>
      <c r="BI1" s="9">
        <f>BJ2</f>
        <v>59.980829420970281</v>
      </c>
      <c r="BJ1" s="9">
        <f>BJ2</f>
        <v>59.980829420970281</v>
      </c>
      <c r="BK1" s="9">
        <f>BO2</f>
        <v>61.154601226993904</v>
      </c>
      <c r="BL1" s="9">
        <f>BO2</f>
        <v>61.154601226993904</v>
      </c>
      <c r="BM1" s="9">
        <f>BO2</f>
        <v>61.154601226993904</v>
      </c>
      <c r="BN1" s="9">
        <f>BO2</f>
        <v>61.154601226993904</v>
      </c>
      <c r="BO1" s="9">
        <f>BO2</f>
        <v>61.154601226993904</v>
      </c>
      <c r="BP1" s="9">
        <f>BT2</f>
        <v>62.149292452830181</v>
      </c>
      <c r="BQ1" s="9">
        <f>BT2</f>
        <v>62.149292452830181</v>
      </c>
      <c r="BR1" s="9">
        <f>BT2</f>
        <v>62.149292452830181</v>
      </c>
      <c r="BS1" s="9">
        <f>BT2</f>
        <v>62.149292452830181</v>
      </c>
      <c r="BT1" s="9">
        <f>BT2</f>
        <v>62.149292452830181</v>
      </c>
      <c r="BU1" s="9">
        <f>BY2</f>
        <v>62.400681818181816</v>
      </c>
      <c r="BV1" s="9">
        <f>BY2</f>
        <v>62.400681818181816</v>
      </c>
      <c r="BW1" s="9">
        <f>BY2</f>
        <v>62.400681818181816</v>
      </c>
      <c r="BX1" s="9">
        <f>BY2</f>
        <v>62.400681818181816</v>
      </c>
      <c r="BY1" s="9">
        <f>BY2</f>
        <v>62.400681818181816</v>
      </c>
      <c r="BZ1" s="9">
        <f>CD2</f>
        <v>64.173904761904751</v>
      </c>
      <c r="CA1" s="9">
        <f>CD2</f>
        <v>64.173904761904751</v>
      </c>
      <c r="CB1" s="9">
        <f>CD2</f>
        <v>64.173904761904751</v>
      </c>
      <c r="CC1" s="9">
        <f>CD2</f>
        <v>64.173904761904751</v>
      </c>
      <c r="CD1" s="9">
        <f>CD2</f>
        <v>64.173904761904751</v>
      </c>
      <c r="CE1" s="9">
        <f>CI2</f>
        <v>64.84398584905658</v>
      </c>
      <c r="CF1" s="9">
        <f>CI2</f>
        <v>64.84398584905658</v>
      </c>
      <c r="CG1" s="9">
        <f>CI2</f>
        <v>64.84398584905658</v>
      </c>
      <c r="CH1" s="9">
        <f>CI2</f>
        <v>64.84398584905658</v>
      </c>
      <c r="CI1" s="9">
        <f>CI2</f>
        <v>64.84398584905658</v>
      </c>
      <c r="CJ1" s="9">
        <f>CN2</f>
        <v>65.071507936507928</v>
      </c>
      <c r="CK1" s="9">
        <f>CN2</f>
        <v>65.071507936507928</v>
      </c>
      <c r="CL1" s="9">
        <f>CN2</f>
        <v>65.071507936507928</v>
      </c>
      <c r="CM1" s="9">
        <f>CN2</f>
        <v>65.071507936507928</v>
      </c>
      <c r="CN1" s="9">
        <f>CN2</f>
        <v>65.071507936507928</v>
      </c>
      <c r="CO1" s="9">
        <f>CS2</f>
        <v>66.120187793427235</v>
      </c>
      <c r="CP1" s="9">
        <f>CS2</f>
        <v>66.120187793427235</v>
      </c>
      <c r="CQ1" s="9">
        <f>CS2</f>
        <v>66.120187793427235</v>
      </c>
      <c r="CR1" s="9">
        <f>CS2</f>
        <v>66.120187793427235</v>
      </c>
      <c r="CS1" s="9">
        <f>CS2</f>
        <v>66.120187793427235</v>
      </c>
      <c r="CT1" s="9">
        <f>CX2</f>
        <v>67.751353276353271</v>
      </c>
      <c r="CU1" s="9">
        <f>CX2</f>
        <v>67.751353276353271</v>
      </c>
      <c r="CV1" s="9">
        <f>CX2</f>
        <v>67.751353276353271</v>
      </c>
      <c r="CW1" s="9">
        <f>CX2</f>
        <v>67.751353276353271</v>
      </c>
      <c r="CX1" s="9">
        <f>CX2</f>
        <v>67.751353276353271</v>
      </c>
      <c r="CY1" s="9">
        <f>DC2</f>
        <v>71.99595352564107</v>
      </c>
      <c r="CZ1" s="9">
        <f>DC2</f>
        <v>71.99595352564107</v>
      </c>
      <c r="DA1" s="9">
        <f>DC2</f>
        <v>71.99595352564107</v>
      </c>
      <c r="DB1" s="9">
        <f>DC2</f>
        <v>71.99595352564107</v>
      </c>
      <c r="DC1" s="9">
        <f>DC2</f>
        <v>71.99595352564107</v>
      </c>
      <c r="DH1" s="4"/>
    </row>
    <row r="2" spans="2:112" x14ac:dyDescent="0.25">
      <c r="F2" t="s">
        <v>64</v>
      </c>
      <c r="G2" s="5">
        <v>42.553716744913906</v>
      </c>
      <c r="K2" t="s">
        <v>64</v>
      </c>
      <c r="L2" s="5">
        <v>48.51537558685451</v>
      </c>
      <c r="P2" t="s">
        <v>64</v>
      </c>
      <c r="Q2" s="5">
        <v>49.226236263736283</v>
      </c>
      <c r="U2" t="s">
        <v>64</v>
      </c>
      <c r="V2" s="5">
        <v>51.632550860719867</v>
      </c>
      <c r="Z2" t="s">
        <v>64</v>
      </c>
      <c r="AA2" s="5">
        <v>51.921287519747246</v>
      </c>
      <c r="AE2" t="s">
        <v>64</v>
      </c>
      <c r="AF2" s="5">
        <v>55.692059748427681</v>
      </c>
      <c r="AJ2" t="s">
        <v>64</v>
      </c>
      <c r="AK2" s="5">
        <v>56.942592592592618</v>
      </c>
      <c r="AO2" t="s">
        <v>64</v>
      </c>
      <c r="AP2" s="5">
        <v>57.46417851500788</v>
      </c>
      <c r="AT2" t="s">
        <v>64</v>
      </c>
      <c r="AU2" s="5">
        <v>58.93384351256573</v>
      </c>
      <c r="AY2" t="s">
        <v>64</v>
      </c>
      <c r="AZ2" s="5">
        <v>59.077887788778867</v>
      </c>
      <c r="BD2" t="s">
        <v>64</v>
      </c>
      <c r="BE2" s="5">
        <v>59.290669856459331</v>
      </c>
      <c r="BI2" t="s">
        <v>64</v>
      </c>
      <c r="BJ2" s="5">
        <v>59.980829420970281</v>
      </c>
      <c r="BN2" t="s">
        <v>64</v>
      </c>
      <c r="BO2" s="5">
        <v>61.154601226993904</v>
      </c>
      <c r="BS2" t="s">
        <v>64</v>
      </c>
      <c r="BT2" s="5">
        <v>62.149292452830181</v>
      </c>
      <c r="BX2" t="s">
        <v>64</v>
      </c>
      <c r="BY2" s="5">
        <v>62.400681818181816</v>
      </c>
      <c r="CC2" t="s">
        <v>64</v>
      </c>
      <c r="CD2" s="5">
        <v>64.173904761904751</v>
      </c>
      <c r="CH2" t="s">
        <v>64</v>
      </c>
      <c r="CI2" s="5">
        <v>64.84398584905658</v>
      </c>
      <c r="CM2" t="s">
        <v>64</v>
      </c>
      <c r="CN2" s="5">
        <v>65.071507936507928</v>
      </c>
      <c r="CR2" t="s">
        <v>64</v>
      </c>
      <c r="CS2" s="5">
        <v>66.120187793427235</v>
      </c>
      <c r="CW2" t="s">
        <v>64</v>
      </c>
      <c r="CX2" s="5">
        <v>67.751353276353271</v>
      </c>
      <c r="DB2" t="s">
        <v>64</v>
      </c>
      <c r="DC2" s="5">
        <v>71.99595352564107</v>
      </c>
      <c r="DG2" t="s">
        <v>64</v>
      </c>
    </row>
    <row r="3" spans="2:112" x14ac:dyDescent="0.25">
      <c r="F3" t="s">
        <v>6</v>
      </c>
      <c r="G3" t="s">
        <v>22</v>
      </c>
      <c r="K3" t="s">
        <v>6</v>
      </c>
      <c r="L3" s="6" t="s">
        <v>4</v>
      </c>
      <c r="P3" t="s">
        <v>6</v>
      </c>
      <c r="Q3" t="s">
        <v>20</v>
      </c>
      <c r="U3" t="s">
        <v>6</v>
      </c>
      <c r="V3" t="s">
        <v>25</v>
      </c>
      <c r="Z3" t="s">
        <v>6</v>
      </c>
      <c r="AA3" t="s">
        <v>12</v>
      </c>
      <c r="AE3" t="s">
        <v>6</v>
      </c>
      <c r="AF3" t="s">
        <v>27</v>
      </c>
      <c r="AJ3" t="s">
        <v>6</v>
      </c>
      <c r="AK3" t="s">
        <v>15</v>
      </c>
      <c r="AO3" t="s">
        <v>6</v>
      </c>
      <c r="AP3" t="s">
        <v>17</v>
      </c>
      <c r="AT3" t="s">
        <v>6</v>
      </c>
      <c r="AU3" s="6" t="s">
        <v>5</v>
      </c>
      <c r="AY3" t="s">
        <v>6</v>
      </c>
      <c r="AZ3" t="s">
        <v>26</v>
      </c>
      <c r="BD3" t="s">
        <v>6</v>
      </c>
      <c r="BE3" t="s">
        <v>18</v>
      </c>
      <c r="BI3" t="s">
        <v>6</v>
      </c>
      <c r="BJ3" t="s">
        <v>10</v>
      </c>
      <c r="BN3" t="s">
        <v>6</v>
      </c>
      <c r="BO3" t="s">
        <v>23</v>
      </c>
      <c r="BS3" t="s">
        <v>6</v>
      </c>
      <c r="BT3" t="s">
        <v>11</v>
      </c>
      <c r="BX3" t="s">
        <v>6</v>
      </c>
      <c r="BY3" t="s">
        <v>24</v>
      </c>
      <c r="CC3" t="s">
        <v>6</v>
      </c>
      <c r="CD3" t="s">
        <v>21</v>
      </c>
      <c r="CH3" t="s">
        <v>6</v>
      </c>
      <c r="CI3" t="s">
        <v>14</v>
      </c>
      <c r="CM3" t="s">
        <v>6</v>
      </c>
      <c r="CN3" t="s">
        <v>16</v>
      </c>
      <c r="CR3" t="s">
        <v>6</v>
      </c>
      <c r="CS3" t="s">
        <v>13</v>
      </c>
      <c r="CW3" t="s">
        <v>6</v>
      </c>
      <c r="CX3" t="s">
        <v>28</v>
      </c>
      <c r="DB3" t="s">
        <v>6</v>
      </c>
      <c r="DC3" t="s">
        <v>29</v>
      </c>
      <c r="DG3" t="s">
        <v>6</v>
      </c>
      <c r="DH3" t="s">
        <v>19</v>
      </c>
    </row>
    <row r="4" spans="2:112" x14ac:dyDescent="0.25">
      <c r="F4" t="s">
        <v>7</v>
      </c>
      <c r="G4" s="4" t="s">
        <v>51</v>
      </c>
      <c r="K4" t="s">
        <v>7</v>
      </c>
      <c r="L4" s="4" t="s">
        <v>30</v>
      </c>
      <c r="P4" t="s">
        <v>7</v>
      </c>
      <c r="Q4" s="4" t="s">
        <v>48</v>
      </c>
      <c r="U4" t="s">
        <v>7</v>
      </c>
      <c r="V4" s="4" t="s">
        <v>55</v>
      </c>
      <c r="Z4" t="s">
        <v>7</v>
      </c>
      <c r="AA4" s="4" t="s">
        <v>37</v>
      </c>
      <c r="AE4" t="s">
        <v>7</v>
      </c>
      <c r="AF4" s="4" t="s">
        <v>58</v>
      </c>
      <c r="AJ4" t="s">
        <v>7</v>
      </c>
      <c r="AK4" s="4" t="s">
        <v>44</v>
      </c>
      <c r="AO4" t="s">
        <v>7</v>
      </c>
      <c r="AP4" s="4" t="s">
        <v>45</v>
      </c>
      <c r="AT4" t="s">
        <v>7</v>
      </c>
      <c r="AU4" s="4" t="s">
        <v>32</v>
      </c>
      <c r="AY4" t="s">
        <v>7</v>
      </c>
      <c r="AZ4" s="4" t="s">
        <v>57</v>
      </c>
      <c r="BD4" t="s">
        <v>7</v>
      </c>
      <c r="BE4" s="4" t="s">
        <v>47</v>
      </c>
      <c r="BI4" t="s">
        <v>7</v>
      </c>
      <c r="BJ4" s="4" t="s">
        <v>33</v>
      </c>
      <c r="BN4" t="s">
        <v>7</v>
      </c>
      <c r="BO4" s="4" t="s">
        <v>52</v>
      </c>
      <c r="BS4" t="s">
        <v>7</v>
      </c>
      <c r="BT4" s="4" t="s">
        <v>35</v>
      </c>
      <c r="BX4" t="s">
        <v>7</v>
      </c>
      <c r="BY4" s="4" t="s">
        <v>53</v>
      </c>
      <c r="CC4" t="s">
        <v>7</v>
      </c>
      <c r="CD4" s="4" t="s">
        <v>50</v>
      </c>
      <c r="CH4" t="s">
        <v>7</v>
      </c>
      <c r="CI4" s="4" t="s">
        <v>41</v>
      </c>
      <c r="CM4" t="s">
        <v>7</v>
      </c>
      <c r="CN4" s="4" t="s">
        <v>42</v>
      </c>
      <c r="CR4" t="s">
        <v>7</v>
      </c>
      <c r="CS4" s="4" t="s">
        <v>39</v>
      </c>
      <c r="CW4" t="s">
        <v>7</v>
      </c>
      <c r="CX4" s="4" t="s">
        <v>60</v>
      </c>
      <c r="DB4" t="s">
        <v>7</v>
      </c>
      <c r="DC4" s="4" t="s">
        <v>61</v>
      </c>
      <c r="DG4" t="s">
        <v>7</v>
      </c>
      <c r="DH4" s="4" t="e">
        <v>#REF!</v>
      </c>
    </row>
    <row r="5" spans="2:112" x14ac:dyDescent="0.25">
      <c r="F5" t="s">
        <v>8</v>
      </c>
      <c r="G5" s="4">
        <v>4</v>
      </c>
      <c r="K5" t="s">
        <v>8</v>
      </c>
      <c r="L5" s="4">
        <v>4</v>
      </c>
      <c r="P5" t="s">
        <v>8</v>
      </c>
      <c r="Q5" s="4">
        <v>4</v>
      </c>
      <c r="U5" t="s">
        <v>8</v>
      </c>
      <c r="V5" s="4">
        <v>4</v>
      </c>
      <c r="Z5" t="s">
        <v>8</v>
      </c>
      <c r="AA5" s="4">
        <v>4</v>
      </c>
      <c r="AE5" t="s">
        <v>8</v>
      </c>
      <c r="AF5" s="4">
        <v>4</v>
      </c>
      <c r="AJ5" t="s">
        <v>8</v>
      </c>
      <c r="AK5" s="4">
        <v>3</v>
      </c>
      <c r="AO5" t="s">
        <v>8</v>
      </c>
      <c r="AP5" s="4">
        <v>4</v>
      </c>
      <c r="AT5" t="s">
        <v>8</v>
      </c>
      <c r="AU5" s="4">
        <v>3</v>
      </c>
      <c r="AY5" t="s">
        <v>8</v>
      </c>
      <c r="AZ5" s="4">
        <v>3</v>
      </c>
      <c r="BD5" t="s">
        <v>8</v>
      </c>
      <c r="BE5" s="4">
        <v>4</v>
      </c>
      <c r="BI5" t="s">
        <v>8</v>
      </c>
      <c r="BJ5" s="4">
        <v>3</v>
      </c>
      <c r="BN5" t="s">
        <v>8</v>
      </c>
      <c r="BO5" s="4">
        <v>4</v>
      </c>
      <c r="BS5" t="s">
        <v>8</v>
      </c>
      <c r="BT5" s="4">
        <v>3</v>
      </c>
      <c r="BX5" t="s">
        <v>8</v>
      </c>
      <c r="BY5" s="4">
        <v>3</v>
      </c>
      <c r="CC5" t="s">
        <v>8</v>
      </c>
      <c r="CD5" s="4">
        <v>5</v>
      </c>
      <c r="CH5" t="s">
        <v>8</v>
      </c>
      <c r="CI5" s="4">
        <v>4</v>
      </c>
      <c r="CM5" t="s">
        <v>8</v>
      </c>
      <c r="CN5" s="4">
        <v>4</v>
      </c>
      <c r="CR5" t="s">
        <v>8</v>
      </c>
      <c r="CS5" s="4">
        <v>4</v>
      </c>
      <c r="CW5" t="s">
        <v>8</v>
      </c>
      <c r="CX5" s="4">
        <v>3</v>
      </c>
      <c r="DB5" t="s">
        <v>8</v>
      </c>
      <c r="DC5" s="4">
        <v>3</v>
      </c>
      <c r="DG5" t="s">
        <v>8</v>
      </c>
      <c r="DH5" s="4" t="e">
        <v>#REF!</v>
      </c>
    </row>
    <row r="6" spans="2:112" x14ac:dyDescent="0.25">
      <c r="F6" t="s">
        <v>9</v>
      </c>
      <c r="G6" s="4" t="s">
        <v>31</v>
      </c>
      <c r="K6" t="s">
        <v>9</v>
      </c>
      <c r="L6" s="4" t="s">
        <v>31</v>
      </c>
      <c r="P6" t="s">
        <v>9</v>
      </c>
      <c r="Q6" s="4" t="s">
        <v>49</v>
      </c>
      <c r="U6" t="s">
        <v>9</v>
      </c>
      <c r="V6" s="4" t="s">
        <v>56</v>
      </c>
      <c r="Z6" t="s">
        <v>9</v>
      </c>
      <c r="AA6" s="4" t="s">
        <v>38</v>
      </c>
      <c r="AE6" t="s">
        <v>9</v>
      </c>
      <c r="AF6" s="4" t="s">
        <v>59</v>
      </c>
      <c r="AJ6" t="s">
        <v>9</v>
      </c>
      <c r="AK6" s="4" t="s">
        <v>31</v>
      </c>
      <c r="AO6" t="s">
        <v>9</v>
      </c>
      <c r="AP6" s="4" t="s">
        <v>46</v>
      </c>
      <c r="AT6" t="s">
        <v>9</v>
      </c>
      <c r="AU6" s="4" t="s">
        <v>31</v>
      </c>
      <c r="AY6" t="s">
        <v>9</v>
      </c>
      <c r="AZ6" s="4" t="s">
        <v>31</v>
      </c>
      <c r="BD6" t="s">
        <v>9</v>
      </c>
      <c r="BE6" s="4" t="s">
        <v>31</v>
      </c>
      <c r="BI6" t="s">
        <v>9</v>
      </c>
      <c r="BJ6" s="4" t="s">
        <v>34</v>
      </c>
      <c r="BN6" t="s">
        <v>9</v>
      </c>
      <c r="BO6" s="4" t="s">
        <v>31</v>
      </c>
      <c r="BS6" t="s">
        <v>9</v>
      </c>
      <c r="BT6" s="4" t="s">
        <v>36</v>
      </c>
      <c r="BX6" t="s">
        <v>9</v>
      </c>
      <c r="BY6" s="4" t="s">
        <v>54</v>
      </c>
      <c r="CC6" t="s">
        <v>9</v>
      </c>
      <c r="CD6" s="4" t="s">
        <v>46</v>
      </c>
      <c r="CH6" t="s">
        <v>9</v>
      </c>
      <c r="CI6" s="4" t="s">
        <v>40</v>
      </c>
      <c r="CM6" t="s">
        <v>9</v>
      </c>
      <c r="CN6" s="4" t="s">
        <v>43</v>
      </c>
      <c r="CR6" t="s">
        <v>9</v>
      </c>
      <c r="CS6" s="4" t="s">
        <v>40</v>
      </c>
      <c r="CW6" t="s">
        <v>9</v>
      </c>
      <c r="CX6" s="4" t="s">
        <v>46</v>
      </c>
      <c r="DB6" t="s">
        <v>9</v>
      </c>
      <c r="DC6" s="4" t="s">
        <v>31</v>
      </c>
      <c r="DG6" t="s">
        <v>9</v>
      </c>
      <c r="DH6" s="4" t="e">
        <v>#REF!</v>
      </c>
    </row>
    <row r="7" spans="2:112" x14ac:dyDescent="0.25">
      <c r="B7">
        <v>0</v>
      </c>
      <c r="C7" s="9">
        <v>42.553716744913906</v>
      </c>
      <c r="D7" s="9">
        <v>42.553716744913906</v>
      </c>
      <c r="E7" s="9">
        <v>42.553716744913906</v>
      </c>
      <c r="F7" s="9">
        <v>42.553716744913906</v>
      </c>
      <c r="G7" s="9">
        <v>42.553716744913906</v>
      </c>
      <c r="H7" s="9">
        <v>48.51537558685451</v>
      </c>
      <c r="I7" s="9">
        <v>48.51537558685451</v>
      </c>
      <c r="J7" s="9">
        <v>48.51537558685451</v>
      </c>
      <c r="K7" s="9">
        <v>48.51537558685451</v>
      </c>
      <c r="L7" s="9">
        <v>48.51537558685451</v>
      </c>
      <c r="M7" s="9">
        <v>49.226236263736283</v>
      </c>
      <c r="N7" s="9">
        <v>49.226236263736283</v>
      </c>
      <c r="O7" s="9">
        <v>49.226236263736283</v>
      </c>
      <c r="P7" s="9">
        <v>49.226236263736283</v>
      </c>
      <c r="Q7" s="9">
        <v>49.226236263736283</v>
      </c>
      <c r="R7" s="9">
        <v>51.632550860719867</v>
      </c>
      <c r="S7" s="9">
        <v>51.632550860719867</v>
      </c>
      <c r="T7" s="9">
        <v>51.632550860719867</v>
      </c>
      <c r="U7" s="9">
        <v>51.632550860719867</v>
      </c>
      <c r="V7" s="9">
        <v>51.632550860719867</v>
      </c>
      <c r="W7" s="9">
        <v>51.921287519747246</v>
      </c>
      <c r="X7" s="9">
        <v>51.921287519747246</v>
      </c>
      <c r="Y7" s="9">
        <v>51.921287519747246</v>
      </c>
      <c r="Z7" s="9">
        <v>51.921287519747246</v>
      </c>
      <c r="AA7" s="9">
        <v>51.921287519747246</v>
      </c>
      <c r="AB7" s="9">
        <v>55.692059748427681</v>
      </c>
      <c r="AC7" s="9">
        <v>55.692059748427681</v>
      </c>
      <c r="AD7" s="9">
        <v>55.692059748427681</v>
      </c>
      <c r="AE7" s="9">
        <v>55.692059748427681</v>
      </c>
      <c r="AF7" s="9">
        <v>55.692059748427681</v>
      </c>
      <c r="AG7" s="9">
        <v>56.942592592592618</v>
      </c>
      <c r="AH7" s="9">
        <v>56.942592592592618</v>
      </c>
      <c r="AI7" s="9">
        <v>56.942592592592618</v>
      </c>
      <c r="AJ7" s="9">
        <v>56.942592592592618</v>
      </c>
      <c r="AK7" s="9">
        <v>56.942592592592618</v>
      </c>
      <c r="AL7" s="9">
        <v>57.46417851500788</v>
      </c>
      <c r="AM7" s="9">
        <v>57.46417851500788</v>
      </c>
      <c r="AN7" s="9">
        <v>57.46417851500788</v>
      </c>
      <c r="AO7" s="9">
        <v>57.46417851500788</v>
      </c>
      <c r="AP7" s="9">
        <v>57.46417851500788</v>
      </c>
      <c r="AQ7" s="9">
        <v>58.93384351256573</v>
      </c>
      <c r="AR7" s="9">
        <v>58.93384351256573</v>
      </c>
      <c r="AS7" s="9">
        <v>58.93384351256573</v>
      </c>
      <c r="AT7" s="9">
        <v>58.93384351256573</v>
      </c>
      <c r="AU7" s="9">
        <v>58.93384351256573</v>
      </c>
      <c r="AV7" s="9">
        <v>59.077887788778867</v>
      </c>
      <c r="AW7" s="9">
        <v>59.077887788778867</v>
      </c>
      <c r="AX7" s="9">
        <v>59.077887788778867</v>
      </c>
      <c r="AY7" s="9">
        <v>59.077887788778867</v>
      </c>
      <c r="AZ7" s="9">
        <v>59.077887788778867</v>
      </c>
      <c r="BA7" s="9">
        <v>59.290669856459331</v>
      </c>
      <c r="BB7" s="9">
        <v>59.290669856459331</v>
      </c>
      <c r="BC7" s="9">
        <v>59.290669856459331</v>
      </c>
      <c r="BD7" s="9">
        <v>59.290669856459331</v>
      </c>
      <c r="BE7" s="9">
        <v>59.290669856459331</v>
      </c>
      <c r="BF7" s="9">
        <v>59.980829420970281</v>
      </c>
      <c r="BG7" s="9">
        <v>59.980829420970281</v>
      </c>
      <c r="BH7" s="9">
        <v>59.980829420970281</v>
      </c>
      <c r="BI7" s="9">
        <v>59.980829420970281</v>
      </c>
      <c r="BJ7" s="9">
        <v>59.980829420970281</v>
      </c>
      <c r="BK7" s="9">
        <v>61.154601226993904</v>
      </c>
      <c r="BL7" s="9">
        <v>61.154601226993904</v>
      </c>
      <c r="BM7" s="9">
        <v>61.154601226993904</v>
      </c>
      <c r="BN7" s="9">
        <v>61.154601226993904</v>
      </c>
      <c r="BO7" s="9">
        <v>61.154601226993904</v>
      </c>
      <c r="BP7" s="9">
        <v>62.149292452830181</v>
      </c>
      <c r="BQ7" s="9">
        <v>62.149292452830181</v>
      </c>
      <c r="BR7" s="9">
        <v>62.149292452830181</v>
      </c>
      <c r="BS7" s="9">
        <v>62.149292452830181</v>
      </c>
      <c r="BT7" s="9">
        <v>62.149292452830181</v>
      </c>
      <c r="BU7" s="9">
        <v>62.400681818181816</v>
      </c>
      <c r="BV7" s="9">
        <v>62.400681818181816</v>
      </c>
      <c r="BW7" s="9">
        <v>62.400681818181816</v>
      </c>
      <c r="BX7" s="9">
        <v>62.400681818181816</v>
      </c>
      <c r="BY7" s="9">
        <v>62.400681818181816</v>
      </c>
      <c r="BZ7" s="9">
        <v>64.173904761904751</v>
      </c>
      <c r="CA7" s="9">
        <v>64.173904761904751</v>
      </c>
      <c r="CB7" s="9">
        <v>64.173904761904751</v>
      </c>
      <c r="CC7" s="9">
        <v>64.173904761904751</v>
      </c>
      <c r="CD7" s="9">
        <v>64.173904761904751</v>
      </c>
      <c r="CE7" s="9">
        <v>64.84398584905658</v>
      </c>
      <c r="CF7" s="9">
        <v>64.84398584905658</v>
      </c>
      <c r="CG7" s="9">
        <v>64.84398584905658</v>
      </c>
      <c r="CH7" s="9">
        <v>64.84398584905658</v>
      </c>
      <c r="CI7" s="9">
        <v>64.84398584905658</v>
      </c>
      <c r="CJ7" s="9">
        <v>65.071507936507928</v>
      </c>
      <c r="CK7" s="9">
        <v>65.071507936507928</v>
      </c>
      <c r="CL7" s="9">
        <v>65.071507936507928</v>
      </c>
      <c r="CM7" s="9">
        <v>65.071507936507928</v>
      </c>
      <c r="CN7" s="9">
        <v>65.071507936507928</v>
      </c>
      <c r="CO7" s="9">
        <v>66.120187793427235</v>
      </c>
      <c r="CP7" s="9">
        <v>66.120187793427235</v>
      </c>
      <c r="CQ7" s="9">
        <v>66.120187793427235</v>
      </c>
      <c r="CR7" s="9">
        <v>66.120187793427235</v>
      </c>
      <c r="CS7" s="9">
        <v>66.120187793427235</v>
      </c>
      <c r="CT7" s="9">
        <v>67.751353276353271</v>
      </c>
      <c r="CU7" s="9">
        <v>67.751353276353271</v>
      </c>
      <c r="CV7" s="9">
        <v>67.751353276353271</v>
      </c>
      <c r="CW7" s="9">
        <v>67.751353276353271</v>
      </c>
      <c r="CX7" s="9">
        <v>67.751353276353271</v>
      </c>
      <c r="CY7" s="9">
        <v>71.99595352564107</v>
      </c>
      <c r="CZ7" s="9">
        <v>71.99595352564107</v>
      </c>
      <c r="DA7" s="9">
        <v>71.99595352564107</v>
      </c>
      <c r="DB7" s="9">
        <v>71.99595352564107</v>
      </c>
      <c r="DC7" s="9">
        <v>71.99595352564107</v>
      </c>
      <c r="DH7" s="4"/>
    </row>
    <row r="8" spans="2:112" x14ac:dyDescent="0.25">
      <c r="B8" s="1"/>
      <c r="C8" t="s">
        <v>0</v>
      </c>
      <c r="D8" t="s">
        <v>1</v>
      </c>
      <c r="E8" t="s">
        <v>3</v>
      </c>
      <c r="F8" t="s">
        <v>2</v>
      </c>
      <c r="G8" t="s">
        <v>0</v>
      </c>
      <c r="H8" t="s">
        <v>0</v>
      </c>
      <c r="I8" t="s">
        <v>1</v>
      </c>
      <c r="J8" t="s">
        <v>3</v>
      </c>
      <c r="K8" t="s">
        <v>2</v>
      </c>
      <c r="L8" t="s">
        <v>0</v>
      </c>
      <c r="M8" t="s">
        <v>0</v>
      </c>
      <c r="N8" t="s">
        <v>1</v>
      </c>
      <c r="O8" t="s">
        <v>3</v>
      </c>
      <c r="P8" t="s">
        <v>2</v>
      </c>
      <c r="Q8" t="s">
        <v>0</v>
      </c>
      <c r="R8" t="s">
        <v>0</v>
      </c>
      <c r="S8" t="s">
        <v>1</v>
      </c>
      <c r="T8" t="s">
        <v>3</v>
      </c>
      <c r="U8" t="s">
        <v>2</v>
      </c>
      <c r="V8" t="s">
        <v>0</v>
      </c>
      <c r="W8" t="s">
        <v>0</v>
      </c>
      <c r="X8" t="s">
        <v>1</v>
      </c>
      <c r="Y8" t="s">
        <v>3</v>
      </c>
      <c r="Z8" t="s">
        <v>2</v>
      </c>
      <c r="AA8" t="s">
        <v>0</v>
      </c>
      <c r="AB8" t="s">
        <v>0</v>
      </c>
      <c r="AC8" t="s">
        <v>1</v>
      </c>
      <c r="AD8" t="s">
        <v>3</v>
      </c>
      <c r="AE8" t="s">
        <v>2</v>
      </c>
      <c r="AF8" t="s">
        <v>0</v>
      </c>
      <c r="AG8" t="s">
        <v>0</v>
      </c>
      <c r="AH8" t="s">
        <v>1</v>
      </c>
      <c r="AI8" t="s">
        <v>3</v>
      </c>
      <c r="AJ8" t="s">
        <v>2</v>
      </c>
      <c r="AK8" t="s">
        <v>0</v>
      </c>
      <c r="AL8" t="s">
        <v>0</v>
      </c>
      <c r="AM8" t="s">
        <v>1</v>
      </c>
      <c r="AN8" t="s">
        <v>3</v>
      </c>
      <c r="AO8" t="s">
        <v>2</v>
      </c>
      <c r="AP8" t="s">
        <v>0</v>
      </c>
      <c r="AQ8" t="s">
        <v>0</v>
      </c>
      <c r="AR8" t="s">
        <v>1</v>
      </c>
      <c r="AS8" t="s">
        <v>3</v>
      </c>
      <c r="AT8" t="s">
        <v>2</v>
      </c>
      <c r="AU8" t="s">
        <v>0</v>
      </c>
      <c r="AV8" t="s">
        <v>0</v>
      </c>
      <c r="AW8" t="s">
        <v>1</v>
      </c>
      <c r="AX8" t="s">
        <v>3</v>
      </c>
      <c r="AY8" t="s">
        <v>2</v>
      </c>
      <c r="AZ8" t="s">
        <v>0</v>
      </c>
      <c r="BA8" t="s">
        <v>0</v>
      </c>
      <c r="BB8" t="s">
        <v>1</v>
      </c>
      <c r="BC8" t="s">
        <v>3</v>
      </c>
      <c r="BD8" t="s">
        <v>2</v>
      </c>
      <c r="BE8" t="s">
        <v>0</v>
      </c>
      <c r="BF8" t="s">
        <v>0</v>
      </c>
      <c r="BG8" t="s">
        <v>1</v>
      </c>
      <c r="BH8" t="s">
        <v>3</v>
      </c>
      <c r="BI8" t="s">
        <v>2</v>
      </c>
      <c r="BJ8" t="s">
        <v>0</v>
      </c>
      <c r="BK8" t="s">
        <v>0</v>
      </c>
      <c r="BL8" t="s">
        <v>1</v>
      </c>
      <c r="BM8" t="s">
        <v>3</v>
      </c>
      <c r="BN8" t="s">
        <v>2</v>
      </c>
      <c r="BO8" t="s">
        <v>0</v>
      </c>
      <c r="BP8" t="s">
        <v>0</v>
      </c>
      <c r="BQ8" t="s">
        <v>1</v>
      </c>
      <c r="BR8" t="s">
        <v>3</v>
      </c>
      <c r="BS8" t="s">
        <v>2</v>
      </c>
      <c r="BT8" t="s">
        <v>0</v>
      </c>
      <c r="BU8" t="s">
        <v>0</v>
      </c>
      <c r="BV8" t="s">
        <v>1</v>
      </c>
      <c r="BW8" t="s">
        <v>3</v>
      </c>
      <c r="BX8" t="s">
        <v>2</v>
      </c>
      <c r="BY8" t="s">
        <v>0</v>
      </c>
      <c r="BZ8" t="s">
        <v>0</v>
      </c>
      <c r="CA8" t="s">
        <v>1</v>
      </c>
      <c r="CB8" t="s">
        <v>3</v>
      </c>
      <c r="CC8" t="s">
        <v>2</v>
      </c>
      <c r="CD8" t="s">
        <v>0</v>
      </c>
      <c r="CE8" t="s">
        <v>0</v>
      </c>
      <c r="CF8" t="s">
        <v>1</v>
      </c>
      <c r="CG8" t="s">
        <v>3</v>
      </c>
      <c r="CH8" t="s">
        <v>2</v>
      </c>
      <c r="CI8" t="s">
        <v>0</v>
      </c>
      <c r="CJ8" t="s">
        <v>0</v>
      </c>
      <c r="CK8" t="s">
        <v>1</v>
      </c>
      <c r="CL8" t="s">
        <v>3</v>
      </c>
      <c r="CM8" t="s">
        <v>2</v>
      </c>
      <c r="CN8" t="s">
        <v>0</v>
      </c>
      <c r="CO8" t="s">
        <v>0</v>
      </c>
      <c r="CP8" t="s">
        <v>1</v>
      </c>
      <c r="CQ8" t="s">
        <v>3</v>
      </c>
      <c r="CR8" t="s">
        <v>2</v>
      </c>
      <c r="CS8" t="s">
        <v>0</v>
      </c>
      <c r="CT8" t="s">
        <v>0</v>
      </c>
      <c r="CU8" t="s">
        <v>1</v>
      </c>
      <c r="CV8" t="s">
        <v>3</v>
      </c>
      <c r="CW8" t="s">
        <v>2</v>
      </c>
      <c r="CX8" t="s">
        <v>0</v>
      </c>
      <c r="CY8" t="s">
        <v>0</v>
      </c>
      <c r="CZ8" t="s">
        <v>1</v>
      </c>
      <c r="DA8" t="s">
        <v>3</v>
      </c>
      <c r="DB8" t="s">
        <v>2</v>
      </c>
      <c r="DC8" t="s">
        <v>0</v>
      </c>
      <c r="DD8" t="s">
        <v>0</v>
      </c>
      <c r="DE8" t="s">
        <v>1</v>
      </c>
      <c r="DF8" t="s">
        <v>3</v>
      </c>
      <c r="DG8" t="s">
        <v>2</v>
      </c>
      <c r="DH8" t="s">
        <v>0</v>
      </c>
    </row>
    <row r="9" spans="2:112" x14ac:dyDescent="0.25">
      <c r="B9" s="1">
        <v>0</v>
      </c>
      <c r="C9" s="3">
        <v>3.0405379149268684E-2</v>
      </c>
      <c r="D9" s="5">
        <v>188.57941834451901</v>
      </c>
      <c r="E9" s="4">
        <v>1696</v>
      </c>
      <c r="F9" s="7">
        <v>0.11119069477860791</v>
      </c>
      <c r="G9" s="2">
        <f t="shared" ref="G9:G32" si="0">C9</f>
        <v>3.0405379149268684E-2</v>
      </c>
      <c r="H9" s="3">
        <v>1.8555926783103849E-2</v>
      </c>
      <c r="I9" s="5">
        <v>152.76957494407159</v>
      </c>
      <c r="J9" s="4">
        <v>1871</v>
      </c>
      <c r="K9" s="7">
        <v>8.1651296068450882E-2</v>
      </c>
      <c r="L9" s="2">
        <f t="shared" ref="L9:L32" si="1">H9</f>
        <v>1.8555926783103849E-2</v>
      </c>
      <c r="M9" s="3">
        <v>1.7755054937822552E-2</v>
      </c>
      <c r="N9" s="5">
        <v>289.33986928104576</v>
      </c>
      <c r="O9" s="4">
        <v>1871</v>
      </c>
      <c r="P9" s="7">
        <v>0.1546445052277102</v>
      </c>
      <c r="Q9" s="2">
        <f t="shared" ref="Q9:Q32" si="2">M9</f>
        <v>1.7755054937822552E-2</v>
      </c>
      <c r="R9" s="3">
        <v>2.9170930884436331E-2</v>
      </c>
      <c r="S9" s="5">
        <v>145.90380313199105</v>
      </c>
      <c r="T9" s="4">
        <v>1696</v>
      </c>
      <c r="U9" s="7">
        <v>8.6028185808956992E-2</v>
      </c>
      <c r="V9" s="2">
        <f t="shared" ref="V9:V32" si="3">R9</f>
        <v>2.9170930884436331E-2</v>
      </c>
      <c r="W9" s="3">
        <v>2.2728947919044243E-2</v>
      </c>
      <c r="X9" s="5">
        <v>127.71140939597315</v>
      </c>
      <c r="Y9" s="4">
        <v>1696</v>
      </c>
      <c r="Z9" s="7">
        <v>7.5301538558946432E-2</v>
      </c>
      <c r="AA9" s="2">
        <f t="shared" ref="AA9:AA32" si="4">W9</f>
        <v>2.2728947919044243E-2</v>
      </c>
      <c r="AB9" s="3">
        <v>3.0350018174229498E-2</v>
      </c>
      <c r="AC9" s="5">
        <v>202.89709172259506</v>
      </c>
      <c r="AD9" s="4">
        <v>1871</v>
      </c>
      <c r="AE9" s="7">
        <v>0.10844312759091131</v>
      </c>
      <c r="AF9" s="2">
        <f t="shared" ref="AF9:AF32" si="5">AB9</f>
        <v>3.0350018174229498E-2</v>
      </c>
      <c r="AG9" s="3">
        <v>1.7271781509637374E-2</v>
      </c>
      <c r="AH9" s="5">
        <v>166.12747252747235</v>
      </c>
      <c r="AI9" s="4">
        <v>1730</v>
      </c>
      <c r="AJ9" s="7">
        <v>9.6027440767325056E-2</v>
      </c>
      <c r="AK9" s="2">
        <f t="shared" ref="AK9:AK32" si="6">AG9</f>
        <v>1.7271781509637374E-2</v>
      </c>
      <c r="AL9" s="3">
        <v>8.4126589044335495E-2</v>
      </c>
      <c r="AM9" s="5">
        <v>163.17937219730942</v>
      </c>
      <c r="AN9" s="4">
        <v>1696</v>
      </c>
      <c r="AO9" s="7">
        <v>9.6214252474828663E-2</v>
      </c>
      <c r="AP9" s="2">
        <f t="shared" ref="AP9:AP32" si="7">AL9</f>
        <v>8.4126589044335495E-2</v>
      </c>
      <c r="AQ9" s="3">
        <v>1.8657639828853018E-2</v>
      </c>
      <c r="AR9" s="5">
        <v>152.969696969697</v>
      </c>
      <c r="AS9" s="4">
        <v>1730</v>
      </c>
      <c r="AT9" s="7">
        <v>8.8421790155894214E-2</v>
      </c>
      <c r="AU9" s="2">
        <f t="shared" ref="AU9:AU32" si="8">AQ9</f>
        <v>1.8657639828853018E-2</v>
      </c>
      <c r="AV9" s="3">
        <v>1.9541676960182424E-2</v>
      </c>
      <c r="AW9" s="5">
        <v>45.262806236080159</v>
      </c>
      <c r="AX9" s="4">
        <v>1730</v>
      </c>
      <c r="AY9" s="7">
        <v>2.6163471812763097E-2</v>
      </c>
      <c r="AZ9" s="2">
        <f t="shared" ref="AZ9:AZ32" si="9">AV9</f>
        <v>1.9541676960182424E-2</v>
      </c>
      <c r="BA9" s="3">
        <v>6.7965083473359889E-2</v>
      </c>
      <c r="BB9" s="5">
        <v>141.75838926174498</v>
      </c>
      <c r="BC9" s="4">
        <v>1696</v>
      </c>
      <c r="BD9" s="7">
        <v>8.3583955932632653E-2</v>
      </c>
      <c r="BE9" s="2">
        <f t="shared" ref="BE9:BE32" si="10">BA9</f>
        <v>6.7965083473359889E-2</v>
      </c>
      <c r="BF9" s="3">
        <v>5.1600963077638215E-2</v>
      </c>
      <c r="BG9" s="5">
        <v>186.68456375838929</v>
      </c>
      <c r="BH9" s="4">
        <v>1730</v>
      </c>
      <c r="BI9" s="7">
        <v>0.1079101524614967</v>
      </c>
      <c r="BJ9" s="2">
        <f t="shared" ref="BJ9:BJ32" si="11">BF9</f>
        <v>5.1600963077638215E-2</v>
      </c>
      <c r="BK9" s="3">
        <v>7.909486617541156E-2</v>
      </c>
      <c r="BL9" s="5">
        <v>91.214765100671144</v>
      </c>
      <c r="BM9" s="4">
        <v>1696</v>
      </c>
      <c r="BN9" s="7">
        <v>5.3782290743320249E-2</v>
      </c>
      <c r="BO9" s="2">
        <f t="shared" ref="BO9:BO32" si="12">BK9</f>
        <v>7.909486617541156E-2</v>
      </c>
      <c r="BP9" s="3">
        <v>3.5041794776466448E-2</v>
      </c>
      <c r="BQ9" s="5">
        <v>154.26398210290807</v>
      </c>
      <c r="BR9" s="4">
        <v>1964</v>
      </c>
      <c r="BS9" s="7">
        <v>7.854581573467824E-2</v>
      </c>
      <c r="BT9" s="2">
        <f t="shared" ref="BT9:BT32" si="13">BP9</f>
        <v>3.5041794776466448E-2</v>
      </c>
      <c r="BU9" s="3">
        <v>0.13893653516294965</v>
      </c>
      <c r="BV9" s="5">
        <v>65.380139152435206</v>
      </c>
      <c r="BW9" s="4">
        <v>1964</v>
      </c>
      <c r="BX9" s="7">
        <v>3.328927655419308E-2</v>
      </c>
      <c r="BY9" s="2">
        <f t="shared" ref="BY9:BY32" si="14">BU9</f>
        <v>0.13893653516294965</v>
      </c>
      <c r="BZ9" s="3">
        <v>0.11350337302333288</v>
      </c>
      <c r="CA9" s="5">
        <v>81.459866962306009</v>
      </c>
      <c r="CB9" s="4">
        <v>1644</v>
      </c>
      <c r="CC9" s="7">
        <v>4.9549797422327256E-2</v>
      </c>
      <c r="CD9" s="2">
        <f t="shared" ref="CD9:CD32" si="15">BZ9</f>
        <v>0.11350337302333288</v>
      </c>
      <c r="CE9" s="3">
        <v>0.1237086490786551</v>
      </c>
      <c r="CF9" s="5">
        <v>164.72035794183446</v>
      </c>
      <c r="CG9" s="4">
        <v>1871</v>
      </c>
      <c r="CH9" s="7">
        <v>8.8038673405576945E-2</v>
      </c>
      <c r="CI9" s="2">
        <f t="shared" ref="CI9:CI32" si="16">CE9</f>
        <v>0.1237086490786551</v>
      </c>
      <c r="CJ9" s="3">
        <v>2.5406245821687042E-2</v>
      </c>
      <c r="CK9" s="5">
        <v>134.48322147651007</v>
      </c>
      <c r="CL9" s="4">
        <v>1696</v>
      </c>
      <c r="CM9" s="7">
        <v>7.9294352285678105E-2</v>
      </c>
      <c r="CN9" s="2">
        <f t="shared" ref="CN9:CN32" si="17">CJ9</f>
        <v>2.5406245821687042E-2</v>
      </c>
      <c r="CO9" s="3">
        <v>2.7362777757955377E-2</v>
      </c>
      <c r="CP9" s="5">
        <v>172.0178970917226</v>
      </c>
      <c r="CQ9" s="4">
        <v>1871</v>
      </c>
      <c r="CR9" s="7">
        <v>9.1939015014282519E-2</v>
      </c>
      <c r="CS9" s="2">
        <f t="shared" ref="CS9:CS32" si="18">CO9</f>
        <v>2.7362777757955377E-2</v>
      </c>
      <c r="CT9" s="3">
        <v>1.8154938463421869E-2</v>
      </c>
      <c r="CU9" s="5">
        <v>119.98817442719867</v>
      </c>
      <c r="CV9" s="4">
        <v>1730</v>
      </c>
      <c r="CW9" s="7">
        <v>6.9357326258496346E-2</v>
      </c>
      <c r="CX9" s="2">
        <f t="shared" ref="CX9:CX32" si="19">CT9</f>
        <v>1.8154938463421869E-2</v>
      </c>
      <c r="CY9" s="3">
        <v>0.18755175000622593</v>
      </c>
      <c r="CZ9" s="5">
        <v>106.21923937360174</v>
      </c>
      <c r="DA9" s="4">
        <v>1730</v>
      </c>
      <c r="DB9" s="7">
        <v>6.1398404262197538E-2</v>
      </c>
      <c r="DC9" s="2">
        <f t="shared" ref="DC9:DC32" si="20">CY9</f>
        <v>0.18755175000622593</v>
      </c>
      <c r="DD9" s="3" t="e">
        <v>#REF!</v>
      </c>
      <c r="DE9" s="5" t="e">
        <v>#REF!</v>
      </c>
      <c r="DF9" s="4" t="e">
        <v>#REF!</v>
      </c>
      <c r="DG9" s="7" t="e">
        <v>#REF!</v>
      </c>
      <c r="DH9" s="2" t="e">
        <f>DD9</f>
        <v>#REF!</v>
      </c>
    </row>
    <row r="10" spans="2:112" x14ac:dyDescent="0.25">
      <c r="B10" s="1">
        <v>4.1666666666666664E-2</v>
      </c>
      <c r="C10" s="3">
        <v>3.21986295383681E-2</v>
      </c>
      <c r="D10" s="5">
        <v>117.95787139689578</v>
      </c>
      <c r="E10" s="4">
        <v>1696</v>
      </c>
      <c r="F10" s="8">
        <v>6.9550631719867792E-2</v>
      </c>
      <c r="G10" s="2">
        <f t="shared" si="0"/>
        <v>3.21986295383681E-2</v>
      </c>
      <c r="H10" s="3">
        <v>1.6894348500084349E-2</v>
      </c>
      <c r="I10" s="5">
        <v>84.430155210643022</v>
      </c>
      <c r="J10" s="4">
        <v>1871</v>
      </c>
      <c r="K10" s="8">
        <v>4.5125684238718877E-2</v>
      </c>
      <c r="L10" s="2">
        <f t="shared" si="1"/>
        <v>1.6894348500084349E-2</v>
      </c>
      <c r="M10" s="3">
        <v>2.1981371938563608E-2</v>
      </c>
      <c r="N10" s="5">
        <v>169.95680345572353</v>
      </c>
      <c r="O10" s="4">
        <v>1871</v>
      </c>
      <c r="P10" s="8">
        <v>9.0837414995041971E-2</v>
      </c>
      <c r="Q10" s="2">
        <f t="shared" si="2"/>
        <v>2.1981371938563608E-2</v>
      </c>
      <c r="R10" s="3">
        <v>2.7774158872137938E-2</v>
      </c>
      <c r="S10" s="5">
        <v>83.873614190687363</v>
      </c>
      <c r="T10" s="4">
        <v>1696</v>
      </c>
      <c r="U10" s="8">
        <v>4.9453781952056228E-2</v>
      </c>
      <c r="V10" s="2">
        <f t="shared" si="3"/>
        <v>2.7774158872137938E-2</v>
      </c>
      <c r="W10" s="3">
        <v>1.5197469716364344E-2</v>
      </c>
      <c r="X10" s="5">
        <v>76.177383592017733</v>
      </c>
      <c r="Y10" s="4">
        <v>1696</v>
      </c>
      <c r="Z10" s="8">
        <v>4.4915910136802906E-2</v>
      </c>
      <c r="AA10" s="2">
        <f t="shared" si="4"/>
        <v>1.5197469716364344E-2</v>
      </c>
      <c r="AB10" s="3">
        <v>2.8405267917218931E-2</v>
      </c>
      <c r="AC10" s="5">
        <v>116.44888888888889</v>
      </c>
      <c r="AD10" s="4">
        <v>1871</v>
      </c>
      <c r="AE10" s="8">
        <v>6.2238850288021855E-2</v>
      </c>
      <c r="AF10" s="2">
        <f t="shared" si="5"/>
        <v>2.8405267917218931E-2</v>
      </c>
      <c r="AG10" s="3">
        <v>1.3425878499124445E-2</v>
      </c>
      <c r="AH10" s="5">
        <v>94.643274853801145</v>
      </c>
      <c r="AI10" s="4">
        <v>1730</v>
      </c>
      <c r="AJ10" s="8">
        <v>5.4707095291214536E-2</v>
      </c>
      <c r="AK10" s="2">
        <f t="shared" si="6"/>
        <v>1.3425878499124445E-2</v>
      </c>
      <c r="AL10" s="3">
        <v>8.8158068491430777E-2</v>
      </c>
      <c r="AM10" s="5">
        <v>101.04250559284117</v>
      </c>
      <c r="AN10" s="4">
        <v>1696</v>
      </c>
      <c r="AO10" s="8">
        <v>5.9576949052382762E-2</v>
      </c>
      <c r="AP10" s="2">
        <f t="shared" si="7"/>
        <v>8.8158068491430777E-2</v>
      </c>
      <c r="AQ10" s="3">
        <v>1.7948380128651777E-2</v>
      </c>
      <c r="AR10" s="5">
        <v>91.466076696165103</v>
      </c>
      <c r="AS10" s="4">
        <v>1730</v>
      </c>
      <c r="AT10" s="8">
        <v>5.2870564564257289E-2</v>
      </c>
      <c r="AU10" s="2">
        <f t="shared" si="8"/>
        <v>1.7948380128651777E-2</v>
      </c>
      <c r="AV10" s="3">
        <v>1.7338148277062312E-2</v>
      </c>
      <c r="AW10" s="5">
        <v>113.23202614379092</v>
      </c>
      <c r="AX10" s="4">
        <v>1730</v>
      </c>
      <c r="AY10" s="8">
        <v>6.545203823340516E-2</v>
      </c>
      <c r="AZ10" s="2">
        <f t="shared" si="9"/>
        <v>1.7338148277062312E-2</v>
      </c>
      <c r="BA10" s="3">
        <v>5.8734413465302643E-2</v>
      </c>
      <c r="BB10" s="5">
        <v>89.068584070796462</v>
      </c>
      <c r="BC10" s="4">
        <v>1696</v>
      </c>
      <c r="BD10" s="8">
        <v>5.2516853815328099E-2</v>
      </c>
      <c r="BE10" s="2">
        <f t="shared" si="10"/>
        <v>5.8734413465302643E-2</v>
      </c>
      <c r="BF10" s="3">
        <v>6.2681671455415547E-2</v>
      </c>
      <c r="BG10" s="5">
        <v>119.26090169992618</v>
      </c>
      <c r="BH10" s="4">
        <v>1730</v>
      </c>
      <c r="BI10" s="8">
        <v>6.893693739880126E-2</v>
      </c>
      <c r="BJ10" s="2">
        <f t="shared" si="11"/>
        <v>6.2681671455415547E-2</v>
      </c>
      <c r="BK10" s="3">
        <v>7.0602581472342232E-2</v>
      </c>
      <c r="BL10" s="5">
        <v>66.993318485523389</v>
      </c>
      <c r="BM10" s="4">
        <v>1696</v>
      </c>
      <c r="BN10" s="8">
        <v>3.9500777408917095E-2</v>
      </c>
      <c r="BO10" s="2">
        <f t="shared" si="12"/>
        <v>7.0602581472342232E-2</v>
      </c>
      <c r="BP10" s="3">
        <v>4.567151054965933E-2</v>
      </c>
      <c r="BQ10" s="5">
        <v>92.000000000000014</v>
      </c>
      <c r="BR10" s="4">
        <v>1964</v>
      </c>
      <c r="BS10" s="8">
        <v>4.6843177189409377E-2</v>
      </c>
      <c r="BT10" s="2">
        <f t="shared" si="13"/>
        <v>4.567151054965933E-2</v>
      </c>
      <c r="BU10" s="3">
        <v>0.12827218702421228</v>
      </c>
      <c r="BV10" s="5">
        <v>109.60426179604256</v>
      </c>
      <c r="BW10" s="4">
        <v>1964</v>
      </c>
      <c r="BX10" s="8">
        <v>5.5806650608982974E-2</v>
      </c>
      <c r="BY10" s="2">
        <f t="shared" si="14"/>
        <v>0.12827218702421228</v>
      </c>
      <c r="BZ10" s="3">
        <v>0.10271130049702273</v>
      </c>
      <c r="CA10" s="5">
        <v>56.293626373626331</v>
      </c>
      <c r="CB10" s="4">
        <v>1644</v>
      </c>
      <c r="CC10" s="8">
        <v>3.4241865190770278E-2</v>
      </c>
      <c r="CD10" s="2">
        <f t="shared" si="15"/>
        <v>0.10271130049702273</v>
      </c>
      <c r="CE10" s="3">
        <v>0.12870872153031715</v>
      </c>
      <c r="CF10" s="5">
        <v>102.09090909090909</v>
      </c>
      <c r="CG10" s="4">
        <v>1871</v>
      </c>
      <c r="CH10" s="8">
        <v>5.4564889947038529E-2</v>
      </c>
      <c r="CI10" s="2">
        <f t="shared" si="16"/>
        <v>0.12870872153031715</v>
      </c>
      <c r="CJ10" s="3">
        <v>1.7594122546759176E-2</v>
      </c>
      <c r="CK10" s="5">
        <v>82.505543237250549</v>
      </c>
      <c r="CL10" s="4">
        <v>1696</v>
      </c>
      <c r="CM10" s="8">
        <v>4.8647136342718486E-2</v>
      </c>
      <c r="CN10" s="2">
        <f t="shared" si="17"/>
        <v>1.7594122546759176E-2</v>
      </c>
      <c r="CO10" s="3">
        <v>2.2253199211342618E-2</v>
      </c>
      <c r="CP10" s="5">
        <v>104.14855875831486</v>
      </c>
      <c r="CQ10" s="4">
        <v>1871</v>
      </c>
      <c r="CR10" s="8">
        <v>5.5664649256181115E-2</v>
      </c>
      <c r="CS10" s="2">
        <f t="shared" si="18"/>
        <v>2.2253199211342618E-2</v>
      </c>
      <c r="CT10" s="3">
        <v>1.6913291281522493E-2</v>
      </c>
      <c r="CU10" s="5">
        <v>75.427728613569272</v>
      </c>
      <c r="CV10" s="4">
        <v>1730</v>
      </c>
      <c r="CW10" s="8">
        <v>4.3599843129230792E-2</v>
      </c>
      <c r="CX10" s="2">
        <f t="shared" si="19"/>
        <v>1.6913291281522493E-2</v>
      </c>
      <c r="CY10" s="3">
        <v>0.29022006900497765</v>
      </c>
      <c r="CZ10" s="5">
        <v>71.635555555555555</v>
      </c>
      <c r="DA10" s="4">
        <v>1730</v>
      </c>
      <c r="DB10" s="8">
        <v>4.1407835581245986E-2</v>
      </c>
      <c r="DC10" s="2">
        <f t="shared" si="20"/>
        <v>0.29022006900497765</v>
      </c>
      <c r="DD10" s="3"/>
      <c r="DE10" s="5"/>
      <c r="DF10" s="4"/>
      <c r="DG10" s="8"/>
      <c r="DH10" s="2"/>
    </row>
    <row r="11" spans="2:112" x14ac:dyDescent="0.25">
      <c r="B11" s="1">
        <v>8.3333333333333329E-2</v>
      </c>
      <c r="C11" s="3">
        <v>3.6207747912383056E-2</v>
      </c>
      <c r="D11" s="5">
        <v>79.417977528089892</v>
      </c>
      <c r="E11" s="4">
        <v>1696</v>
      </c>
      <c r="F11" s="8">
        <v>4.6826637693449226E-2</v>
      </c>
      <c r="G11" s="2">
        <f t="shared" si="0"/>
        <v>3.6207747912383056E-2</v>
      </c>
      <c r="H11" s="3">
        <v>2.2363039318179526E-2</v>
      </c>
      <c r="I11" s="5">
        <v>55.215246636771298</v>
      </c>
      <c r="J11" s="4">
        <v>1871</v>
      </c>
      <c r="K11" s="8">
        <v>2.9511088528472101E-2</v>
      </c>
      <c r="L11" s="2">
        <f t="shared" si="1"/>
        <v>2.2363039318179526E-2</v>
      </c>
      <c r="M11" s="3">
        <v>2.1158950389464647E-2</v>
      </c>
      <c r="N11" s="5">
        <v>120.03056768558952</v>
      </c>
      <c r="O11" s="4">
        <v>1871</v>
      </c>
      <c r="P11" s="8">
        <v>6.4153162846386697E-2</v>
      </c>
      <c r="Q11" s="2">
        <f t="shared" si="2"/>
        <v>2.1158950389464647E-2</v>
      </c>
      <c r="R11" s="3">
        <v>3.2382954236684407E-2</v>
      </c>
      <c r="S11" s="5">
        <v>56.732584269662922</v>
      </c>
      <c r="T11" s="4">
        <v>1696</v>
      </c>
      <c r="U11" s="8">
        <v>3.3450816196735213E-2</v>
      </c>
      <c r="V11" s="2">
        <f t="shared" si="3"/>
        <v>3.2382954236684407E-2</v>
      </c>
      <c r="W11" s="3">
        <v>2.4777357475399102E-2</v>
      </c>
      <c r="X11" s="5">
        <v>60.20674157303371</v>
      </c>
      <c r="Y11" s="4">
        <v>1696</v>
      </c>
      <c r="Z11" s="8">
        <v>3.5499258002967993E-2</v>
      </c>
      <c r="AA11" s="2">
        <f t="shared" si="4"/>
        <v>2.4777357475399102E-2</v>
      </c>
      <c r="AB11" s="3">
        <v>2.6899427340543312E-2</v>
      </c>
      <c r="AC11" s="5">
        <v>81.243847874720359</v>
      </c>
      <c r="AD11" s="4">
        <v>1871</v>
      </c>
      <c r="AE11" s="8">
        <v>4.3422687266018362E-2</v>
      </c>
      <c r="AF11" s="2">
        <f t="shared" si="5"/>
        <v>2.6899427340543312E-2</v>
      </c>
      <c r="AG11" s="3">
        <v>1.6834760652762001E-2</v>
      </c>
      <c r="AH11" s="5">
        <v>68.776556776556788</v>
      </c>
      <c r="AI11" s="4">
        <v>1730</v>
      </c>
      <c r="AJ11" s="8">
        <v>3.9755235130957682E-2</v>
      </c>
      <c r="AK11" s="2">
        <f t="shared" si="6"/>
        <v>1.6834760652762001E-2</v>
      </c>
      <c r="AL11" s="3">
        <v>9.0407561698688368E-2</v>
      </c>
      <c r="AM11" s="5">
        <v>75.430493273542595</v>
      </c>
      <c r="AN11" s="4">
        <v>1696</v>
      </c>
      <c r="AO11" s="8">
        <v>4.4475526694305774E-2</v>
      </c>
      <c r="AP11" s="2">
        <f t="shared" si="7"/>
        <v>9.0407561698688368E-2</v>
      </c>
      <c r="AQ11" s="3">
        <v>1.8337115918714397E-2</v>
      </c>
      <c r="AR11" s="5">
        <v>66.551367331855161</v>
      </c>
      <c r="AS11" s="4">
        <v>1730</v>
      </c>
      <c r="AT11" s="8">
        <v>3.8468998457719748E-2</v>
      </c>
      <c r="AU11" s="2">
        <f t="shared" si="8"/>
        <v>1.8337115918714397E-2</v>
      </c>
      <c r="AV11" s="3">
        <v>1.5466279076575501E-2</v>
      </c>
      <c r="AW11" s="5">
        <v>76.303921568627473</v>
      </c>
      <c r="AX11" s="4">
        <v>1730</v>
      </c>
      <c r="AY11" s="8">
        <v>4.4106313045449409E-2</v>
      </c>
      <c r="AZ11" s="2">
        <f t="shared" si="9"/>
        <v>1.5466279076575501E-2</v>
      </c>
      <c r="BA11" s="3">
        <v>6.4393838329438235E-2</v>
      </c>
      <c r="BB11" s="5">
        <v>62.677927927927925</v>
      </c>
      <c r="BC11" s="4">
        <v>1696</v>
      </c>
      <c r="BD11" s="8">
        <v>3.6956325429202783E-2</v>
      </c>
      <c r="BE11" s="2">
        <f t="shared" si="10"/>
        <v>6.4393838329438235E-2</v>
      </c>
      <c r="BF11" s="3">
        <v>6.6827678247639508E-2</v>
      </c>
      <c r="BG11" s="5">
        <v>93.494407158836637</v>
      </c>
      <c r="BH11" s="4">
        <v>1730</v>
      </c>
      <c r="BI11" s="8">
        <v>5.4043009918402683E-2</v>
      </c>
      <c r="BJ11" s="2">
        <f t="shared" si="11"/>
        <v>6.6827678247639508E-2</v>
      </c>
      <c r="BK11" s="3">
        <v>7.2696751804517915E-2</v>
      </c>
      <c r="BL11" s="5">
        <v>55.543820224719099</v>
      </c>
      <c r="BM11" s="4">
        <v>1696</v>
      </c>
      <c r="BN11" s="8">
        <v>3.2749894000423996E-2</v>
      </c>
      <c r="BO11" s="2">
        <f t="shared" si="12"/>
        <v>7.2696751804517915E-2</v>
      </c>
      <c r="BP11" s="3">
        <v>4.3931535718020526E-2</v>
      </c>
      <c r="BQ11" s="5">
        <v>68.838951310861404</v>
      </c>
      <c r="BR11" s="4">
        <v>1964</v>
      </c>
      <c r="BS11" s="8">
        <v>3.5050382541171793E-2</v>
      </c>
      <c r="BT11" s="2">
        <f t="shared" si="13"/>
        <v>4.3931535718020526E-2</v>
      </c>
      <c r="BU11" s="3">
        <v>0.1844669827396539</v>
      </c>
      <c r="BV11" s="5">
        <v>88.514459665144656</v>
      </c>
      <c r="BW11" s="4">
        <v>1964</v>
      </c>
      <c r="BX11" s="8">
        <v>4.5068462151295653E-2</v>
      </c>
      <c r="BY11" s="2">
        <f t="shared" si="14"/>
        <v>0.1844669827396539</v>
      </c>
      <c r="BZ11" s="3">
        <v>0.11335712633422564</v>
      </c>
      <c r="CA11" s="5">
        <v>46.881415929203527</v>
      </c>
      <c r="CB11" s="4">
        <v>1644</v>
      </c>
      <c r="CC11" s="8">
        <v>2.8516676355963215E-2</v>
      </c>
      <c r="CD11" s="2">
        <f t="shared" si="15"/>
        <v>0.11335712633422564</v>
      </c>
      <c r="CE11" s="3">
        <v>0.11935725807814435</v>
      </c>
      <c r="CF11" s="5">
        <v>81.347533632286996</v>
      </c>
      <c r="CG11" s="4">
        <v>1871</v>
      </c>
      <c r="CH11" s="8">
        <v>4.3478104560281665E-2</v>
      </c>
      <c r="CI11" s="2">
        <f t="shared" si="16"/>
        <v>0.11935725807814435</v>
      </c>
      <c r="CJ11" s="3">
        <v>2.0963032247466384E-2</v>
      </c>
      <c r="CK11" s="5">
        <v>65.426966292134836</v>
      </c>
      <c r="CL11" s="4">
        <v>1696</v>
      </c>
      <c r="CM11" s="8">
        <v>3.8577220691117235E-2</v>
      </c>
      <c r="CN11" s="2">
        <f t="shared" si="17"/>
        <v>2.0963032247466384E-2</v>
      </c>
      <c r="CO11" s="3">
        <v>2.5668323624646147E-2</v>
      </c>
      <c r="CP11" s="5">
        <v>83.580717488789233</v>
      </c>
      <c r="CQ11" s="4">
        <v>1871</v>
      </c>
      <c r="CR11" s="8">
        <v>4.4671682249486498E-2</v>
      </c>
      <c r="CS11" s="2">
        <f t="shared" si="18"/>
        <v>2.5668323624646147E-2</v>
      </c>
      <c r="CT11" s="3">
        <v>1.5495129801914975E-2</v>
      </c>
      <c r="CU11" s="5">
        <v>60.147819660014768</v>
      </c>
      <c r="CV11" s="4">
        <v>1730</v>
      </c>
      <c r="CW11" s="8">
        <v>3.4767525815037441E-2</v>
      </c>
      <c r="CX11" s="2">
        <f t="shared" si="19"/>
        <v>1.5495129801914975E-2</v>
      </c>
      <c r="CY11" s="3">
        <v>0.3025342685387018</v>
      </c>
      <c r="CZ11" s="5">
        <v>57.825503355704733</v>
      </c>
      <c r="DA11" s="4">
        <v>1730</v>
      </c>
      <c r="DB11" s="8">
        <v>3.3425146448384235E-2</v>
      </c>
      <c r="DC11" s="2">
        <f t="shared" si="20"/>
        <v>0.3025342685387018</v>
      </c>
      <c r="DD11" s="3"/>
      <c r="DE11" s="5"/>
      <c r="DF11" s="4"/>
      <c r="DG11" s="8"/>
      <c r="DH11" s="2"/>
    </row>
    <row r="12" spans="2:112" x14ac:dyDescent="0.25">
      <c r="B12" s="1">
        <v>0.125</v>
      </c>
      <c r="C12" s="3">
        <v>3.3928877124701634E-2</v>
      </c>
      <c r="D12" s="5">
        <v>71.726057906458792</v>
      </c>
      <c r="E12" s="4">
        <v>1696</v>
      </c>
      <c r="F12" s="8">
        <v>4.2291307727864852E-2</v>
      </c>
      <c r="G12" s="2">
        <f t="shared" si="0"/>
        <v>3.3928877124701634E-2</v>
      </c>
      <c r="H12" s="3">
        <v>2.3848377012760099E-2</v>
      </c>
      <c r="I12" s="5">
        <v>48.342984409799556</v>
      </c>
      <c r="J12" s="4">
        <v>1871</v>
      </c>
      <c r="K12" s="8">
        <v>2.5838046183751767E-2</v>
      </c>
      <c r="L12" s="2">
        <f t="shared" si="1"/>
        <v>2.3848377012760099E-2</v>
      </c>
      <c r="M12" s="3">
        <v>2.3535915056739899E-2</v>
      </c>
      <c r="N12" s="5">
        <v>123.57266811279827</v>
      </c>
      <c r="O12" s="4">
        <v>1871</v>
      </c>
      <c r="P12" s="8">
        <v>6.6046321813360911E-2</v>
      </c>
      <c r="Q12" s="2">
        <f t="shared" si="2"/>
        <v>2.3535915056739899E-2</v>
      </c>
      <c r="R12" s="3">
        <v>3.6251314550630492E-2</v>
      </c>
      <c r="S12" s="5">
        <v>51.200445434298445</v>
      </c>
      <c r="T12" s="4">
        <v>1696</v>
      </c>
      <c r="U12" s="8">
        <v>3.0188941883430687E-2</v>
      </c>
      <c r="V12" s="2">
        <f t="shared" si="3"/>
        <v>3.6251314550630492E-2</v>
      </c>
      <c r="W12" s="3">
        <v>1.8428084928437755E-2</v>
      </c>
      <c r="X12" s="5">
        <v>74.801781737193764</v>
      </c>
      <c r="Y12" s="4">
        <v>1696</v>
      </c>
      <c r="Z12" s="8">
        <v>4.4104824137496321E-2</v>
      </c>
      <c r="AA12" s="2">
        <f t="shared" si="4"/>
        <v>1.8428084928437755E-2</v>
      </c>
      <c r="AB12" s="3">
        <v>2.1665884710692914E-2</v>
      </c>
      <c r="AC12" s="5">
        <v>83.681514476614694</v>
      </c>
      <c r="AD12" s="4">
        <v>1871</v>
      </c>
      <c r="AE12" s="8">
        <v>4.4725555572749702E-2</v>
      </c>
      <c r="AF12" s="2">
        <f t="shared" si="5"/>
        <v>2.1665884710692914E-2</v>
      </c>
      <c r="AG12" s="3">
        <v>1.6873005003569454E-2</v>
      </c>
      <c r="AH12" s="5">
        <v>64.391464311994142</v>
      </c>
      <c r="AI12" s="4">
        <v>1730</v>
      </c>
      <c r="AJ12" s="8">
        <v>3.7220499602308756E-2</v>
      </c>
      <c r="AK12" s="2">
        <f t="shared" si="6"/>
        <v>1.6873005003569454E-2</v>
      </c>
      <c r="AL12" s="3">
        <v>8.1499939770841329E-2</v>
      </c>
      <c r="AM12" s="5">
        <v>67.438202247191015</v>
      </c>
      <c r="AN12" s="4">
        <v>1696</v>
      </c>
      <c r="AO12" s="8">
        <v>3.9763090947636213E-2</v>
      </c>
      <c r="AP12" s="2">
        <f t="shared" si="7"/>
        <v>8.1499939770841329E-2</v>
      </c>
      <c r="AQ12" s="3">
        <v>1.8797448114633523E-2</v>
      </c>
      <c r="AR12" s="5">
        <v>72.477876106194728</v>
      </c>
      <c r="AS12" s="4">
        <v>1730</v>
      </c>
      <c r="AT12" s="8">
        <v>4.1894726072944928E-2</v>
      </c>
      <c r="AU12" s="2">
        <f t="shared" si="8"/>
        <v>1.8797448114633523E-2</v>
      </c>
      <c r="AV12" s="3">
        <v>1.5741260377117809E-2</v>
      </c>
      <c r="AW12" s="5">
        <v>69.209150326797385</v>
      </c>
      <c r="AX12" s="4">
        <v>1730</v>
      </c>
      <c r="AY12" s="8">
        <v>4.000528920624126E-2</v>
      </c>
      <c r="AZ12" s="2">
        <f t="shared" si="9"/>
        <v>1.5741260377117809E-2</v>
      </c>
      <c r="BA12" s="3">
        <v>5.8632389956440323E-2</v>
      </c>
      <c r="BB12" s="5">
        <v>57.373033707865169</v>
      </c>
      <c r="BC12" s="4">
        <v>1696</v>
      </c>
      <c r="BD12" s="8">
        <v>3.3828439686241253E-2</v>
      </c>
      <c r="BE12" s="2">
        <f t="shared" si="10"/>
        <v>5.8632389956440323E-2</v>
      </c>
      <c r="BF12" s="3">
        <v>4.8794563327163309E-2</v>
      </c>
      <c r="BG12" s="5">
        <v>106.91907943578325</v>
      </c>
      <c r="BH12" s="4">
        <v>1730</v>
      </c>
      <c r="BI12" s="8">
        <v>6.1802936090048118E-2</v>
      </c>
      <c r="BJ12" s="2">
        <f t="shared" si="11"/>
        <v>4.8794563327163309E-2</v>
      </c>
      <c r="BK12" s="3">
        <v>6.1328980100564451E-2</v>
      </c>
      <c r="BL12" s="5">
        <v>82.694877505567931</v>
      </c>
      <c r="BM12" s="4">
        <v>1696</v>
      </c>
      <c r="BN12" s="8">
        <v>4.8758772114132036E-2</v>
      </c>
      <c r="BO12" s="2">
        <f t="shared" si="12"/>
        <v>6.1328980100564451E-2</v>
      </c>
      <c r="BP12" s="3">
        <v>3.3938057875510144E-2</v>
      </c>
      <c r="BQ12" s="5">
        <v>81.689680772086078</v>
      </c>
      <c r="BR12" s="4">
        <v>1964</v>
      </c>
      <c r="BS12" s="8">
        <v>4.1593523814707781E-2</v>
      </c>
      <c r="BT12" s="2">
        <f t="shared" si="13"/>
        <v>3.3938057875510144E-2</v>
      </c>
      <c r="BU12" s="3">
        <v>0.118323814976123</v>
      </c>
      <c r="BV12" s="5">
        <v>129.78386605783879</v>
      </c>
      <c r="BW12" s="4">
        <v>1964</v>
      </c>
      <c r="BX12" s="8">
        <v>6.6081398196455601E-2</v>
      </c>
      <c r="BY12" s="2">
        <f t="shared" si="14"/>
        <v>0.118323814976123</v>
      </c>
      <c r="BZ12" s="3">
        <v>0.10946339799153375</v>
      </c>
      <c r="CA12" s="5">
        <v>72.741202672605752</v>
      </c>
      <c r="CB12" s="4">
        <v>1644</v>
      </c>
      <c r="CC12" s="8">
        <v>4.424647364513732E-2</v>
      </c>
      <c r="CD12" s="2">
        <f t="shared" si="15"/>
        <v>0.10946339799153375</v>
      </c>
      <c r="CE12" s="3">
        <v>0.12239411316699547</v>
      </c>
      <c r="CF12" s="5">
        <v>107.02449888641425</v>
      </c>
      <c r="CG12" s="4">
        <v>1871</v>
      </c>
      <c r="CH12" s="8">
        <v>5.7201763167511625E-2</v>
      </c>
      <c r="CI12" s="2">
        <f t="shared" si="16"/>
        <v>0.12239411316699547</v>
      </c>
      <c r="CJ12" s="3">
        <v>1.6413828516183369E-2</v>
      </c>
      <c r="CK12" s="5">
        <v>76.280623608017819</v>
      </c>
      <c r="CL12" s="4">
        <v>1696</v>
      </c>
      <c r="CM12" s="8">
        <v>4.4976782787746354E-2</v>
      </c>
      <c r="CN12" s="2">
        <f t="shared" si="17"/>
        <v>1.6413828516183369E-2</v>
      </c>
      <c r="CO12" s="3">
        <v>3.2731874424170443E-2</v>
      </c>
      <c r="CP12" s="5">
        <v>104.12694877505568</v>
      </c>
      <c r="CQ12" s="4">
        <v>1871</v>
      </c>
      <c r="CR12" s="8">
        <v>5.5653099291852318E-2</v>
      </c>
      <c r="CS12" s="2">
        <f t="shared" si="18"/>
        <v>3.2731874424170443E-2</v>
      </c>
      <c r="CT12" s="3">
        <v>1.6714122185737531E-2</v>
      </c>
      <c r="CU12" s="5">
        <v>77.752212389380546</v>
      </c>
      <c r="CV12" s="4">
        <v>1730</v>
      </c>
      <c r="CW12" s="8">
        <v>4.4943475369584131E-2</v>
      </c>
      <c r="CX12" s="2">
        <f t="shared" si="19"/>
        <v>1.6714122185737531E-2</v>
      </c>
      <c r="CY12" s="3">
        <v>0.30913315506633082</v>
      </c>
      <c r="CZ12" s="5">
        <v>68.15738678544912</v>
      </c>
      <c r="DA12" s="4">
        <v>1730</v>
      </c>
      <c r="DB12" s="8">
        <v>3.9397333401993709E-2</v>
      </c>
      <c r="DC12" s="2">
        <f t="shared" si="20"/>
        <v>0.30913315506633082</v>
      </c>
      <c r="DD12" s="3"/>
      <c r="DE12" s="5"/>
      <c r="DF12" s="4"/>
      <c r="DG12" s="8"/>
      <c r="DH12" s="2"/>
    </row>
    <row r="13" spans="2:112" x14ac:dyDescent="0.25">
      <c r="B13" s="1">
        <v>0.16666666666666699</v>
      </c>
      <c r="C13" s="3">
        <v>3.046235235478267E-2</v>
      </c>
      <c r="D13" s="5">
        <v>115.02895322939867</v>
      </c>
      <c r="E13" s="4">
        <v>1696</v>
      </c>
      <c r="F13" s="8">
        <v>6.7823675253183183E-2</v>
      </c>
      <c r="G13" s="2">
        <f t="shared" si="0"/>
        <v>3.046235235478267E-2</v>
      </c>
      <c r="H13" s="3">
        <v>1.9766655865988258E-2</v>
      </c>
      <c r="I13" s="5">
        <v>81.084632516703792</v>
      </c>
      <c r="J13" s="4">
        <v>1871</v>
      </c>
      <c r="K13" s="8">
        <v>4.3337590869430141E-2</v>
      </c>
      <c r="L13" s="2">
        <f t="shared" si="1"/>
        <v>1.9766655865988258E-2</v>
      </c>
      <c r="M13" s="3">
        <v>1.9101335732765169E-2</v>
      </c>
      <c r="N13" s="5">
        <v>265.16268980477224</v>
      </c>
      <c r="O13" s="4">
        <v>1871</v>
      </c>
      <c r="P13" s="8">
        <v>0.14172244243974999</v>
      </c>
      <c r="Q13" s="2">
        <f t="shared" si="2"/>
        <v>1.9101335732765169E-2</v>
      </c>
      <c r="R13" s="3">
        <v>3.2602732483631491E-2</v>
      </c>
      <c r="S13" s="5">
        <v>82.897550111358569</v>
      </c>
      <c r="T13" s="4">
        <v>1696</v>
      </c>
      <c r="U13" s="8">
        <v>4.8878272471319914E-2</v>
      </c>
      <c r="V13" s="2">
        <f t="shared" si="3"/>
        <v>3.2602732483631491E-2</v>
      </c>
      <c r="W13" s="3">
        <v>1.6633489955545484E-2</v>
      </c>
      <c r="X13" s="5">
        <v>169.5055679287305</v>
      </c>
      <c r="Y13" s="4">
        <v>1696</v>
      </c>
      <c r="Z13" s="8">
        <v>9.9944320712694865E-2</v>
      </c>
      <c r="AA13" s="2">
        <f t="shared" si="4"/>
        <v>1.6633489955545484E-2</v>
      </c>
      <c r="AB13" s="3">
        <v>1.72102552898881E-2</v>
      </c>
      <c r="AC13" s="5">
        <v>182.4075723830735</v>
      </c>
      <c r="AD13" s="4">
        <v>1871</v>
      </c>
      <c r="AE13" s="8">
        <v>9.7492021583684391E-2</v>
      </c>
      <c r="AF13" s="2">
        <f t="shared" si="5"/>
        <v>1.72102552898881E-2</v>
      </c>
      <c r="AG13" s="3">
        <v>1.9497545301060182E-2</v>
      </c>
      <c r="AH13" s="5">
        <v>106.97640117994092</v>
      </c>
      <c r="AI13" s="4">
        <v>1730</v>
      </c>
      <c r="AJ13" s="8">
        <v>6.1836070046208627E-2</v>
      </c>
      <c r="AK13" s="2">
        <f t="shared" si="6"/>
        <v>1.9497545301060182E-2</v>
      </c>
      <c r="AL13" s="3">
        <v>5.7004626133902711E-2</v>
      </c>
      <c r="AM13" s="5">
        <v>109.87276785714286</v>
      </c>
      <c r="AN13" s="4">
        <v>1696</v>
      </c>
      <c r="AO13" s="8">
        <v>6.4783471613881399E-2</v>
      </c>
      <c r="AP13" s="2">
        <f t="shared" si="7"/>
        <v>5.7004626133902711E-2</v>
      </c>
      <c r="AQ13" s="3">
        <v>1.6318449368984651E-2</v>
      </c>
      <c r="AR13" s="5">
        <v>165.91445427728638</v>
      </c>
      <c r="AS13" s="4">
        <v>1730</v>
      </c>
      <c r="AT13" s="8">
        <v>9.590430883080138E-2</v>
      </c>
      <c r="AU13" s="2">
        <f t="shared" si="8"/>
        <v>1.6318449368984651E-2</v>
      </c>
      <c r="AV13" s="3">
        <v>2.1086924621099186E-2</v>
      </c>
      <c r="AW13" s="5">
        <v>114.47712418300648</v>
      </c>
      <c r="AX13" s="4">
        <v>1730</v>
      </c>
      <c r="AY13" s="8">
        <v>6.6171748082662712E-2</v>
      </c>
      <c r="AZ13" s="2">
        <f t="shared" si="9"/>
        <v>2.1086924621099186E-2</v>
      </c>
      <c r="BA13" s="3">
        <v>4.9500256283758641E-2</v>
      </c>
      <c r="BB13" s="5">
        <v>91.669662921348319</v>
      </c>
      <c r="BC13" s="4">
        <v>1696</v>
      </c>
      <c r="BD13" s="8">
        <v>5.4050508797964809E-2</v>
      </c>
      <c r="BE13" s="2">
        <f t="shared" si="10"/>
        <v>4.9500256283758641E-2</v>
      </c>
      <c r="BF13" s="3">
        <v>3.6997805468406711E-2</v>
      </c>
      <c r="BG13" s="5">
        <v>233.59226190476187</v>
      </c>
      <c r="BH13" s="4">
        <v>1730</v>
      </c>
      <c r="BI13" s="8">
        <v>0.13502442884668317</v>
      </c>
      <c r="BJ13" s="2">
        <f t="shared" si="11"/>
        <v>3.6997805468406711E-2</v>
      </c>
      <c r="BK13" s="3">
        <v>4.9501404162638415E-2</v>
      </c>
      <c r="BL13" s="5">
        <v>198.40534521158131</v>
      </c>
      <c r="BM13" s="4">
        <v>1696</v>
      </c>
      <c r="BN13" s="8">
        <v>0.1169842837332437</v>
      </c>
      <c r="BO13" s="2">
        <f t="shared" si="12"/>
        <v>4.9501404162638415E-2</v>
      </c>
      <c r="BP13" s="3">
        <v>2.5947014492635354E-2</v>
      </c>
      <c r="BQ13" s="5">
        <v>182.60133630289536</v>
      </c>
      <c r="BR13" s="4">
        <v>1964</v>
      </c>
      <c r="BS13" s="8">
        <v>9.2974203820211487E-2</v>
      </c>
      <c r="BT13" s="2">
        <f t="shared" si="13"/>
        <v>2.5947014492635354E-2</v>
      </c>
      <c r="BU13" s="3">
        <v>8.8134149448823904E-2</v>
      </c>
      <c r="BV13" s="5">
        <v>290.52121212121239</v>
      </c>
      <c r="BW13" s="4">
        <v>1964</v>
      </c>
      <c r="BX13" s="8">
        <v>0.14792322409430367</v>
      </c>
      <c r="BY13" s="2">
        <f t="shared" si="14"/>
        <v>8.8134149448823904E-2</v>
      </c>
      <c r="BZ13" s="3">
        <v>7.4679301450955235E-2</v>
      </c>
      <c r="CA13" s="5">
        <v>167.52494481236207</v>
      </c>
      <c r="CB13" s="4">
        <v>1644</v>
      </c>
      <c r="CC13" s="8">
        <v>0.10190081801238568</v>
      </c>
      <c r="CD13" s="2">
        <f t="shared" si="15"/>
        <v>7.4679301450955235E-2</v>
      </c>
      <c r="CE13" s="3">
        <v>0.14436909764764871</v>
      </c>
      <c r="CF13" s="5">
        <v>223.30066815144767</v>
      </c>
      <c r="CG13" s="4">
        <v>1871</v>
      </c>
      <c r="CH13" s="8">
        <v>0.11934829938612916</v>
      </c>
      <c r="CI13" s="2">
        <f t="shared" si="16"/>
        <v>0.14436909764764871</v>
      </c>
      <c r="CJ13" s="3">
        <v>2.1058982587384558E-2</v>
      </c>
      <c r="CK13" s="5">
        <v>172.641425389755</v>
      </c>
      <c r="CL13" s="4">
        <v>1696</v>
      </c>
      <c r="CM13" s="8">
        <v>0.10179329327226121</v>
      </c>
      <c r="CN13" s="2">
        <f t="shared" si="17"/>
        <v>2.1058982587384558E-2</v>
      </c>
      <c r="CO13" s="3">
        <v>2.6161574894189819E-2</v>
      </c>
      <c r="CP13" s="5">
        <v>223.91536748329622</v>
      </c>
      <c r="CQ13" s="4">
        <v>1871</v>
      </c>
      <c r="CR13" s="8">
        <v>0.11967683991624598</v>
      </c>
      <c r="CS13" s="2">
        <f t="shared" si="18"/>
        <v>2.6161574894189819E-2</v>
      </c>
      <c r="CT13" s="3">
        <v>1.4379868554051427E-2</v>
      </c>
      <c r="CU13" s="5">
        <v>156.95870206489667</v>
      </c>
      <c r="CV13" s="4">
        <v>1730</v>
      </c>
      <c r="CW13" s="8">
        <v>9.0727573447917154E-2</v>
      </c>
      <c r="CX13" s="2">
        <f t="shared" si="19"/>
        <v>1.4379868554051427E-2</v>
      </c>
      <c r="CY13" s="3">
        <v>0.20916558177955016</v>
      </c>
      <c r="CZ13" s="5">
        <v>130.03728560775536</v>
      </c>
      <c r="DA13" s="4">
        <v>1730</v>
      </c>
      <c r="DB13" s="8">
        <v>7.5166061044945304E-2</v>
      </c>
      <c r="DC13" s="2">
        <f t="shared" si="20"/>
        <v>0.20916558177955016</v>
      </c>
      <c r="DD13" s="3"/>
      <c r="DE13" s="5"/>
      <c r="DF13" s="4"/>
      <c r="DG13" s="8"/>
      <c r="DH13" s="2"/>
    </row>
    <row r="14" spans="2:112" x14ac:dyDescent="0.25">
      <c r="B14" s="1">
        <v>0.20833333333333301</v>
      </c>
      <c r="C14" s="3">
        <v>3.4615771047820688E-2</v>
      </c>
      <c r="D14" s="5">
        <v>310.06919642857144</v>
      </c>
      <c r="E14" s="4">
        <v>1696</v>
      </c>
      <c r="F14" s="8">
        <v>0.18282381864892183</v>
      </c>
      <c r="G14" s="2">
        <f t="shared" si="0"/>
        <v>3.4615771047820688E-2</v>
      </c>
      <c r="H14" s="3">
        <v>1.4456967223692998E-2</v>
      </c>
      <c r="I14" s="5">
        <v>305.34151785714283</v>
      </c>
      <c r="J14" s="4">
        <v>1871</v>
      </c>
      <c r="K14" s="8">
        <v>0.16319696304497211</v>
      </c>
      <c r="L14" s="2">
        <f t="shared" si="1"/>
        <v>1.4456967223692998E-2</v>
      </c>
      <c r="M14" s="3">
        <v>1.2839027157912963E-2</v>
      </c>
      <c r="N14" s="5">
        <v>749.93681917211325</v>
      </c>
      <c r="O14" s="4">
        <v>1871</v>
      </c>
      <c r="P14" s="8">
        <v>0.40082138918872967</v>
      </c>
      <c r="Q14" s="2">
        <f t="shared" si="2"/>
        <v>1.2839027157912963E-2</v>
      </c>
      <c r="R14" s="3">
        <v>2.6513434632879453E-2</v>
      </c>
      <c r="S14" s="5">
        <v>296.70758928571428</v>
      </c>
      <c r="T14" s="4">
        <v>1696</v>
      </c>
      <c r="U14" s="8">
        <v>0.17494551255053908</v>
      </c>
      <c r="V14" s="2">
        <f t="shared" si="3"/>
        <v>2.6513434632879453E-2</v>
      </c>
      <c r="W14" s="3">
        <v>1.2302817710850657E-2</v>
      </c>
      <c r="X14" s="5">
        <v>522.48214285714289</v>
      </c>
      <c r="Y14" s="4">
        <v>1696</v>
      </c>
      <c r="Z14" s="8">
        <v>0.30806730121293802</v>
      </c>
      <c r="AA14" s="2">
        <f t="shared" si="4"/>
        <v>1.2302817710850657E-2</v>
      </c>
      <c r="AB14" s="3">
        <v>1.9756407013876758E-2</v>
      </c>
      <c r="AC14" s="5">
        <v>523.1875</v>
      </c>
      <c r="AD14" s="4">
        <v>1871</v>
      </c>
      <c r="AE14" s="8">
        <v>0.279629877071085</v>
      </c>
      <c r="AF14" s="2">
        <f t="shared" si="5"/>
        <v>1.9756407013876758E-2</v>
      </c>
      <c r="AG14" s="3">
        <v>1.4404782313091707E-2</v>
      </c>
      <c r="AH14" s="5">
        <v>265.32743362831866</v>
      </c>
      <c r="AI14" s="4">
        <v>1730</v>
      </c>
      <c r="AJ14" s="8">
        <v>0.15336845874469288</v>
      </c>
      <c r="AK14" s="2">
        <f t="shared" si="6"/>
        <v>1.4404782313091707E-2</v>
      </c>
      <c r="AL14" s="3">
        <v>2.5604788774398476E-2</v>
      </c>
      <c r="AM14" s="5">
        <v>218.80580357142858</v>
      </c>
      <c r="AN14" s="4">
        <v>1696</v>
      </c>
      <c r="AO14" s="8">
        <v>0.12901285587938005</v>
      </c>
      <c r="AP14" s="2">
        <f t="shared" si="7"/>
        <v>2.5604788774398476E-2</v>
      </c>
      <c r="AQ14" s="3">
        <v>1.4694483109262397E-2</v>
      </c>
      <c r="AR14" s="5">
        <v>484.78171091445455</v>
      </c>
      <c r="AS14" s="4">
        <v>1730</v>
      </c>
      <c r="AT14" s="8">
        <v>0.28022064214708353</v>
      </c>
      <c r="AU14" s="2">
        <f t="shared" si="8"/>
        <v>1.4694483109262397E-2</v>
      </c>
      <c r="AV14" s="3">
        <v>1.592029984097755E-2</v>
      </c>
      <c r="AW14" s="5">
        <v>379.68300653594798</v>
      </c>
      <c r="AX14" s="4">
        <v>1730</v>
      </c>
      <c r="AY14" s="8">
        <v>0.2194699459745364</v>
      </c>
      <c r="AZ14" s="2">
        <f t="shared" si="9"/>
        <v>1.592029984097755E-2</v>
      </c>
      <c r="BA14" s="3">
        <v>3.6324588559255688E-2</v>
      </c>
      <c r="BB14" s="5">
        <v>199.42342342342343</v>
      </c>
      <c r="BC14" s="4">
        <v>1696</v>
      </c>
      <c r="BD14" s="8">
        <v>0.11758456569777324</v>
      </c>
      <c r="BE14" s="2">
        <f t="shared" si="10"/>
        <v>3.6324588559255688E-2</v>
      </c>
      <c r="BF14" s="3">
        <v>2.7064655763846732E-2</v>
      </c>
      <c r="BG14" s="5">
        <v>634.03273809523864</v>
      </c>
      <c r="BH14" s="4">
        <v>1730</v>
      </c>
      <c r="BI14" s="8">
        <v>0.36649291219377955</v>
      </c>
      <c r="BJ14" s="2">
        <f t="shared" si="11"/>
        <v>2.7064655763846732E-2</v>
      </c>
      <c r="BK14" s="3">
        <v>2.4432098988354533E-2</v>
      </c>
      <c r="BL14" s="5">
        <v>605.79910714285711</v>
      </c>
      <c r="BM14" s="4">
        <v>1696</v>
      </c>
      <c r="BN14" s="8">
        <v>0.35719286977762799</v>
      </c>
      <c r="BO14" s="2">
        <f t="shared" si="12"/>
        <v>2.4432098988354533E-2</v>
      </c>
      <c r="BP14" s="3">
        <v>3.2322023056779052E-2</v>
      </c>
      <c r="BQ14" s="5">
        <v>531.6011904761906</v>
      </c>
      <c r="BR14" s="4">
        <v>1964</v>
      </c>
      <c r="BS14" s="8">
        <v>0.27067270390844733</v>
      </c>
      <c r="BT14" s="2">
        <f t="shared" si="13"/>
        <v>3.2322023056779052E-2</v>
      </c>
      <c r="BU14" s="3">
        <v>1.9679202717108133E-2</v>
      </c>
      <c r="BV14" s="5">
        <v>883.92727272727313</v>
      </c>
      <c r="BW14" s="4">
        <v>1964</v>
      </c>
      <c r="BX14" s="8">
        <v>0.45006480281429384</v>
      </c>
      <c r="BY14" s="2">
        <f t="shared" si="14"/>
        <v>1.9679202717108133E-2</v>
      </c>
      <c r="BZ14" s="3">
        <v>2.6481815847842625E-2</v>
      </c>
      <c r="CA14" s="5">
        <v>516.1515418502205</v>
      </c>
      <c r="CB14" s="4">
        <v>1644</v>
      </c>
      <c r="CC14" s="8">
        <v>0.31396079187969617</v>
      </c>
      <c r="CD14" s="2">
        <f t="shared" si="15"/>
        <v>2.6481815847842625E-2</v>
      </c>
      <c r="CE14" s="3">
        <v>0.12479557388558855</v>
      </c>
      <c r="CF14" s="5">
        <v>681.86830357142856</v>
      </c>
      <c r="CG14" s="4">
        <v>1871</v>
      </c>
      <c r="CH14" s="8">
        <v>0.36444056845079026</v>
      </c>
      <c r="CI14" s="2">
        <f t="shared" si="16"/>
        <v>0.12479557388558855</v>
      </c>
      <c r="CJ14" s="3">
        <v>1.7423311132448532E-2</v>
      </c>
      <c r="CK14" s="5">
        <v>453.83258928571428</v>
      </c>
      <c r="CL14" s="4">
        <v>1696</v>
      </c>
      <c r="CM14" s="8">
        <v>0.26758997009770891</v>
      </c>
      <c r="CN14" s="2">
        <f t="shared" si="17"/>
        <v>1.7423311132448532E-2</v>
      </c>
      <c r="CO14" s="3">
        <v>2.3023721361131545E-2</v>
      </c>
      <c r="CP14" s="5">
        <v>692.02232142857144</v>
      </c>
      <c r="CQ14" s="4">
        <v>1871</v>
      </c>
      <c r="CR14" s="8">
        <v>0.3698676223562648</v>
      </c>
      <c r="CS14" s="2">
        <f t="shared" si="18"/>
        <v>2.3023721361131545E-2</v>
      </c>
      <c r="CT14" s="3">
        <v>1.482363301316012E-2</v>
      </c>
      <c r="CU14" s="5">
        <v>517.41648106904256</v>
      </c>
      <c r="CV14" s="4">
        <v>1730</v>
      </c>
      <c r="CW14" s="8">
        <v>0.29908467113817488</v>
      </c>
      <c r="CX14" s="2">
        <f t="shared" si="19"/>
        <v>1.482363301316012E-2</v>
      </c>
      <c r="CY14" s="3">
        <v>0.1266291259385183</v>
      </c>
      <c r="CZ14" s="5">
        <v>395.91964285714295</v>
      </c>
      <c r="DA14" s="4">
        <v>1730</v>
      </c>
      <c r="DB14" s="8">
        <v>0.22885528488852194</v>
      </c>
      <c r="DC14" s="2">
        <f t="shared" si="20"/>
        <v>0.1266291259385183</v>
      </c>
      <c r="DD14" s="3"/>
      <c r="DE14" s="5"/>
      <c r="DF14" s="4"/>
      <c r="DG14" s="8"/>
      <c r="DH14" s="2"/>
    </row>
    <row r="15" spans="2:112" x14ac:dyDescent="0.25">
      <c r="B15" s="1">
        <v>0.25</v>
      </c>
      <c r="C15" s="3">
        <v>3.6270349110342791E-2</v>
      </c>
      <c r="D15" s="5">
        <v>789.42699115044252</v>
      </c>
      <c r="E15" s="4">
        <v>1696</v>
      </c>
      <c r="F15" s="8">
        <v>0.46546402780096846</v>
      </c>
      <c r="G15" s="2">
        <f t="shared" si="0"/>
        <v>3.6270349110342791E-2</v>
      </c>
      <c r="H15" s="3">
        <v>1.9432056999333095E-2</v>
      </c>
      <c r="I15" s="5">
        <v>680.30752212389382</v>
      </c>
      <c r="J15" s="4">
        <v>1871</v>
      </c>
      <c r="K15" s="8">
        <v>0.36360637205980428</v>
      </c>
      <c r="L15" s="2">
        <f t="shared" si="1"/>
        <v>1.9432056999333095E-2</v>
      </c>
      <c r="M15" s="3">
        <v>1.7822537600687499E-2</v>
      </c>
      <c r="N15" s="5">
        <v>1563.8095238095239</v>
      </c>
      <c r="O15" s="4">
        <v>1871</v>
      </c>
      <c r="P15" s="8">
        <v>0.83581481764271714</v>
      </c>
      <c r="Q15" s="2">
        <f t="shared" si="2"/>
        <v>1.7822537600687499E-2</v>
      </c>
      <c r="R15" s="3">
        <v>3.7719298245614249E-2</v>
      </c>
      <c r="S15" s="5">
        <v>644.78097345132744</v>
      </c>
      <c r="T15" s="4">
        <v>1696</v>
      </c>
      <c r="U15" s="8">
        <v>0.38017746076139591</v>
      </c>
      <c r="V15" s="2">
        <f t="shared" si="3"/>
        <v>3.7719298245614249E-2</v>
      </c>
      <c r="W15" s="3">
        <v>5.1989703888892874E-2</v>
      </c>
      <c r="X15" s="5">
        <v>1307.6858407079646</v>
      </c>
      <c r="Y15" s="4">
        <v>1696</v>
      </c>
      <c r="Z15" s="8">
        <v>0.77104117966271501</v>
      </c>
      <c r="AA15" s="2">
        <f t="shared" si="4"/>
        <v>5.1989703888892874E-2</v>
      </c>
      <c r="AB15" s="3">
        <v>4.6873357029072471E-2</v>
      </c>
      <c r="AC15" s="5">
        <v>1186.3606194690265</v>
      </c>
      <c r="AD15" s="4">
        <v>1871</v>
      </c>
      <c r="AE15" s="8">
        <v>0.63407836422716535</v>
      </c>
      <c r="AF15" s="2">
        <f t="shared" si="5"/>
        <v>4.6873357029072471E-2</v>
      </c>
      <c r="AG15" s="3">
        <v>1.4243107919922756E-2</v>
      </c>
      <c r="AH15" s="5">
        <v>594.8230088495576</v>
      </c>
      <c r="AI15" s="4">
        <v>1730</v>
      </c>
      <c r="AJ15" s="8">
        <v>0.34382832881477315</v>
      </c>
      <c r="AK15" s="2">
        <f t="shared" si="6"/>
        <v>1.4243107919922756E-2</v>
      </c>
      <c r="AL15" s="3">
        <v>2.885765034546962E-2</v>
      </c>
      <c r="AM15" s="5">
        <v>465.99115044247787</v>
      </c>
      <c r="AN15" s="4">
        <v>1696</v>
      </c>
      <c r="AO15" s="8">
        <v>0.27475893304391386</v>
      </c>
      <c r="AP15" s="2">
        <f t="shared" si="7"/>
        <v>2.885765034546962E-2</v>
      </c>
      <c r="AQ15" s="3">
        <v>1.8400784740712901E-2</v>
      </c>
      <c r="AR15" s="5">
        <v>1096.9056047197641</v>
      </c>
      <c r="AS15" s="4">
        <v>1730</v>
      </c>
      <c r="AT15" s="8">
        <v>0.63404948249697346</v>
      </c>
      <c r="AU15" s="2">
        <f t="shared" si="8"/>
        <v>1.8400784740712901E-2</v>
      </c>
      <c r="AV15" s="3">
        <v>2.351856235451931E-2</v>
      </c>
      <c r="AW15" s="5">
        <v>780.33986928104514</v>
      </c>
      <c r="AX15" s="4">
        <v>1730</v>
      </c>
      <c r="AY15" s="8">
        <v>0.4510635082549394</v>
      </c>
      <c r="AZ15" s="2">
        <f t="shared" si="9"/>
        <v>2.351856235451931E-2</v>
      </c>
      <c r="BA15" s="3">
        <v>3.0878586776401637E-2</v>
      </c>
      <c r="BB15" s="5">
        <v>428.82142857142856</v>
      </c>
      <c r="BC15" s="4">
        <v>1696</v>
      </c>
      <c r="BD15" s="8">
        <v>0.25284282345013476</v>
      </c>
      <c r="BE15" s="2">
        <f t="shared" si="10"/>
        <v>3.0878586776401637E-2</v>
      </c>
      <c r="BF15" s="3">
        <v>4.3075272221929632E-2</v>
      </c>
      <c r="BG15" s="5">
        <v>1373.7935103244843</v>
      </c>
      <c r="BH15" s="4">
        <v>1730</v>
      </c>
      <c r="BI15" s="8">
        <v>0.79410029498525103</v>
      </c>
      <c r="BJ15" s="2">
        <f t="shared" si="11"/>
        <v>4.3075272221929632E-2</v>
      </c>
      <c r="BK15" s="3">
        <v>5.9099843719927297E-2</v>
      </c>
      <c r="BL15" s="5">
        <v>1361.325221238938</v>
      </c>
      <c r="BM15" s="4">
        <v>1696</v>
      </c>
      <c r="BN15" s="8">
        <v>0.80266817290031722</v>
      </c>
      <c r="BO15" s="2">
        <f t="shared" si="12"/>
        <v>5.9099843719927297E-2</v>
      </c>
      <c r="BP15" s="3">
        <v>4.5792656955447278E-2</v>
      </c>
      <c r="BQ15" s="5">
        <v>1370.5044247787623</v>
      </c>
      <c r="BR15" s="4">
        <v>1964</v>
      </c>
      <c r="BS15" s="8">
        <v>0.69781284357370787</v>
      </c>
      <c r="BT15" s="2">
        <f t="shared" si="13"/>
        <v>4.5792656955447278E-2</v>
      </c>
      <c r="BU15" s="3">
        <v>2.7670317250307788E-2</v>
      </c>
      <c r="BV15" s="5">
        <v>1956.7454545454552</v>
      </c>
      <c r="BW15" s="4">
        <v>1964</v>
      </c>
      <c r="BX15" s="8">
        <v>0.99630623958526232</v>
      </c>
      <c r="BY15" s="2">
        <f t="shared" si="14"/>
        <v>2.7670317250307788E-2</v>
      </c>
      <c r="BZ15" s="3">
        <v>3.2319479792663773E-2</v>
      </c>
      <c r="CA15" s="5">
        <v>1202.6473684210514</v>
      </c>
      <c r="CB15" s="4">
        <v>1644</v>
      </c>
      <c r="CC15" s="8">
        <v>0.73153732872326727</v>
      </c>
      <c r="CD15" s="2">
        <f t="shared" si="15"/>
        <v>3.2319479792663773E-2</v>
      </c>
      <c r="CE15" s="3">
        <v>0.10001325650203167</v>
      </c>
      <c r="CF15" s="5">
        <v>1480.5353982300885</v>
      </c>
      <c r="CG15" s="4">
        <v>1871</v>
      </c>
      <c r="CH15" s="8">
        <v>0.79130700065744974</v>
      </c>
      <c r="CI15" s="2">
        <f t="shared" si="16"/>
        <v>0.10001325650203167</v>
      </c>
      <c r="CJ15" s="3">
        <v>2.3345820698658093E-2</v>
      </c>
      <c r="CK15" s="5">
        <v>997.95132743362831</v>
      </c>
      <c r="CL15" s="4">
        <v>1696</v>
      </c>
      <c r="CM15" s="8">
        <v>0.58841469777926192</v>
      </c>
      <c r="CN15" s="2">
        <f t="shared" si="17"/>
        <v>2.3345820698658093E-2</v>
      </c>
      <c r="CO15" s="3">
        <v>2.4072340358606052E-2</v>
      </c>
      <c r="CP15" s="5">
        <v>1618.3761061946902</v>
      </c>
      <c r="CQ15" s="4">
        <v>1871</v>
      </c>
      <c r="CR15" s="8">
        <v>0.86497921229005359</v>
      </c>
      <c r="CS15" s="2">
        <f t="shared" si="18"/>
        <v>2.4072340358606052E-2</v>
      </c>
      <c r="CT15" s="3">
        <v>3.3004137161781182E-2</v>
      </c>
      <c r="CU15" s="5">
        <v>1254.8779761904759</v>
      </c>
      <c r="CV15" s="4">
        <v>1730</v>
      </c>
      <c r="CW15" s="8">
        <v>0.72536299201761611</v>
      </c>
      <c r="CX15" s="2">
        <f t="shared" si="19"/>
        <v>3.3004137161781182E-2</v>
      </c>
      <c r="CY15" s="3">
        <v>0.11919979924479449</v>
      </c>
      <c r="CZ15" s="5">
        <v>925.80235988200593</v>
      </c>
      <c r="DA15" s="4">
        <v>1730</v>
      </c>
      <c r="DB15" s="8">
        <v>0.53514587276416525</v>
      </c>
      <c r="DC15" s="2">
        <f t="shared" si="20"/>
        <v>0.11919979924479449</v>
      </c>
      <c r="DD15" s="3"/>
      <c r="DE15" s="5"/>
      <c r="DF15" s="4"/>
      <c r="DG15" s="8"/>
      <c r="DH15" s="2"/>
    </row>
    <row r="16" spans="2:112" x14ac:dyDescent="0.25">
      <c r="B16" s="1">
        <v>0.29166666666666702</v>
      </c>
      <c r="C16" s="3">
        <v>3.1756295672639816E-2</v>
      </c>
      <c r="D16" s="5">
        <v>1290.5999999999999</v>
      </c>
      <c r="E16" s="4">
        <v>1696</v>
      </c>
      <c r="F16" s="8">
        <v>0.76096698113207539</v>
      </c>
      <c r="G16" s="2">
        <f t="shared" si="0"/>
        <v>3.1756295672639816E-2</v>
      </c>
      <c r="H16" s="3">
        <v>2.9625422414486225E-2</v>
      </c>
      <c r="I16" s="5">
        <v>1018.1866666666666</v>
      </c>
      <c r="J16" s="4">
        <v>1871</v>
      </c>
      <c r="K16" s="8">
        <v>0.54419383573846425</v>
      </c>
      <c r="L16" s="2">
        <f t="shared" si="1"/>
        <v>2.9625422414486225E-2</v>
      </c>
      <c r="M16" s="3">
        <v>2.0681043501737571E-2</v>
      </c>
      <c r="N16" s="5">
        <v>2319.6108695652174</v>
      </c>
      <c r="O16" s="4">
        <v>1871</v>
      </c>
      <c r="P16" s="8">
        <v>1.2397706411358724</v>
      </c>
      <c r="Q16" s="2">
        <f t="shared" si="2"/>
        <v>2.0681043501737571E-2</v>
      </c>
      <c r="R16" s="3">
        <v>4.1673729711404053E-2</v>
      </c>
      <c r="S16" s="5">
        <v>1020.72</v>
      </c>
      <c r="T16" s="4">
        <v>1696</v>
      </c>
      <c r="U16" s="8">
        <v>0.60183962264150948</v>
      </c>
      <c r="V16" s="2">
        <f t="shared" si="3"/>
        <v>4.1673729711404053E-2</v>
      </c>
      <c r="W16" s="3">
        <v>0.3599610168214501</v>
      </c>
      <c r="X16" s="5">
        <v>1636.6488888888889</v>
      </c>
      <c r="Y16" s="4">
        <v>1696</v>
      </c>
      <c r="Z16" s="8">
        <v>0.96500524109014674</v>
      </c>
      <c r="AA16" s="2">
        <f t="shared" si="4"/>
        <v>0.3599610168214501</v>
      </c>
      <c r="AB16" s="3">
        <v>0.24392636727764419</v>
      </c>
      <c r="AC16" s="5">
        <v>1821.4755555555555</v>
      </c>
      <c r="AD16" s="4">
        <v>1871</v>
      </c>
      <c r="AE16" s="8">
        <v>0.97353049468495756</v>
      </c>
      <c r="AF16" s="2">
        <f t="shared" si="5"/>
        <v>0.24392636727764419</v>
      </c>
      <c r="AG16" s="3">
        <v>9.9609609250013928E-3</v>
      </c>
      <c r="AH16" s="5">
        <v>741.96726190476204</v>
      </c>
      <c r="AI16" s="4">
        <v>1730</v>
      </c>
      <c r="AJ16" s="8">
        <v>0.42888281034957343</v>
      </c>
      <c r="AK16" s="2">
        <f t="shared" si="6"/>
        <v>9.9609609250013928E-3</v>
      </c>
      <c r="AL16" s="3">
        <v>2.1716233359142495E-2</v>
      </c>
      <c r="AM16" s="5">
        <v>725.42128603104209</v>
      </c>
      <c r="AN16" s="4">
        <v>1696</v>
      </c>
      <c r="AO16" s="8">
        <v>0.4277248148767937</v>
      </c>
      <c r="AP16" s="2">
        <f t="shared" si="7"/>
        <v>2.1716233359142495E-2</v>
      </c>
      <c r="AQ16" s="3">
        <v>1.8688485047842075E-2</v>
      </c>
      <c r="AR16" s="5">
        <v>1383.7339312406582</v>
      </c>
      <c r="AS16" s="4">
        <v>1730</v>
      </c>
      <c r="AT16" s="8">
        <v>0.79984620302928222</v>
      </c>
      <c r="AU16" s="2">
        <f t="shared" si="8"/>
        <v>1.8688485047842075E-2</v>
      </c>
      <c r="AV16" s="3">
        <v>2.2114464886922664E-2</v>
      </c>
      <c r="AW16" s="5">
        <v>1106.8745874587448</v>
      </c>
      <c r="AX16" s="4">
        <v>1730</v>
      </c>
      <c r="AY16" s="8">
        <v>0.63981190026517043</v>
      </c>
      <c r="AZ16" s="2">
        <f t="shared" si="9"/>
        <v>2.2114464886922664E-2</v>
      </c>
      <c r="BA16" s="3">
        <v>2.6454709514491657E-2</v>
      </c>
      <c r="BB16" s="5">
        <v>692.09641255605379</v>
      </c>
      <c r="BC16" s="4">
        <v>1696</v>
      </c>
      <c r="BD16" s="8">
        <v>0.40807571495050343</v>
      </c>
      <c r="BE16" s="2">
        <f t="shared" si="10"/>
        <v>2.6454709514491657E-2</v>
      </c>
      <c r="BF16" s="3">
        <v>0.31705364940028585</v>
      </c>
      <c r="BG16" s="5">
        <v>1720.8829629629613</v>
      </c>
      <c r="BH16" s="4">
        <v>1730</v>
      </c>
      <c r="BI16" s="8">
        <v>0.99473003639477531</v>
      </c>
      <c r="BJ16" s="2">
        <f t="shared" si="11"/>
        <v>0.31705364940028585</v>
      </c>
      <c r="BK16" s="3">
        <v>0.19262056900188021</v>
      </c>
      <c r="BL16" s="5">
        <v>1698.58</v>
      </c>
      <c r="BM16" s="4">
        <v>1696</v>
      </c>
      <c r="BN16" s="8">
        <v>1.0015212264150943</v>
      </c>
      <c r="BO16" s="2">
        <f t="shared" si="12"/>
        <v>0.19262056900188021</v>
      </c>
      <c r="BP16" s="3">
        <v>0.26512183994840044</v>
      </c>
      <c r="BQ16" s="5">
        <v>1913.5081481481473</v>
      </c>
      <c r="BR16" s="4">
        <v>1964</v>
      </c>
      <c r="BS16" s="8">
        <v>0.97429131779437228</v>
      </c>
      <c r="BT16" s="2">
        <f t="shared" si="13"/>
        <v>0.26512183994840044</v>
      </c>
      <c r="BU16" s="3">
        <v>0.12604303908651698</v>
      </c>
      <c r="BV16" s="5">
        <v>2556.8776758409776</v>
      </c>
      <c r="BW16" s="4">
        <v>1964</v>
      </c>
      <c r="BX16" s="8">
        <v>1.3018725437072187</v>
      </c>
      <c r="BY16" s="2">
        <f t="shared" si="14"/>
        <v>0.12604303908651698</v>
      </c>
      <c r="BZ16" s="3">
        <v>8.1859047046943828E-2</v>
      </c>
      <c r="CA16" s="5">
        <v>1586.6472406181003</v>
      </c>
      <c r="CB16" s="4">
        <v>1644</v>
      </c>
      <c r="CC16" s="8">
        <v>0.96511389332001241</v>
      </c>
      <c r="CD16" s="2">
        <f t="shared" si="15"/>
        <v>8.1859047046943828E-2</v>
      </c>
      <c r="CE16" s="3">
        <v>9.1884002228829961E-2</v>
      </c>
      <c r="CF16" s="5">
        <v>2059.1941964285716</v>
      </c>
      <c r="CG16" s="4">
        <v>1871</v>
      </c>
      <c r="CH16" s="8">
        <v>1.1005848190425289</v>
      </c>
      <c r="CI16" s="2">
        <f t="shared" si="16"/>
        <v>9.1884002228829961E-2</v>
      </c>
      <c r="CJ16" s="3">
        <v>0.15748902609708393</v>
      </c>
      <c r="CK16" s="5">
        <v>1415.4088888888889</v>
      </c>
      <c r="CL16" s="4">
        <v>1696</v>
      </c>
      <c r="CM16" s="8">
        <v>0.83455712788259961</v>
      </c>
      <c r="CN16" s="2">
        <f t="shared" si="17"/>
        <v>0.15748902609708393</v>
      </c>
      <c r="CO16" s="3">
        <v>6.7989764232739197E-2</v>
      </c>
      <c r="CP16" s="5">
        <v>2187.2377777777779</v>
      </c>
      <c r="CQ16" s="4">
        <v>1871</v>
      </c>
      <c r="CR16" s="8">
        <v>1.1690207256963003</v>
      </c>
      <c r="CS16" s="2">
        <f t="shared" si="18"/>
        <v>6.7989764232739197E-2</v>
      </c>
      <c r="CT16" s="3">
        <v>8.5052162140638987E-2</v>
      </c>
      <c r="CU16" s="5">
        <v>1819.8708708708723</v>
      </c>
      <c r="CV16" s="4">
        <v>1730</v>
      </c>
      <c r="CW16" s="8">
        <v>1.0519484802721806</v>
      </c>
      <c r="CX16" s="2">
        <f t="shared" si="19"/>
        <v>8.5052162140638987E-2</v>
      </c>
      <c r="CY16" s="3">
        <v>7.3755733932470785E-2</v>
      </c>
      <c r="CZ16" s="5">
        <v>1375.8370370370374</v>
      </c>
      <c r="DA16" s="4">
        <v>1730</v>
      </c>
      <c r="DB16" s="8">
        <v>0.79528152429886556</v>
      </c>
      <c r="DC16" s="2">
        <f t="shared" si="20"/>
        <v>7.3755733932470785E-2</v>
      </c>
      <c r="DD16" s="3"/>
      <c r="DE16" s="5"/>
      <c r="DF16" s="4"/>
      <c r="DG16" s="8"/>
      <c r="DH16" s="2"/>
    </row>
    <row r="17" spans="2:112" x14ac:dyDescent="0.25">
      <c r="B17" s="1">
        <v>0.33333333333333298</v>
      </c>
      <c r="C17" s="3">
        <v>4.0608171412565293E-2</v>
      </c>
      <c r="D17" s="5">
        <v>1427.0307692307692</v>
      </c>
      <c r="E17" s="4">
        <v>1696</v>
      </c>
      <c r="F17" s="8">
        <v>0.84140965166908566</v>
      </c>
      <c r="G17" s="2">
        <f t="shared" si="0"/>
        <v>4.0608171412565293E-2</v>
      </c>
      <c r="H17" s="3">
        <v>2.5064856641906993E-2</v>
      </c>
      <c r="I17" s="5">
        <v>1073.0615384615385</v>
      </c>
      <c r="J17" s="4">
        <v>1871</v>
      </c>
      <c r="K17" s="8">
        <v>0.57352300291904779</v>
      </c>
      <c r="L17" s="2">
        <f t="shared" si="1"/>
        <v>2.5064856641906993E-2</v>
      </c>
      <c r="M17" s="3">
        <v>3.9416911974569334E-2</v>
      </c>
      <c r="N17" s="5">
        <v>2359.7705627705627</v>
      </c>
      <c r="O17" s="4">
        <v>1871</v>
      </c>
      <c r="P17" s="8">
        <v>1.2612349346715996</v>
      </c>
      <c r="Q17" s="2">
        <f t="shared" si="2"/>
        <v>3.9416911974569334E-2</v>
      </c>
      <c r="R17" s="3">
        <v>3.6829928709329357E-2</v>
      </c>
      <c r="S17" s="5">
        <v>1104.9428571428571</v>
      </c>
      <c r="T17" s="4">
        <v>1696</v>
      </c>
      <c r="U17" s="8">
        <v>0.6514993261455525</v>
      </c>
      <c r="V17" s="2">
        <f t="shared" si="3"/>
        <v>3.6829928709329357E-2</v>
      </c>
      <c r="W17" s="3">
        <v>0.81781312979421428</v>
      </c>
      <c r="X17" s="5">
        <v>1506.8263736263737</v>
      </c>
      <c r="Y17" s="4">
        <v>1696</v>
      </c>
      <c r="Z17" s="8">
        <v>0.88845894671366366</v>
      </c>
      <c r="AA17" s="2">
        <f t="shared" si="4"/>
        <v>0.81781312979421428</v>
      </c>
      <c r="AB17" s="3">
        <v>0.43552905448748225</v>
      </c>
      <c r="AC17" s="5">
        <v>1839.7853982300885</v>
      </c>
      <c r="AD17" s="4">
        <v>1871</v>
      </c>
      <c r="AE17" s="8">
        <v>0.98331662118123386</v>
      </c>
      <c r="AF17" s="2">
        <f t="shared" si="5"/>
        <v>0.43552905448748225</v>
      </c>
      <c r="AG17" s="3">
        <v>1.5089733107690321E-2</v>
      </c>
      <c r="AH17" s="5">
        <v>800.93154761904771</v>
      </c>
      <c r="AI17" s="4">
        <v>1730</v>
      </c>
      <c r="AJ17" s="8">
        <v>0.46296621249655939</v>
      </c>
      <c r="AK17" s="2">
        <f t="shared" si="6"/>
        <v>1.5089733107690321E-2</v>
      </c>
      <c r="AL17" s="3">
        <v>2.64159585864648E-2</v>
      </c>
      <c r="AM17" s="5">
        <v>819.26373626373629</v>
      </c>
      <c r="AN17" s="4">
        <v>1696</v>
      </c>
      <c r="AO17" s="8">
        <v>0.48305644826871241</v>
      </c>
      <c r="AP17" s="2">
        <f t="shared" si="7"/>
        <v>2.64159585864648E-2</v>
      </c>
      <c r="AQ17" s="3">
        <v>3.5712164192926124E-2</v>
      </c>
      <c r="AR17" s="5">
        <v>1324.4564564564571</v>
      </c>
      <c r="AS17" s="4">
        <v>1730</v>
      </c>
      <c r="AT17" s="8">
        <v>0.76558176673783651</v>
      </c>
      <c r="AU17" s="2">
        <f t="shared" si="8"/>
        <v>3.5712164192926124E-2</v>
      </c>
      <c r="AV17" s="3">
        <v>2.4964726678822324E-2</v>
      </c>
      <c r="AW17" s="5">
        <v>1215.3993399339925</v>
      </c>
      <c r="AX17" s="4">
        <v>1730</v>
      </c>
      <c r="AY17" s="8">
        <v>0.70254297106011121</v>
      </c>
      <c r="AZ17" s="2">
        <f t="shared" si="9"/>
        <v>2.4964726678822324E-2</v>
      </c>
      <c r="BA17" s="3">
        <v>1.9085018871988393E-2</v>
      </c>
      <c r="BB17" s="5">
        <v>753.39467849223945</v>
      </c>
      <c r="BC17" s="4">
        <v>1696</v>
      </c>
      <c r="BD17" s="8">
        <v>0.44421856043174496</v>
      </c>
      <c r="BE17" s="2">
        <f t="shared" si="10"/>
        <v>1.9085018871988393E-2</v>
      </c>
      <c r="BF17" s="3">
        <v>0.5460153917764804</v>
      </c>
      <c r="BG17" s="5">
        <v>1652.8615384615384</v>
      </c>
      <c r="BH17" s="4">
        <v>1730</v>
      </c>
      <c r="BI17" s="8">
        <v>0.95541129390840374</v>
      </c>
      <c r="BJ17" s="2">
        <f t="shared" si="11"/>
        <v>0.5460153917764804</v>
      </c>
      <c r="BK17" s="3">
        <v>0.3100640234214242</v>
      </c>
      <c r="BL17" s="5">
        <v>1565.9188596491229</v>
      </c>
      <c r="BM17" s="4">
        <v>1696</v>
      </c>
      <c r="BN17" s="8">
        <v>0.92330121441575641</v>
      </c>
      <c r="BO17" s="2">
        <f t="shared" si="12"/>
        <v>0.3100640234214242</v>
      </c>
      <c r="BP17" s="3">
        <v>0.97377665590568241</v>
      </c>
      <c r="BQ17" s="5">
        <v>1756.6153846153843</v>
      </c>
      <c r="BR17" s="4">
        <v>1964</v>
      </c>
      <c r="BS17" s="8">
        <v>0.89440701864327099</v>
      </c>
      <c r="BT17" s="2">
        <f t="shared" si="13"/>
        <v>0.97377665590568241</v>
      </c>
      <c r="BU17" s="3">
        <v>0.19808360393361099</v>
      </c>
      <c r="BV17" s="5">
        <v>2369.2234935163997</v>
      </c>
      <c r="BW17" s="4">
        <v>1964</v>
      </c>
      <c r="BX17" s="8">
        <v>1.2063256076967412</v>
      </c>
      <c r="BY17" s="2">
        <f t="shared" si="14"/>
        <v>0.19808360393361099</v>
      </c>
      <c r="BZ17" s="3">
        <v>0.20282406888448828</v>
      </c>
      <c r="CA17" s="5">
        <v>1462.2980219780218</v>
      </c>
      <c r="CB17" s="4">
        <v>1644</v>
      </c>
      <c r="CC17" s="8">
        <v>0.88947568246838304</v>
      </c>
      <c r="CD17" s="2">
        <f t="shared" si="15"/>
        <v>0.20282406888448828</v>
      </c>
      <c r="CE17" s="3">
        <v>0.25257005141241717</v>
      </c>
      <c r="CF17" s="5">
        <v>1958.579295154185</v>
      </c>
      <c r="CG17" s="4">
        <v>1871</v>
      </c>
      <c r="CH17" s="8">
        <v>1.0468088162235087</v>
      </c>
      <c r="CI17" s="2">
        <f t="shared" si="16"/>
        <v>0.25257005141241717</v>
      </c>
      <c r="CJ17" s="3">
        <v>0.54650410855046794</v>
      </c>
      <c r="CK17" s="5">
        <v>1411.4769230769232</v>
      </c>
      <c r="CL17" s="4">
        <v>1696</v>
      </c>
      <c r="CM17" s="8">
        <v>0.83223875181422358</v>
      </c>
      <c r="CN17" s="2">
        <f t="shared" si="17"/>
        <v>0.54650410855046794</v>
      </c>
      <c r="CO17" s="3">
        <v>0.14062821435749207</v>
      </c>
      <c r="CP17" s="5">
        <v>2077.3318681318683</v>
      </c>
      <c r="CQ17" s="4">
        <v>1871</v>
      </c>
      <c r="CR17" s="8">
        <v>1.1102789247097105</v>
      </c>
      <c r="CS17" s="2">
        <f t="shared" si="18"/>
        <v>0.14062821435749207</v>
      </c>
      <c r="CT17" s="3">
        <v>0.11341583034269957</v>
      </c>
      <c r="CU17" s="5">
        <v>1779.1413454270603</v>
      </c>
      <c r="CV17" s="4">
        <v>1730</v>
      </c>
      <c r="CW17" s="8">
        <v>1.0284054019809596</v>
      </c>
      <c r="CX17" s="2">
        <f t="shared" si="19"/>
        <v>0.11341583034269957</v>
      </c>
      <c r="CY17" s="3">
        <v>9.4740086837137041E-2</v>
      </c>
      <c r="CZ17" s="5">
        <v>1371.2761904761905</v>
      </c>
      <c r="DA17" s="4">
        <v>1730</v>
      </c>
      <c r="DB17" s="8">
        <v>0.79264519680704659</v>
      </c>
      <c r="DC17" s="2">
        <f t="shared" si="20"/>
        <v>9.4740086837137041E-2</v>
      </c>
      <c r="DD17" s="3"/>
      <c r="DE17" s="5"/>
      <c r="DF17" s="4"/>
      <c r="DG17" s="8"/>
      <c r="DH17" s="2"/>
    </row>
    <row r="18" spans="2:112" x14ac:dyDescent="0.25">
      <c r="B18" s="1">
        <v>0.375</v>
      </c>
      <c r="C18" s="3">
        <v>3.5564446009912452E-2</v>
      </c>
      <c r="D18" s="5">
        <v>1171.2769230769231</v>
      </c>
      <c r="E18" s="4">
        <v>1696</v>
      </c>
      <c r="F18" s="8">
        <v>0.69061139332365751</v>
      </c>
      <c r="G18" s="2">
        <f t="shared" si="0"/>
        <v>3.5564446009912452E-2</v>
      </c>
      <c r="H18" s="3">
        <v>1.5116270470424057E-2</v>
      </c>
      <c r="I18" s="5">
        <v>908.1434878587196</v>
      </c>
      <c r="J18" s="4">
        <v>1871</v>
      </c>
      <c r="K18" s="8">
        <v>0.48537866801641882</v>
      </c>
      <c r="L18" s="2">
        <f t="shared" si="1"/>
        <v>1.5116270470424057E-2</v>
      </c>
      <c r="M18" s="3">
        <v>4.0589742126191625E-2</v>
      </c>
      <c r="N18" s="5">
        <v>1971.4848484848485</v>
      </c>
      <c r="O18" s="4">
        <v>1871</v>
      </c>
      <c r="P18" s="8">
        <v>1.0537064930437459</v>
      </c>
      <c r="Q18" s="2">
        <f t="shared" si="2"/>
        <v>4.0589742126191625E-2</v>
      </c>
      <c r="R18" s="3">
        <v>2.8519042554400041E-2</v>
      </c>
      <c r="S18" s="5">
        <v>932.78901098901099</v>
      </c>
      <c r="T18" s="4">
        <v>1696</v>
      </c>
      <c r="U18" s="8">
        <v>0.54999352063031304</v>
      </c>
      <c r="V18" s="2">
        <f t="shared" si="3"/>
        <v>2.8519042554400041E-2</v>
      </c>
      <c r="W18" s="3">
        <v>0.1815721349035877</v>
      </c>
      <c r="X18" s="5">
        <v>1333.4417582417582</v>
      </c>
      <c r="Y18" s="4">
        <v>1696</v>
      </c>
      <c r="Z18" s="8">
        <v>0.78622745179348952</v>
      </c>
      <c r="AA18" s="2">
        <f t="shared" si="4"/>
        <v>0.1815721349035877</v>
      </c>
      <c r="AB18" s="3">
        <v>0.10515204530927316</v>
      </c>
      <c r="AC18" s="5">
        <v>1485.2621145374449</v>
      </c>
      <c r="AD18" s="4">
        <v>1871</v>
      </c>
      <c r="AE18" s="8">
        <v>0.79383330547164344</v>
      </c>
      <c r="AF18" s="2">
        <f t="shared" si="5"/>
        <v>0.10515204530927316</v>
      </c>
      <c r="AG18" s="3">
        <v>1.0419271726930296E-2</v>
      </c>
      <c r="AH18" s="5">
        <v>811.58276643991019</v>
      </c>
      <c r="AI18" s="4">
        <v>1730</v>
      </c>
      <c r="AJ18" s="8">
        <v>0.469122986381451</v>
      </c>
      <c r="AK18" s="2">
        <f t="shared" si="6"/>
        <v>1.0419271726930296E-2</v>
      </c>
      <c r="AL18" s="3">
        <v>2.9535966313227555E-2</v>
      </c>
      <c r="AM18" s="5">
        <v>799.24835164835167</v>
      </c>
      <c r="AN18" s="4">
        <v>1696</v>
      </c>
      <c r="AO18" s="8">
        <v>0.47125492432096205</v>
      </c>
      <c r="AP18" s="2">
        <f t="shared" si="7"/>
        <v>2.9535966313227555E-2</v>
      </c>
      <c r="AQ18" s="3">
        <v>1.6716468524624661E-2</v>
      </c>
      <c r="AR18" s="5">
        <v>1126.7588325652846</v>
      </c>
      <c r="AS18" s="4">
        <v>1730</v>
      </c>
      <c r="AT18" s="8">
        <v>0.65130568356374829</v>
      </c>
      <c r="AU18" s="2">
        <f t="shared" si="8"/>
        <v>1.6716468524624661E-2</v>
      </c>
      <c r="AV18" s="3">
        <v>2.16447550353281E-2</v>
      </c>
      <c r="AW18" s="5">
        <v>1120.1766666666665</v>
      </c>
      <c r="AX18" s="4">
        <v>1730</v>
      </c>
      <c r="AY18" s="8">
        <v>0.64750096339113672</v>
      </c>
      <c r="AZ18" s="2">
        <f t="shared" si="9"/>
        <v>2.16447550353281E-2</v>
      </c>
      <c r="BA18" s="3">
        <v>3.5010267929152683E-2</v>
      </c>
      <c r="BB18" s="5">
        <v>725.67184035476714</v>
      </c>
      <c r="BC18" s="4">
        <v>1696</v>
      </c>
      <c r="BD18" s="8">
        <v>0.42787254737899005</v>
      </c>
      <c r="BE18" s="2">
        <f t="shared" si="10"/>
        <v>3.5010267929152683E-2</v>
      </c>
      <c r="BF18" s="3">
        <v>4.0119849386500296E-2</v>
      </c>
      <c r="BG18" s="5">
        <v>1372.1465201465205</v>
      </c>
      <c r="BH18" s="4">
        <v>1730</v>
      </c>
      <c r="BI18" s="8">
        <v>0.79314827754134132</v>
      </c>
      <c r="BJ18" s="2">
        <f t="shared" si="11"/>
        <v>4.0119849386500296E-2</v>
      </c>
      <c r="BK18" s="3">
        <v>8.0099349508615178E-2</v>
      </c>
      <c r="BL18" s="5">
        <v>1195.2989010989011</v>
      </c>
      <c r="BM18" s="4">
        <v>1696</v>
      </c>
      <c r="BN18" s="8">
        <v>0.70477529545925766</v>
      </c>
      <c r="BO18" s="2">
        <f t="shared" si="12"/>
        <v>8.0099349508615178E-2</v>
      </c>
      <c r="BP18" s="3">
        <v>0.14337135220750277</v>
      </c>
      <c r="BQ18" s="5">
        <v>1449.4096916299577</v>
      </c>
      <c r="BR18" s="4">
        <v>1964</v>
      </c>
      <c r="BS18" s="8">
        <v>0.73798864135944897</v>
      </c>
      <c r="BT18" s="2">
        <f t="shared" si="13"/>
        <v>0.14337135220750277</v>
      </c>
      <c r="BU18" s="3">
        <v>3.3719125636587043E-2</v>
      </c>
      <c r="BV18" s="5">
        <v>1754.1682242990646</v>
      </c>
      <c r="BW18" s="4">
        <v>1964</v>
      </c>
      <c r="BX18" s="8">
        <v>0.8931610103355726</v>
      </c>
      <c r="BY18" s="2">
        <f t="shared" si="14"/>
        <v>3.3719125636587043E-2</v>
      </c>
      <c r="BZ18" s="3">
        <v>3.6861586234109865E-2</v>
      </c>
      <c r="CA18" s="5">
        <v>1055.9576158940397</v>
      </c>
      <c r="CB18" s="4">
        <v>1644</v>
      </c>
      <c r="CC18" s="8">
        <v>0.64230998533700712</v>
      </c>
      <c r="CD18" s="2">
        <f t="shared" si="15"/>
        <v>3.6861586234109865E-2</v>
      </c>
      <c r="CE18" s="3">
        <v>0.11787727459496107</v>
      </c>
      <c r="CF18" s="5">
        <v>1658.9802197802198</v>
      </c>
      <c r="CG18" s="4">
        <v>1871</v>
      </c>
      <c r="CH18" s="8">
        <v>0.8866810367612078</v>
      </c>
      <c r="CI18" s="2">
        <f t="shared" si="16"/>
        <v>0.11787727459496107</v>
      </c>
      <c r="CJ18" s="3">
        <v>8.2300002258647587E-2</v>
      </c>
      <c r="CK18" s="5">
        <v>1174.759911894273</v>
      </c>
      <c r="CL18" s="4">
        <v>1696</v>
      </c>
      <c r="CM18" s="8">
        <v>0.6926650423904912</v>
      </c>
      <c r="CN18" s="2">
        <f t="shared" si="17"/>
        <v>8.2300002258647587E-2</v>
      </c>
      <c r="CO18" s="3">
        <v>7.1861785161790051E-2</v>
      </c>
      <c r="CP18" s="5">
        <v>1747.2671081677704</v>
      </c>
      <c r="CQ18" s="4">
        <v>1871</v>
      </c>
      <c r="CR18" s="8">
        <v>0.93386804284755232</v>
      </c>
      <c r="CS18" s="2">
        <f t="shared" si="18"/>
        <v>7.1861785161790051E-2</v>
      </c>
      <c r="CT18" s="3">
        <v>1.8789104853813011E-2</v>
      </c>
      <c r="CU18" s="5">
        <v>1355.9082568807339</v>
      </c>
      <c r="CV18" s="4">
        <v>1730</v>
      </c>
      <c r="CW18" s="8">
        <v>0.78376199819695602</v>
      </c>
      <c r="CX18" s="2">
        <f t="shared" si="19"/>
        <v>1.8789104853813011E-2</v>
      </c>
      <c r="CY18" s="3">
        <v>8.530510988437226E-2</v>
      </c>
      <c r="CZ18" s="5">
        <v>1059.4067547723935</v>
      </c>
      <c r="DA18" s="4">
        <v>1730</v>
      </c>
      <c r="DB18" s="8">
        <v>0.61237384668924477</v>
      </c>
      <c r="DC18" s="2">
        <f t="shared" si="20"/>
        <v>8.530510988437226E-2</v>
      </c>
      <c r="DD18" s="3"/>
      <c r="DE18" s="5"/>
      <c r="DF18" s="4"/>
      <c r="DG18" s="8"/>
      <c r="DH18" s="2"/>
    </row>
    <row r="19" spans="2:112" x14ac:dyDescent="0.25">
      <c r="B19" s="1">
        <v>0.41666666666666702</v>
      </c>
      <c r="C19" s="3">
        <v>3.4368294681872157E-2</v>
      </c>
      <c r="D19" s="5">
        <v>1105.7511210762332</v>
      </c>
      <c r="E19" s="4">
        <v>1696</v>
      </c>
      <c r="F19" s="8">
        <v>0.65197589686098656</v>
      </c>
      <c r="G19" s="2">
        <f t="shared" si="0"/>
        <v>3.4368294681872157E-2</v>
      </c>
      <c r="H19" s="3">
        <v>1.39236273271875E-2</v>
      </c>
      <c r="I19" s="5">
        <v>864.8619909502263</v>
      </c>
      <c r="J19" s="4">
        <v>1871</v>
      </c>
      <c r="K19" s="8">
        <v>0.46224585299317278</v>
      </c>
      <c r="L19" s="2">
        <f t="shared" si="1"/>
        <v>1.39236273271875E-2</v>
      </c>
      <c r="M19" s="3">
        <v>1.4862878580589491E-2</v>
      </c>
      <c r="N19" s="5">
        <v>1822.7822222222221</v>
      </c>
      <c r="O19" s="4">
        <v>1871</v>
      </c>
      <c r="P19" s="8">
        <v>0.97422887344854203</v>
      </c>
      <c r="Q19" s="2">
        <f t="shared" si="2"/>
        <v>1.4862878580589491E-2</v>
      </c>
      <c r="R19" s="3">
        <v>2.6365969930326912E-2</v>
      </c>
      <c r="S19" s="5">
        <v>854.90358744394621</v>
      </c>
      <c r="T19" s="4">
        <v>1696</v>
      </c>
      <c r="U19" s="8">
        <v>0.50407051146459092</v>
      </c>
      <c r="V19" s="2">
        <f t="shared" si="3"/>
        <v>2.6365969930326912E-2</v>
      </c>
      <c r="W19" s="3">
        <v>2.7171136631622399E-2</v>
      </c>
      <c r="X19" s="5">
        <v>1142.5855855855855</v>
      </c>
      <c r="Y19" s="4">
        <v>1696</v>
      </c>
      <c r="Z19" s="8">
        <v>0.67369433112357635</v>
      </c>
      <c r="AA19" s="2">
        <f t="shared" si="4"/>
        <v>2.7171136631622399E-2</v>
      </c>
      <c r="AB19" s="3">
        <v>2.4772561758007652E-2</v>
      </c>
      <c r="AC19" s="5">
        <v>1351.2409909909909</v>
      </c>
      <c r="AD19" s="4">
        <v>1871</v>
      </c>
      <c r="AE19" s="8">
        <v>0.72220256065793209</v>
      </c>
      <c r="AF19" s="2">
        <f t="shared" si="5"/>
        <v>2.4772561758007652E-2</v>
      </c>
      <c r="AG19" s="3">
        <v>1.4211460265338604E-2</v>
      </c>
      <c r="AH19" s="5">
        <v>849.00448430493304</v>
      </c>
      <c r="AI19" s="4">
        <v>1730</v>
      </c>
      <c r="AJ19" s="8">
        <v>0.49075403717048155</v>
      </c>
      <c r="AK19" s="2">
        <f t="shared" si="6"/>
        <v>1.4211460265338604E-2</v>
      </c>
      <c r="AL19" s="3">
        <v>2.4345761084603703E-2</v>
      </c>
      <c r="AM19" s="5">
        <v>815.71973094170403</v>
      </c>
      <c r="AN19" s="4">
        <v>1696</v>
      </c>
      <c r="AO19" s="8">
        <v>0.4809668224892123</v>
      </c>
      <c r="AP19" s="2">
        <f t="shared" si="7"/>
        <v>2.4345761084603703E-2</v>
      </c>
      <c r="AQ19" s="3">
        <v>1.4510579970305691E-2</v>
      </c>
      <c r="AR19" s="5">
        <v>1044.5797101449266</v>
      </c>
      <c r="AS19" s="4">
        <v>1730</v>
      </c>
      <c r="AT19" s="8">
        <v>0.60380330066180732</v>
      </c>
      <c r="AU19" s="2">
        <f t="shared" si="8"/>
        <v>1.4510579970305691E-2</v>
      </c>
      <c r="AV19" s="3">
        <v>1.687090098406531E-2</v>
      </c>
      <c r="AW19" s="5">
        <v>1068.6368159203973</v>
      </c>
      <c r="AX19" s="4">
        <v>1730</v>
      </c>
      <c r="AY19" s="8">
        <v>0.61770914215051864</v>
      </c>
      <c r="AZ19" s="2">
        <f t="shared" si="9"/>
        <v>1.687090098406531E-2</v>
      </c>
      <c r="BA19" s="3">
        <v>2.5432393667596941E-2</v>
      </c>
      <c r="BB19" s="5">
        <v>743.30995475113127</v>
      </c>
      <c r="BC19" s="4">
        <v>1696</v>
      </c>
      <c r="BD19" s="8">
        <v>0.43827237898061988</v>
      </c>
      <c r="BE19" s="2">
        <f t="shared" si="10"/>
        <v>2.5432393667596941E-2</v>
      </c>
      <c r="BF19" s="3">
        <v>2.456983776069992E-2</v>
      </c>
      <c r="BG19" s="5">
        <v>1222.203288490284</v>
      </c>
      <c r="BH19" s="4">
        <v>1730</v>
      </c>
      <c r="BI19" s="8">
        <v>0.70647588930074223</v>
      </c>
      <c r="BJ19" s="2">
        <f t="shared" si="11"/>
        <v>2.456983776069992E-2</v>
      </c>
      <c r="BK19" s="3">
        <v>2.9806582810661186E-2</v>
      </c>
      <c r="BL19" s="5">
        <v>990.99103139013448</v>
      </c>
      <c r="BM19" s="4">
        <v>1696</v>
      </c>
      <c r="BN19" s="8">
        <v>0.58431074964040952</v>
      </c>
      <c r="BO19" s="2">
        <f t="shared" si="12"/>
        <v>2.9806582810661186E-2</v>
      </c>
      <c r="BP19" s="3">
        <v>2.2509182475192378E-2</v>
      </c>
      <c r="BQ19" s="5">
        <v>1267.8009049773764</v>
      </c>
      <c r="BR19" s="4">
        <v>1964</v>
      </c>
      <c r="BS19" s="8">
        <v>0.64551980905161732</v>
      </c>
      <c r="BT19" s="2">
        <f t="shared" si="13"/>
        <v>2.2509182475192378E-2</v>
      </c>
      <c r="BU19" s="3">
        <v>2.1430285941388301E-2</v>
      </c>
      <c r="BV19" s="5">
        <v>1443.1325670498065</v>
      </c>
      <c r="BW19" s="4">
        <v>1964</v>
      </c>
      <c r="BX19" s="8">
        <v>0.73479254941436178</v>
      </c>
      <c r="BY19" s="2">
        <f t="shared" si="14"/>
        <v>2.1430285941388301E-2</v>
      </c>
      <c r="BZ19" s="3">
        <v>3.3340398304862476E-2</v>
      </c>
      <c r="CA19" s="5">
        <v>849.75044247787525</v>
      </c>
      <c r="CB19" s="4">
        <v>1644</v>
      </c>
      <c r="CC19" s="8">
        <v>0.51687983119092173</v>
      </c>
      <c r="CD19" s="2">
        <f t="shared" si="15"/>
        <v>3.3340398304862476E-2</v>
      </c>
      <c r="CE19" s="3">
        <v>8.6836517652534001E-2</v>
      </c>
      <c r="CF19" s="5">
        <v>1441.0563063063064</v>
      </c>
      <c r="CG19" s="4">
        <v>1871</v>
      </c>
      <c r="CH19" s="8">
        <v>0.77020647050043101</v>
      </c>
      <c r="CI19" s="2">
        <f t="shared" si="16"/>
        <v>8.6836517652534001E-2</v>
      </c>
      <c r="CJ19" s="3">
        <v>2.259661691704154E-2</v>
      </c>
      <c r="CK19" s="5">
        <v>990.15470852017938</v>
      </c>
      <c r="CL19" s="4">
        <v>1696</v>
      </c>
      <c r="CM19" s="8">
        <v>0.58381763474067183</v>
      </c>
      <c r="CN19" s="2">
        <f t="shared" si="17"/>
        <v>2.259661691704154E-2</v>
      </c>
      <c r="CO19" s="3">
        <v>3.0567690404111468E-2</v>
      </c>
      <c r="CP19" s="5">
        <v>1482.0248868778281</v>
      </c>
      <c r="CQ19" s="4">
        <v>1871</v>
      </c>
      <c r="CR19" s="8">
        <v>0.79210309293309888</v>
      </c>
      <c r="CS19" s="2">
        <f t="shared" si="18"/>
        <v>3.0567690404111468E-2</v>
      </c>
      <c r="CT19" s="3">
        <v>2.1174682236884627E-2</v>
      </c>
      <c r="CU19" s="5">
        <v>1110.2373393801963</v>
      </c>
      <c r="CV19" s="4">
        <v>1730</v>
      </c>
      <c r="CW19" s="8">
        <v>0.6417556875030036</v>
      </c>
      <c r="CX19" s="2">
        <f t="shared" si="19"/>
        <v>2.1174682236884627E-2</v>
      </c>
      <c r="CY19" s="3">
        <v>0.11075001129893002</v>
      </c>
      <c r="CZ19" s="5">
        <v>904.35575485799723</v>
      </c>
      <c r="DA19" s="4">
        <v>1730</v>
      </c>
      <c r="DB19" s="8">
        <v>0.52274899124739727</v>
      </c>
      <c r="DC19" s="2">
        <f t="shared" si="20"/>
        <v>0.11075001129893002</v>
      </c>
      <c r="DD19" s="3"/>
      <c r="DE19" s="5"/>
      <c r="DF19" s="4"/>
      <c r="DG19" s="8"/>
      <c r="DH19" s="2"/>
    </row>
    <row r="20" spans="2:112" x14ac:dyDescent="0.25">
      <c r="B20" s="1">
        <v>0.45833333333333298</v>
      </c>
      <c r="C20" s="3">
        <v>3.2641605032098356E-2</v>
      </c>
      <c r="D20" s="5">
        <v>1201.5398633257403</v>
      </c>
      <c r="E20" s="4">
        <v>1696</v>
      </c>
      <c r="F20" s="8">
        <v>0.70845510809300727</v>
      </c>
      <c r="G20" s="2">
        <f t="shared" si="0"/>
        <v>3.2641605032098356E-2</v>
      </c>
      <c r="H20" s="3">
        <v>1.4386985759125641E-2</v>
      </c>
      <c r="I20" s="5">
        <v>921.26484018264841</v>
      </c>
      <c r="J20" s="4">
        <v>1871</v>
      </c>
      <c r="K20" s="8">
        <v>0.49239168368928293</v>
      </c>
      <c r="L20" s="2">
        <f t="shared" si="1"/>
        <v>1.4386985759125641E-2</v>
      </c>
      <c r="M20" s="3">
        <v>1.7863319956717378E-2</v>
      </c>
      <c r="N20" s="5">
        <v>1934.952808988764</v>
      </c>
      <c r="O20" s="4">
        <v>1871</v>
      </c>
      <c r="P20" s="8">
        <v>1.0341810844408146</v>
      </c>
      <c r="Q20" s="2">
        <f t="shared" si="2"/>
        <v>1.7863319956717378E-2</v>
      </c>
      <c r="R20" s="3">
        <v>2.7018502104144901E-2</v>
      </c>
      <c r="S20" s="5">
        <v>910.33484162895923</v>
      </c>
      <c r="T20" s="4">
        <v>1696</v>
      </c>
      <c r="U20" s="8">
        <v>0.53675403397933918</v>
      </c>
      <c r="V20" s="2">
        <f t="shared" si="3"/>
        <v>2.7018502104144901E-2</v>
      </c>
      <c r="W20" s="3">
        <v>2.053408761711864E-2</v>
      </c>
      <c r="X20" s="5">
        <v>1175.744292237443</v>
      </c>
      <c r="Y20" s="4">
        <v>1696</v>
      </c>
      <c r="Z20" s="8">
        <v>0.69324545532868098</v>
      </c>
      <c r="AA20" s="2">
        <f t="shared" si="4"/>
        <v>2.053408761711864E-2</v>
      </c>
      <c r="AB20" s="3">
        <v>2.10379478363905E-2</v>
      </c>
      <c r="AC20" s="5">
        <v>1440.8447488584475</v>
      </c>
      <c r="AD20" s="4">
        <v>1871</v>
      </c>
      <c r="AE20" s="8">
        <v>0.77009339864160742</v>
      </c>
      <c r="AF20" s="2">
        <f t="shared" si="5"/>
        <v>2.10379478363905E-2</v>
      </c>
      <c r="AG20" s="3">
        <v>1.2420490664065401E-2</v>
      </c>
      <c r="AH20" s="5">
        <v>901.10210210210255</v>
      </c>
      <c r="AI20" s="4">
        <v>1730</v>
      </c>
      <c r="AJ20" s="8">
        <v>0.52086826711104195</v>
      </c>
      <c r="AK20" s="2">
        <f t="shared" si="6"/>
        <v>1.2420490664065401E-2</v>
      </c>
      <c r="AL20" s="3">
        <v>2.4370525644797421E-2</v>
      </c>
      <c r="AM20" s="5">
        <v>894.2873303167421</v>
      </c>
      <c r="AN20" s="4">
        <v>1696</v>
      </c>
      <c r="AO20" s="8">
        <v>0.52729205796977718</v>
      </c>
      <c r="AP20" s="2">
        <f t="shared" si="7"/>
        <v>2.4370525644797421E-2</v>
      </c>
      <c r="AQ20" s="3">
        <v>1.7931480379787038E-2</v>
      </c>
      <c r="AR20" s="5">
        <v>1108.8602150537631</v>
      </c>
      <c r="AS20" s="4">
        <v>1730</v>
      </c>
      <c r="AT20" s="8">
        <v>0.6409596618807879</v>
      </c>
      <c r="AU20" s="2">
        <f t="shared" si="8"/>
        <v>1.7931480379787038E-2</v>
      </c>
      <c r="AV20" s="3">
        <v>1.7612664350135535E-2</v>
      </c>
      <c r="AW20" s="5">
        <v>1119.4424853064645</v>
      </c>
      <c r="AX20" s="4">
        <v>1730</v>
      </c>
      <c r="AY20" s="8">
        <v>0.64707658110200261</v>
      </c>
      <c r="AZ20" s="2">
        <f t="shared" si="9"/>
        <v>1.7612664350135535E-2</v>
      </c>
      <c r="BA20" s="3">
        <v>3.5548921115281171E-2</v>
      </c>
      <c r="BB20" s="5">
        <v>809.29908675799084</v>
      </c>
      <c r="BC20" s="4">
        <v>1696</v>
      </c>
      <c r="BD20" s="8">
        <v>0.47718106530541915</v>
      </c>
      <c r="BE20" s="2">
        <f t="shared" si="10"/>
        <v>3.5548921115281171E-2</v>
      </c>
      <c r="BF20" s="3">
        <v>2.6240975447952664E-2</v>
      </c>
      <c r="BG20" s="5">
        <v>1284.4213694507152</v>
      </c>
      <c r="BH20" s="4">
        <v>1730</v>
      </c>
      <c r="BI20" s="8">
        <v>0.74244009794839028</v>
      </c>
      <c r="BJ20" s="2">
        <f t="shared" si="11"/>
        <v>2.6240975447952664E-2</v>
      </c>
      <c r="BK20" s="3">
        <v>3.7672292972328242E-2</v>
      </c>
      <c r="BL20" s="5">
        <v>990.24886877828055</v>
      </c>
      <c r="BM20" s="4">
        <v>1696</v>
      </c>
      <c r="BN20" s="8">
        <v>0.58387315376077864</v>
      </c>
      <c r="BO20" s="2">
        <f t="shared" si="12"/>
        <v>3.7672292972328242E-2</v>
      </c>
      <c r="BP20" s="3">
        <v>2.3057241420906375E-2</v>
      </c>
      <c r="BQ20" s="5">
        <v>1323.5920852359218</v>
      </c>
      <c r="BR20" s="4">
        <v>1964</v>
      </c>
      <c r="BS20" s="8">
        <v>0.67392672364354467</v>
      </c>
      <c r="BT20" s="2">
        <f t="shared" si="13"/>
        <v>2.3057241420906375E-2</v>
      </c>
      <c r="BU20" s="3">
        <v>1.890708599435895E-2</v>
      </c>
      <c r="BV20" s="5">
        <v>1433.7090069284075</v>
      </c>
      <c r="BW20" s="4">
        <v>1964</v>
      </c>
      <c r="BX20" s="8">
        <v>0.72999440271303839</v>
      </c>
      <c r="BY20" s="2">
        <f t="shared" si="14"/>
        <v>1.890708599435895E-2</v>
      </c>
      <c r="BZ20" s="3">
        <v>3.0074549670055798E-2</v>
      </c>
      <c r="CA20" s="5">
        <v>844.28736141906825</v>
      </c>
      <c r="CB20" s="4">
        <v>1644</v>
      </c>
      <c r="CC20" s="8">
        <v>0.51355678918434811</v>
      </c>
      <c r="CD20" s="2">
        <f t="shared" si="15"/>
        <v>3.0074549670055798E-2</v>
      </c>
      <c r="CE20" s="3">
        <v>7.3535457980969443E-2</v>
      </c>
      <c r="CF20" s="5">
        <v>1486.8013698630136</v>
      </c>
      <c r="CG20" s="4">
        <v>1871</v>
      </c>
      <c r="CH20" s="8">
        <v>0.79465599671994314</v>
      </c>
      <c r="CI20" s="2">
        <f t="shared" si="16"/>
        <v>7.3535457980969443E-2</v>
      </c>
      <c r="CJ20" s="3">
        <v>1.3943537424034194E-2</v>
      </c>
      <c r="CK20" s="5">
        <v>1011.7764976958525</v>
      </c>
      <c r="CL20" s="4">
        <v>1696</v>
      </c>
      <c r="CM20" s="8">
        <v>0.59656633118859226</v>
      </c>
      <c r="CN20" s="2">
        <f t="shared" si="17"/>
        <v>1.3943537424034194E-2</v>
      </c>
      <c r="CO20" s="3">
        <v>2.2320481895775769E-2</v>
      </c>
      <c r="CP20" s="5">
        <v>1514.8196347031962</v>
      </c>
      <c r="CQ20" s="4">
        <v>1871</v>
      </c>
      <c r="CR20" s="8">
        <v>0.80963101801346671</v>
      </c>
      <c r="CS20" s="2">
        <f t="shared" si="18"/>
        <v>2.2320481895775769E-2</v>
      </c>
      <c r="CT20" s="3">
        <v>1.1235688841365176E-2</v>
      </c>
      <c r="CU20" s="5">
        <v>1104.4000000000003</v>
      </c>
      <c r="CV20" s="4">
        <v>1730</v>
      </c>
      <c r="CW20" s="8">
        <v>0.63838150289017359</v>
      </c>
      <c r="CX20" s="2">
        <f t="shared" si="19"/>
        <v>1.1235688841365176E-2</v>
      </c>
      <c r="CY20" s="3">
        <v>0.11582962702663623</v>
      </c>
      <c r="CZ20" s="5">
        <v>907.42684766214245</v>
      </c>
      <c r="DA20" s="4">
        <v>1730</v>
      </c>
      <c r="DB20" s="8">
        <v>0.52452418940008239</v>
      </c>
      <c r="DC20" s="2">
        <f t="shared" si="20"/>
        <v>0.11582962702663623</v>
      </c>
      <c r="DD20" s="3"/>
      <c r="DE20" s="5"/>
      <c r="DF20" s="4"/>
      <c r="DG20" s="8"/>
      <c r="DH20" s="2"/>
    </row>
    <row r="21" spans="2:112" x14ac:dyDescent="0.25">
      <c r="B21" s="1">
        <v>0.5</v>
      </c>
      <c r="C21" s="3">
        <v>3.5334195703217823E-2</v>
      </c>
      <c r="D21" s="5">
        <v>1267.2247706422017</v>
      </c>
      <c r="E21" s="4">
        <v>1696</v>
      </c>
      <c r="F21" s="8">
        <v>0.74718441665224156</v>
      </c>
      <c r="G21" s="2">
        <f t="shared" si="0"/>
        <v>3.5334195703217823E-2</v>
      </c>
      <c r="H21" s="3">
        <v>1.6936749860785638E-2</v>
      </c>
      <c r="I21" s="5">
        <v>961.69036697247702</v>
      </c>
      <c r="J21" s="4">
        <v>1871</v>
      </c>
      <c r="K21" s="8">
        <v>0.5139980582429059</v>
      </c>
      <c r="L21" s="2">
        <f t="shared" si="1"/>
        <v>1.6936749860785638E-2</v>
      </c>
      <c r="M21" s="3">
        <v>1.9677466980653237E-2</v>
      </c>
      <c r="N21" s="5">
        <v>2005.4401805869074</v>
      </c>
      <c r="O21" s="4">
        <v>1871</v>
      </c>
      <c r="P21" s="8">
        <v>1.0718547197150761</v>
      </c>
      <c r="Q21" s="2">
        <f t="shared" si="2"/>
        <v>1.9677466980653237E-2</v>
      </c>
      <c r="R21" s="3">
        <v>3.5717614606799848E-2</v>
      </c>
      <c r="S21" s="5">
        <v>931.0704545454546</v>
      </c>
      <c r="T21" s="4">
        <v>1696</v>
      </c>
      <c r="U21" s="8">
        <v>0.54898022084048026</v>
      </c>
      <c r="V21" s="2">
        <f t="shared" si="3"/>
        <v>3.5717614606799848E-2</v>
      </c>
      <c r="W21" s="3">
        <v>3.0169242089771627E-2</v>
      </c>
      <c r="X21" s="5">
        <v>1206.4518348623853</v>
      </c>
      <c r="Y21" s="4">
        <v>1696</v>
      </c>
      <c r="Z21" s="8">
        <v>0.71135131772546301</v>
      </c>
      <c r="AA21" s="2">
        <f t="shared" si="4"/>
        <v>3.0169242089771627E-2</v>
      </c>
      <c r="AB21" s="3">
        <v>4.0690161548383549E-2</v>
      </c>
      <c r="AC21" s="5">
        <v>1497.0527522935779</v>
      </c>
      <c r="AD21" s="4">
        <v>1871</v>
      </c>
      <c r="AE21" s="8">
        <v>0.80013508941399136</v>
      </c>
      <c r="AF21" s="2">
        <f t="shared" si="5"/>
        <v>4.0690161548383549E-2</v>
      </c>
      <c r="AG21" s="3">
        <v>1.0703585330451449E-2</v>
      </c>
      <c r="AH21" s="5">
        <v>956.86904761904736</v>
      </c>
      <c r="AI21" s="4">
        <v>1730</v>
      </c>
      <c r="AJ21" s="8">
        <v>0.55310349573355344</v>
      </c>
      <c r="AK21" s="2">
        <f t="shared" si="6"/>
        <v>1.0703585330451449E-2</v>
      </c>
      <c r="AL21" s="3">
        <v>3.2128151622921514E-2</v>
      </c>
      <c r="AM21" s="5">
        <v>952.17272727272723</v>
      </c>
      <c r="AN21" s="4">
        <v>1696</v>
      </c>
      <c r="AO21" s="8">
        <v>0.56142259862778732</v>
      </c>
      <c r="AP21" s="2">
        <f t="shared" si="7"/>
        <v>3.2128151622921514E-2</v>
      </c>
      <c r="AQ21" s="3">
        <v>1.8488544777873015E-2</v>
      </c>
      <c r="AR21" s="5">
        <v>1146.4636363636362</v>
      </c>
      <c r="AS21" s="4">
        <v>1730</v>
      </c>
      <c r="AT21" s="8">
        <v>0.66269574356279548</v>
      </c>
      <c r="AU21" s="2">
        <f t="shared" si="8"/>
        <v>1.8488544777873015E-2</v>
      </c>
      <c r="AV21" s="3">
        <v>1.9134538699449321E-2</v>
      </c>
      <c r="AW21" s="5">
        <v>1166.94</v>
      </c>
      <c r="AX21" s="4">
        <v>1730</v>
      </c>
      <c r="AY21" s="8">
        <v>0.67453179190751444</v>
      </c>
      <c r="AZ21" s="2">
        <f t="shared" si="9"/>
        <v>1.9134538699449321E-2</v>
      </c>
      <c r="BA21" s="3">
        <v>2.7576110566258673E-2</v>
      </c>
      <c r="BB21" s="5">
        <v>867.55504587155963</v>
      </c>
      <c r="BC21" s="4">
        <v>1696</v>
      </c>
      <c r="BD21" s="8">
        <v>0.51153009780162717</v>
      </c>
      <c r="BE21" s="2">
        <f t="shared" si="10"/>
        <v>2.7576110566258673E-2</v>
      </c>
      <c r="BF21" s="3">
        <v>3.0595567773760761E-2</v>
      </c>
      <c r="BG21" s="5">
        <v>1339.9060606060611</v>
      </c>
      <c r="BH21" s="4">
        <v>1730</v>
      </c>
      <c r="BI21" s="8">
        <v>0.77451217376072901</v>
      </c>
      <c r="BJ21" s="2">
        <f t="shared" si="11"/>
        <v>3.0595567773760761E-2</v>
      </c>
      <c r="BK21" s="3">
        <v>3.6821239997633419E-2</v>
      </c>
      <c r="BL21" s="5">
        <v>987.58997722095671</v>
      </c>
      <c r="BM21" s="4">
        <v>1696</v>
      </c>
      <c r="BN21" s="8">
        <v>0.58230541109726219</v>
      </c>
      <c r="BO21" s="2">
        <f t="shared" si="12"/>
        <v>3.6821239997633419E-2</v>
      </c>
      <c r="BP21" s="3">
        <v>3.3379983510182024E-2</v>
      </c>
      <c r="BQ21" s="5">
        <v>1370.7125382262996</v>
      </c>
      <c r="BR21" s="4">
        <v>1964</v>
      </c>
      <c r="BS21" s="8">
        <v>0.69791880765086534</v>
      </c>
      <c r="BT21" s="2">
        <f t="shared" si="13"/>
        <v>3.3379983510182024E-2</v>
      </c>
      <c r="BU21" s="3">
        <v>2.0476113447643402E-2</v>
      </c>
      <c r="BV21" s="5">
        <v>1439.2735632183912</v>
      </c>
      <c r="BW21" s="4">
        <v>1964</v>
      </c>
      <c r="BX21" s="8">
        <v>0.73282767984643138</v>
      </c>
      <c r="BY21" s="2">
        <f t="shared" si="14"/>
        <v>2.0476113447643402E-2</v>
      </c>
      <c r="BZ21" s="3">
        <v>2.6057730429991884E-2</v>
      </c>
      <c r="CA21" s="5">
        <v>849.79639639639606</v>
      </c>
      <c r="CB21" s="4">
        <v>1644</v>
      </c>
      <c r="CC21" s="8">
        <v>0.51690778369610468</v>
      </c>
      <c r="CD21" s="2">
        <f t="shared" si="15"/>
        <v>2.6057730429991884E-2</v>
      </c>
      <c r="CE21" s="3">
        <v>7.3188266170722382E-2</v>
      </c>
      <c r="CF21" s="5">
        <v>1496.9678899082569</v>
      </c>
      <c r="CG21" s="4">
        <v>1871</v>
      </c>
      <c r="CH21" s="8">
        <v>0.80008973271419392</v>
      </c>
      <c r="CI21" s="2">
        <f t="shared" si="16"/>
        <v>7.3188266170722382E-2</v>
      </c>
      <c r="CJ21" s="3">
        <v>1.6570701783776547E-2</v>
      </c>
      <c r="CK21" s="5">
        <v>1043.4746543778801</v>
      </c>
      <c r="CL21" s="4">
        <v>1696</v>
      </c>
      <c r="CM21" s="8">
        <v>0.61525628206242933</v>
      </c>
      <c r="CN21" s="2">
        <f t="shared" si="17"/>
        <v>1.6570701783776547E-2</v>
      </c>
      <c r="CO21" s="3">
        <v>4.239300974245467E-2</v>
      </c>
      <c r="CP21" s="5">
        <v>1543.3830275229359</v>
      </c>
      <c r="CQ21" s="4">
        <v>1871</v>
      </c>
      <c r="CR21" s="8">
        <v>0.82489739578991761</v>
      </c>
      <c r="CS21" s="2">
        <f t="shared" si="18"/>
        <v>4.239300974245467E-2</v>
      </c>
      <c r="CT21" s="3">
        <v>1.5584941317233904E-2</v>
      </c>
      <c r="CU21" s="5">
        <v>1078.9099099099092</v>
      </c>
      <c r="CV21" s="4">
        <v>1730</v>
      </c>
      <c r="CW21" s="8">
        <v>0.62364734676873368</v>
      </c>
      <c r="CX21" s="2">
        <f t="shared" si="19"/>
        <v>1.5584941317233904E-2</v>
      </c>
      <c r="CY21" s="3">
        <v>0.13143400430405114</v>
      </c>
      <c r="CZ21" s="5">
        <v>901.62424242424299</v>
      </c>
      <c r="DA21" s="4">
        <v>1730</v>
      </c>
      <c r="DB21" s="8">
        <v>0.52117008232615203</v>
      </c>
      <c r="DC21" s="2">
        <f t="shared" si="20"/>
        <v>0.13143400430405114</v>
      </c>
      <c r="DD21" s="3"/>
      <c r="DE21" s="5"/>
      <c r="DF21" s="4"/>
      <c r="DG21" s="8"/>
      <c r="DH21" s="2"/>
    </row>
    <row r="22" spans="2:112" x14ac:dyDescent="0.25">
      <c r="B22" s="1">
        <v>0.54166666666666696</v>
      </c>
      <c r="C22" s="3">
        <v>4.4084780481563252E-2</v>
      </c>
      <c r="D22" s="5">
        <v>1350.2131519274376</v>
      </c>
      <c r="E22" s="4">
        <v>1696</v>
      </c>
      <c r="F22" s="8">
        <v>0.79611624524023439</v>
      </c>
      <c r="G22" s="2">
        <f t="shared" si="0"/>
        <v>4.4084780481563252E-2</v>
      </c>
      <c r="H22" s="3">
        <v>1.5737324254715041E-2</v>
      </c>
      <c r="I22" s="5">
        <v>1042.8367346938776</v>
      </c>
      <c r="J22" s="4">
        <v>1871</v>
      </c>
      <c r="K22" s="8">
        <v>0.55736864494595273</v>
      </c>
      <c r="L22" s="2">
        <f t="shared" si="1"/>
        <v>1.5737324254715041E-2</v>
      </c>
      <c r="M22" s="3">
        <v>2.5871661319582854E-2</v>
      </c>
      <c r="N22" s="5">
        <v>2104.3808463251671</v>
      </c>
      <c r="O22" s="4">
        <v>1871</v>
      </c>
      <c r="P22" s="8">
        <v>1.124735887934349</v>
      </c>
      <c r="Q22" s="2">
        <f t="shared" si="2"/>
        <v>2.5871661319582854E-2</v>
      </c>
      <c r="R22" s="3">
        <v>3.2535438286026369E-2</v>
      </c>
      <c r="S22" s="5">
        <v>975.82022471910113</v>
      </c>
      <c r="T22" s="4">
        <v>1696</v>
      </c>
      <c r="U22" s="8">
        <v>0.57536569853720587</v>
      </c>
      <c r="V22" s="2">
        <f t="shared" si="3"/>
        <v>3.2535438286026369E-2</v>
      </c>
      <c r="W22" s="3">
        <v>2.5242216626050515E-2</v>
      </c>
      <c r="X22" s="5">
        <v>1190.5736961451248</v>
      </c>
      <c r="Y22" s="4">
        <v>1696</v>
      </c>
      <c r="Z22" s="8">
        <v>0.70198920763273864</v>
      </c>
      <c r="AA22" s="2">
        <f t="shared" si="4"/>
        <v>2.5242216626050515E-2</v>
      </c>
      <c r="AB22" s="3">
        <v>2.8644901332585126E-2</v>
      </c>
      <c r="AC22" s="5">
        <v>1570.140589569161</v>
      </c>
      <c r="AD22" s="4">
        <v>1871</v>
      </c>
      <c r="AE22" s="8">
        <v>0.83919860479377928</v>
      </c>
      <c r="AF22" s="2">
        <f t="shared" si="5"/>
        <v>2.8644901332585126E-2</v>
      </c>
      <c r="AG22" s="3">
        <v>1.4803729350909327E-2</v>
      </c>
      <c r="AH22" s="5">
        <v>1033.6818181818182</v>
      </c>
      <c r="AI22" s="4">
        <v>1730</v>
      </c>
      <c r="AJ22" s="8">
        <v>0.59750394114555971</v>
      </c>
      <c r="AK22" s="2">
        <f t="shared" si="6"/>
        <v>1.4803729350909327E-2</v>
      </c>
      <c r="AL22" s="3">
        <v>2.454503316849373E-2</v>
      </c>
      <c r="AM22" s="5">
        <v>1021.2764044943821</v>
      </c>
      <c r="AN22" s="4">
        <v>1696</v>
      </c>
      <c r="AO22" s="8">
        <v>0.60216769132923476</v>
      </c>
      <c r="AP22" s="2">
        <f t="shared" si="7"/>
        <v>2.454503316849373E-2</v>
      </c>
      <c r="AQ22" s="3">
        <v>2.5136552547761072E-2</v>
      </c>
      <c r="AR22" s="5">
        <v>1194.7614678899088</v>
      </c>
      <c r="AS22" s="4">
        <v>1730</v>
      </c>
      <c r="AT22" s="8">
        <v>0.69061356525428252</v>
      </c>
      <c r="AU22" s="2">
        <f t="shared" si="8"/>
        <v>2.5136552547761072E-2</v>
      </c>
      <c r="AV22" s="3">
        <v>1.8127422498347381E-2</v>
      </c>
      <c r="AW22" s="5">
        <v>1239.4816709292415</v>
      </c>
      <c r="AX22" s="4">
        <v>1730</v>
      </c>
      <c r="AY22" s="8">
        <v>0.71646339360071765</v>
      </c>
      <c r="AZ22" s="2">
        <f t="shared" si="9"/>
        <v>1.8127422498347381E-2</v>
      </c>
      <c r="BA22" s="3">
        <v>2.9177189430465461E-2</v>
      </c>
      <c r="BB22" s="5">
        <v>933.61904761904759</v>
      </c>
      <c r="BC22" s="4">
        <v>1696</v>
      </c>
      <c r="BD22" s="8">
        <v>0.55048292902066487</v>
      </c>
      <c r="BE22" s="2">
        <f t="shared" si="10"/>
        <v>2.9177189430465461E-2</v>
      </c>
      <c r="BF22" s="3">
        <v>3.8570393360587943E-2</v>
      </c>
      <c r="BG22" s="5">
        <v>1351.3711262282684</v>
      </c>
      <c r="BH22" s="4">
        <v>1730</v>
      </c>
      <c r="BI22" s="8">
        <v>0.7811393793226985</v>
      </c>
      <c r="BJ22" s="2">
        <f t="shared" si="11"/>
        <v>3.8570393360587943E-2</v>
      </c>
      <c r="BK22" s="3">
        <v>3.5769034474023437E-2</v>
      </c>
      <c r="BL22" s="5">
        <v>981.52144469525956</v>
      </c>
      <c r="BM22" s="4">
        <v>1696</v>
      </c>
      <c r="BN22" s="8">
        <v>0.57872726691937471</v>
      </c>
      <c r="BO22" s="2">
        <f t="shared" si="12"/>
        <v>3.5769034474023437E-2</v>
      </c>
      <c r="BP22" s="3">
        <v>2.7635453304299475E-2</v>
      </c>
      <c r="BQ22" s="5">
        <v>1359.9183673469388</v>
      </c>
      <c r="BR22" s="4">
        <v>1964</v>
      </c>
      <c r="BS22" s="8">
        <v>0.69242279396483641</v>
      </c>
      <c r="BT22" s="2">
        <f t="shared" si="13"/>
        <v>2.7635453304299475E-2</v>
      </c>
      <c r="BU22" s="3">
        <v>2.738044915935979E-2</v>
      </c>
      <c r="BV22" s="5">
        <v>1442.922118380063</v>
      </c>
      <c r="BW22" s="4">
        <v>1964</v>
      </c>
      <c r="BX22" s="8">
        <v>0.73468539632386098</v>
      </c>
      <c r="BY22" s="2">
        <f t="shared" si="14"/>
        <v>2.738044915935979E-2</v>
      </c>
      <c r="BZ22" s="3">
        <v>2.7514220979991569E-2</v>
      </c>
      <c r="CA22" s="5">
        <v>842.90582959641176</v>
      </c>
      <c r="CB22" s="4">
        <v>1644</v>
      </c>
      <c r="CC22" s="8">
        <v>0.51271644136034777</v>
      </c>
      <c r="CD22" s="2">
        <f t="shared" si="15"/>
        <v>2.7514220979991569E-2</v>
      </c>
      <c r="CE22" s="3">
        <v>8.288733365914798E-2</v>
      </c>
      <c r="CF22" s="5">
        <v>1528.7029478458051</v>
      </c>
      <c r="CG22" s="4">
        <v>1871</v>
      </c>
      <c r="CH22" s="8">
        <v>0.81705128158514428</v>
      </c>
      <c r="CI22" s="2">
        <f t="shared" si="16"/>
        <v>8.288733365914798E-2</v>
      </c>
      <c r="CJ22" s="3">
        <v>2.3957584388768771E-2</v>
      </c>
      <c r="CK22" s="5">
        <v>1086.5736961451248</v>
      </c>
      <c r="CL22" s="4">
        <v>1696</v>
      </c>
      <c r="CM22" s="8">
        <v>0.64066845291575758</v>
      </c>
      <c r="CN22" s="2">
        <f t="shared" si="17"/>
        <v>2.3957584388768771E-2</v>
      </c>
      <c r="CO22" s="3">
        <v>5.5204806909198108E-2</v>
      </c>
      <c r="CP22" s="5">
        <v>1560.7823129251701</v>
      </c>
      <c r="CQ22" s="4">
        <v>1871</v>
      </c>
      <c r="CR22" s="8">
        <v>0.83419685351425443</v>
      </c>
      <c r="CS22" s="2">
        <f t="shared" si="18"/>
        <v>5.5204806909198108E-2</v>
      </c>
      <c r="CT22" s="3">
        <v>1.5006663154811081E-2</v>
      </c>
      <c r="CU22" s="5">
        <v>1075.3640552995389</v>
      </c>
      <c r="CV22" s="4">
        <v>1730</v>
      </c>
      <c r="CW22" s="8">
        <v>0.62159771982632306</v>
      </c>
      <c r="CX22" s="2">
        <f t="shared" si="19"/>
        <v>1.5006663154811081E-2</v>
      </c>
      <c r="CY22" s="3">
        <v>0.13931398142742901</v>
      </c>
      <c r="CZ22" s="5">
        <v>893.84662110858005</v>
      </c>
      <c r="DA22" s="4">
        <v>1730</v>
      </c>
      <c r="DB22" s="8">
        <v>0.51667434746160701</v>
      </c>
      <c r="DC22" s="2">
        <f t="shared" si="20"/>
        <v>0.13931398142742901</v>
      </c>
      <c r="DD22" s="3"/>
      <c r="DE22" s="5"/>
      <c r="DF22" s="4"/>
      <c r="DG22" s="8"/>
      <c r="DH22" s="2"/>
    </row>
    <row r="23" spans="2:112" x14ac:dyDescent="0.25">
      <c r="B23" s="1">
        <v>0.58333333333333304</v>
      </c>
      <c r="C23" s="3">
        <v>5.194679181525004E-2</v>
      </c>
      <c r="D23" s="5">
        <v>1521.2420814479638</v>
      </c>
      <c r="E23" s="4">
        <v>1696</v>
      </c>
      <c r="F23" s="8">
        <v>0.8969587744386579</v>
      </c>
      <c r="G23" s="2">
        <f t="shared" si="0"/>
        <v>5.194679181525004E-2</v>
      </c>
      <c r="H23" s="3">
        <v>3.0735826746161689E-2</v>
      </c>
      <c r="I23" s="5">
        <v>1129.4615384615386</v>
      </c>
      <c r="J23" s="4">
        <v>1871</v>
      </c>
      <c r="K23" s="8">
        <v>0.60366731077580893</v>
      </c>
      <c r="L23" s="2">
        <f t="shared" si="1"/>
        <v>3.0735826746161689E-2</v>
      </c>
      <c r="M23" s="3">
        <v>4.4111599003781268E-2</v>
      </c>
      <c r="N23" s="5">
        <v>2279.5523385300667</v>
      </c>
      <c r="O23" s="4">
        <v>1871</v>
      </c>
      <c r="P23" s="8">
        <v>1.2183604161037236</v>
      </c>
      <c r="Q23" s="2">
        <f t="shared" si="2"/>
        <v>4.4111599003781268E-2</v>
      </c>
      <c r="R23" s="3">
        <v>2.8798046259795627E-2</v>
      </c>
      <c r="S23" s="5">
        <v>1044.9909706546275</v>
      </c>
      <c r="T23" s="4">
        <v>1696</v>
      </c>
      <c r="U23" s="8">
        <v>0.6161503364708889</v>
      </c>
      <c r="V23" s="2">
        <f t="shared" si="3"/>
        <v>2.8798046259795627E-2</v>
      </c>
      <c r="W23" s="3">
        <v>2.8743095457487978E-2</v>
      </c>
      <c r="X23" s="5">
        <v>1249.3144796380091</v>
      </c>
      <c r="Y23" s="4">
        <v>1696</v>
      </c>
      <c r="Z23" s="8">
        <v>0.73662410356014685</v>
      </c>
      <c r="AA23" s="2">
        <f t="shared" si="4"/>
        <v>2.8743095457487978E-2</v>
      </c>
      <c r="AB23" s="3">
        <v>8.87063148103686E-2</v>
      </c>
      <c r="AC23" s="5">
        <v>1734.7036199095023</v>
      </c>
      <c r="AD23" s="4">
        <v>1871</v>
      </c>
      <c r="AE23" s="8">
        <v>0.92715319075868641</v>
      </c>
      <c r="AF23" s="2">
        <f t="shared" si="5"/>
        <v>8.87063148103686E-2</v>
      </c>
      <c r="AG23" s="3">
        <v>1.550215985786396E-2</v>
      </c>
      <c r="AH23" s="5">
        <v>1170.7940947940951</v>
      </c>
      <c r="AI23" s="4">
        <v>1730</v>
      </c>
      <c r="AJ23" s="8">
        <v>0.67675959236652894</v>
      </c>
      <c r="AK23" s="2">
        <f t="shared" si="6"/>
        <v>1.550215985786396E-2</v>
      </c>
      <c r="AL23" s="3">
        <v>4.1660768693116419E-2</v>
      </c>
      <c r="AM23" s="5">
        <v>1178.4372197309417</v>
      </c>
      <c r="AN23" s="4">
        <v>1696</v>
      </c>
      <c r="AO23" s="8">
        <v>0.69483326635079112</v>
      </c>
      <c r="AP23" s="2">
        <f t="shared" si="7"/>
        <v>4.1660768693116419E-2</v>
      </c>
      <c r="AQ23" s="3">
        <v>2.0274630152870628E-2</v>
      </c>
      <c r="AR23" s="5">
        <v>1260.9483568075125</v>
      </c>
      <c r="AS23" s="4">
        <v>1730</v>
      </c>
      <c r="AT23" s="8">
        <v>0.72887188254769508</v>
      </c>
      <c r="AU23" s="2">
        <f t="shared" si="8"/>
        <v>2.0274630152870628E-2</v>
      </c>
      <c r="AV23" s="3">
        <v>3.2578623294543092E-2</v>
      </c>
      <c r="AW23" s="5">
        <v>1278.5968586387446</v>
      </c>
      <c r="AX23" s="4">
        <v>1730</v>
      </c>
      <c r="AY23" s="8">
        <v>0.73907332869291598</v>
      </c>
      <c r="AZ23" s="2">
        <f t="shared" si="9"/>
        <v>3.2578623294543092E-2</v>
      </c>
      <c r="BA23" s="3">
        <v>4.18171252487686E-2</v>
      </c>
      <c r="BB23" s="5">
        <v>1096.8783783783783</v>
      </c>
      <c r="BC23" s="4">
        <v>1696</v>
      </c>
      <c r="BD23" s="8">
        <v>0.64674432687404382</v>
      </c>
      <c r="BE23" s="2">
        <f t="shared" si="10"/>
        <v>4.18171252487686E-2</v>
      </c>
      <c r="BF23" s="3">
        <v>3.2905844445593829E-2</v>
      </c>
      <c r="BG23" s="5">
        <v>1388.9901290812459</v>
      </c>
      <c r="BH23" s="4">
        <v>1730</v>
      </c>
      <c r="BI23" s="8">
        <v>0.80288446767702071</v>
      </c>
      <c r="BJ23" s="2">
        <f t="shared" si="11"/>
        <v>3.2905844445593829E-2</v>
      </c>
      <c r="BK23" s="3">
        <v>5.9241047465684891E-2</v>
      </c>
      <c r="BL23" s="5">
        <v>1010.8574660633484</v>
      </c>
      <c r="BM23" s="4">
        <v>1696</v>
      </c>
      <c r="BN23" s="8">
        <v>0.59602444932980447</v>
      </c>
      <c r="BO23" s="2">
        <f t="shared" si="12"/>
        <v>5.9241047465684891E-2</v>
      </c>
      <c r="BP23" s="3">
        <v>3.1017154340251103E-2</v>
      </c>
      <c r="BQ23" s="5">
        <v>1450.5610859728506</v>
      </c>
      <c r="BR23" s="4">
        <v>1964</v>
      </c>
      <c r="BS23" s="8">
        <v>0.73857489102487306</v>
      </c>
      <c r="BT23" s="2">
        <f t="shared" si="13"/>
        <v>3.1017154340251103E-2</v>
      </c>
      <c r="BU23" s="3">
        <v>2.729174878761223E-2</v>
      </c>
      <c r="BV23" s="5">
        <v>1461.8337292161507</v>
      </c>
      <c r="BW23" s="4">
        <v>1964</v>
      </c>
      <c r="BX23" s="8">
        <v>0.74431452607746984</v>
      </c>
      <c r="BY23" s="2">
        <f t="shared" si="14"/>
        <v>2.729174878761223E-2</v>
      </c>
      <c r="BZ23" s="3">
        <v>3.2745660368492878E-2</v>
      </c>
      <c r="CA23" s="5">
        <v>858.42186788154913</v>
      </c>
      <c r="CB23" s="4">
        <v>1644</v>
      </c>
      <c r="CC23" s="8">
        <v>0.52215442085252384</v>
      </c>
      <c r="CD23" s="2">
        <f t="shared" si="15"/>
        <v>3.2745660368492878E-2</v>
      </c>
      <c r="CE23" s="3">
        <v>6.6585309093267556E-2</v>
      </c>
      <c r="CF23" s="5">
        <v>1579.5475113122172</v>
      </c>
      <c r="CG23" s="4">
        <v>1871</v>
      </c>
      <c r="CH23" s="8">
        <v>0.84422635559177828</v>
      </c>
      <c r="CI23" s="2">
        <f t="shared" si="16"/>
        <v>6.6585309093267556E-2</v>
      </c>
      <c r="CJ23" s="3">
        <v>1.8614229035576243E-2</v>
      </c>
      <c r="CK23" s="5">
        <v>1138.3484162895927</v>
      </c>
      <c r="CL23" s="4">
        <v>1696</v>
      </c>
      <c r="CM23" s="8">
        <v>0.67119600017075043</v>
      </c>
      <c r="CN23" s="2">
        <f t="shared" si="17"/>
        <v>1.8614229035576243E-2</v>
      </c>
      <c r="CO23" s="3">
        <v>7.3053996930405138E-2</v>
      </c>
      <c r="CP23" s="5">
        <v>1638.1719457013576</v>
      </c>
      <c r="CQ23" s="4">
        <v>1871</v>
      </c>
      <c r="CR23" s="8">
        <v>0.87555956477891905</v>
      </c>
      <c r="CS23" s="2">
        <f t="shared" si="18"/>
        <v>7.3053996930405138E-2</v>
      </c>
      <c r="CT23" s="3">
        <v>2.3422972374191064E-2</v>
      </c>
      <c r="CU23" s="5">
        <v>1097.5623529411755</v>
      </c>
      <c r="CV23" s="4">
        <v>1730</v>
      </c>
      <c r="CW23" s="8">
        <v>0.63442910574634426</v>
      </c>
      <c r="CX23" s="2">
        <f t="shared" si="19"/>
        <v>2.3422972374191064E-2</v>
      </c>
      <c r="CY23" s="3">
        <v>0.13928460766665632</v>
      </c>
      <c r="CZ23" s="5">
        <v>950.27575757575698</v>
      </c>
      <c r="DA23" s="4">
        <v>1730</v>
      </c>
      <c r="DB23" s="8">
        <v>0.54929234541951266</v>
      </c>
      <c r="DC23" s="2">
        <f t="shared" si="20"/>
        <v>0.13928460766665632</v>
      </c>
      <c r="DD23" s="3"/>
      <c r="DE23" s="5"/>
      <c r="DF23" s="4"/>
      <c r="DG23" s="8"/>
      <c r="DH23" s="2"/>
    </row>
    <row r="24" spans="2:112" x14ac:dyDescent="0.25">
      <c r="B24" s="1">
        <v>0.625</v>
      </c>
      <c r="C24" s="3">
        <v>0.17414250272153606</v>
      </c>
      <c r="D24" s="5">
        <v>1744.0290178571429</v>
      </c>
      <c r="E24" s="4">
        <v>1696</v>
      </c>
      <c r="F24" s="8">
        <v>1.0283189963780324</v>
      </c>
      <c r="G24" s="2">
        <f t="shared" si="0"/>
        <v>0.17414250272153606</v>
      </c>
      <c r="H24" s="3">
        <v>6.3362024551599866E-2</v>
      </c>
      <c r="I24" s="5">
        <v>1340.5959821428571</v>
      </c>
      <c r="J24" s="4">
        <v>1871</v>
      </c>
      <c r="K24" s="8">
        <v>0.71651308505764677</v>
      </c>
      <c r="L24" s="2">
        <f t="shared" si="1"/>
        <v>6.3362024551599866E-2</v>
      </c>
      <c r="M24" s="3">
        <v>0.18936215939081602</v>
      </c>
      <c r="N24" s="5">
        <v>2533.7272727272725</v>
      </c>
      <c r="O24" s="4">
        <v>1871</v>
      </c>
      <c r="P24" s="8">
        <v>1.3542101938681308</v>
      </c>
      <c r="Q24" s="2">
        <f t="shared" si="2"/>
        <v>0.18936215939081602</v>
      </c>
      <c r="R24" s="3">
        <v>8.7221839888994679E-2</v>
      </c>
      <c r="S24" s="5">
        <v>1241.5915178571429</v>
      </c>
      <c r="T24" s="4">
        <v>1696</v>
      </c>
      <c r="U24" s="8">
        <v>0.73207047043463613</v>
      </c>
      <c r="V24" s="2">
        <f t="shared" si="3"/>
        <v>8.7221839888994679E-2</v>
      </c>
      <c r="W24" s="3">
        <v>6.8539246276252908E-2</v>
      </c>
      <c r="X24" s="5">
        <v>1425.3699551569507</v>
      </c>
      <c r="Y24" s="4">
        <v>1696</v>
      </c>
      <c r="Z24" s="8">
        <v>0.84043039808782471</v>
      </c>
      <c r="AA24" s="2">
        <f t="shared" si="4"/>
        <v>6.8539246276252908E-2</v>
      </c>
      <c r="AB24" s="3">
        <v>0.1436649684524966</v>
      </c>
      <c r="AC24" s="5">
        <v>1997.7455357142858</v>
      </c>
      <c r="AD24" s="4">
        <v>1871</v>
      </c>
      <c r="AE24" s="8">
        <v>1.0677421356035735</v>
      </c>
      <c r="AF24" s="2">
        <f t="shared" si="5"/>
        <v>0.1436649684524966</v>
      </c>
      <c r="AG24" s="3">
        <v>8.9211689518890414E-2</v>
      </c>
      <c r="AH24" s="5">
        <v>1426.9272727272714</v>
      </c>
      <c r="AI24" s="4">
        <v>1730</v>
      </c>
      <c r="AJ24" s="8">
        <v>0.82481345244350945</v>
      </c>
      <c r="AK24" s="2">
        <f t="shared" si="6"/>
        <v>8.9211689518890414E-2</v>
      </c>
      <c r="AL24" s="3">
        <v>8.2967796483855077E-2</v>
      </c>
      <c r="AM24" s="5">
        <v>1512.2699115044247</v>
      </c>
      <c r="AN24" s="4">
        <v>1696</v>
      </c>
      <c r="AO24" s="8">
        <v>0.89166857989647685</v>
      </c>
      <c r="AP24" s="2">
        <f t="shared" si="7"/>
        <v>8.2967796483855077E-2</v>
      </c>
      <c r="AQ24" s="3">
        <v>2.0405669619906659E-2</v>
      </c>
      <c r="AR24" s="5">
        <v>1407.2477064220186</v>
      </c>
      <c r="AS24" s="4">
        <v>1730</v>
      </c>
      <c r="AT24" s="8">
        <v>0.81343798059076222</v>
      </c>
      <c r="AU24" s="2">
        <f t="shared" si="8"/>
        <v>2.0405669619906659E-2</v>
      </c>
      <c r="AV24" s="3">
        <v>0.12269714735046029</v>
      </c>
      <c r="AW24" s="5">
        <v>1451.9762510602222</v>
      </c>
      <c r="AX24" s="4">
        <v>1730</v>
      </c>
      <c r="AY24" s="8">
        <v>0.83929263067064874</v>
      </c>
      <c r="AZ24" s="2">
        <f t="shared" si="9"/>
        <v>0.12269714735046029</v>
      </c>
      <c r="BA24" s="3">
        <v>8.9071592308919201E-2</v>
      </c>
      <c r="BB24" s="5">
        <v>1369.8738938053098</v>
      </c>
      <c r="BC24" s="4">
        <v>1696</v>
      </c>
      <c r="BD24" s="8">
        <v>0.8077086638003006</v>
      </c>
      <c r="BE24" s="2">
        <f t="shared" si="10"/>
        <v>8.9071592308919201E-2</v>
      </c>
      <c r="BF24" s="3">
        <v>8.4985093062831016E-2</v>
      </c>
      <c r="BG24" s="5">
        <v>1540.2162162162153</v>
      </c>
      <c r="BH24" s="4">
        <v>1730</v>
      </c>
      <c r="BI24" s="8">
        <v>0.89029839087642504</v>
      </c>
      <c r="BJ24" s="2">
        <f t="shared" si="11"/>
        <v>8.4985093062831016E-2</v>
      </c>
      <c r="BK24" s="3">
        <v>5.5329533762213175E-2</v>
      </c>
      <c r="BL24" s="5">
        <v>1106.1543624161075</v>
      </c>
      <c r="BM24" s="4">
        <v>1696</v>
      </c>
      <c r="BN24" s="8">
        <v>0.65221365708496903</v>
      </c>
      <c r="BO24" s="2">
        <f t="shared" si="12"/>
        <v>5.5329533762213175E-2</v>
      </c>
      <c r="BP24" s="3">
        <v>5.3588180112570258E-2</v>
      </c>
      <c r="BQ24" s="5">
        <v>1684.5982142857135</v>
      </c>
      <c r="BR24" s="4">
        <v>1964</v>
      </c>
      <c r="BS24" s="8">
        <v>0.85773839831248144</v>
      </c>
      <c r="BT24" s="2">
        <f t="shared" si="13"/>
        <v>5.3588180112570258E-2</v>
      </c>
      <c r="BU24" s="3">
        <v>4.6483180428134575E-2</v>
      </c>
      <c r="BV24" s="5">
        <v>1548.7213114754099</v>
      </c>
      <c r="BW24" s="4">
        <v>1964</v>
      </c>
      <c r="BX24" s="8">
        <v>0.78855463924409874</v>
      </c>
      <c r="BY24" s="2">
        <f t="shared" si="14"/>
        <v>4.6483180428134575E-2</v>
      </c>
      <c r="BZ24" s="3">
        <v>3.6268881454952287E-2</v>
      </c>
      <c r="CA24" s="5">
        <v>900.94561403508817</v>
      </c>
      <c r="CB24" s="4">
        <v>1644</v>
      </c>
      <c r="CC24" s="8">
        <v>0.54802044649336268</v>
      </c>
      <c r="CD24" s="2">
        <f t="shared" si="15"/>
        <v>3.6268881454952287E-2</v>
      </c>
      <c r="CE24" s="3">
        <v>6.8498951756777934E-2</v>
      </c>
      <c r="CF24" s="5">
        <v>1735.421875</v>
      </c>
      <c r="CG24" s="4">
        <v>1871</v>
      </c>
      <c r="CH24" s="8">
        <v>0.92753707910208449</v>
      </c>
      <c r="CI24" s="2">
        <f t="shared" si="16"/>
        <v>6.8498951756777934E-2</v>
      </c>
      <c r="CJ24" s="3">
        <v>0.112558671512292</v>
      </c>
      <c r="CK24" s="5">
        <v>1302.3995535714287</v>
      </c>
      <c r="CL24" s="4">
        <v>1696</v>
      </c>
      <c r="CM24" s="8">
        <v>0.76792426507749334</v>
      </c>
      <c r="CN24" s="2">
        <f t="shared" si="17"/>
        <v>0.112558671512292</v>
      </c>
      <c r="CO24" s="3">
        <v>8.1048974847976865E-2</v>
      </c>
      <c r="CP24" s="5">
        <v>1830.5334821428571</v>
      </c>
      <c r="CQ24" s="4">
        <v>1871</v>
      </c>
      <c r="CR24" s="8">
        <v>0.97837171680537527</v>
      </c>
      <c r="CS24" s="2">
        <f t="shared" si="18"/>
        <v>8.1048974847976865E-2</v>
      </c>
      <c r="CT24" s="3">
        <v>2.8920380717085133E-2</v>
      </c>
      <c r="CU24" s="5">
        <v>1156.2482758620686</v>
      </c>
      <c r="CV24" s="4">
        <v>1730</v>
      </c>
      <c r="CW24" s="8">
        <v>0.66835160454454834</v>
      </c>
      <c r="CX24" s="2">
        <f t="shared" si="19"/>
        <v>2.8920380717085133E-2</v>
      </c>
      <c r="CY24" s="3">
        <v>0.14335029861940932</v>
      </c>
      <c r="CZ24" s="5">
        <v>1036.1670395227434</v>
      </c>
      <c r="DA24" s="4">
        <v>1730</v>
      </c>
      <c r="DB24" s="8">
        <v>0.59894048527326205</v>
      </c>
      <c r="DC24" s="2">
        <f t="shared" si="20"/>
        <v>0.14335029861940932</v>
      </c>
      <c r="DD24" s="3"/>
      <c r="DE24" s="5"/>
      <c r="DF24" s="4"/>
      <c r="DG24" s="8"/>
      <c r="DH24" s="2"/>
    </row>
    <row r="25" spans="2:112" x14ac:dyDescent="0.25">
      <c r="B25" s="1">
        <v>0.66666666666666696</v>
      </c>
      <c r="C25" s="3">
        <v>0.63712639543976957</v>
      </c>
      <c r="D25" s="5">
        <v>1753.6704035874438</v>
      </c>
      <c r="E25" s="4">
        <v>1696</v>
      </c>
      <c r="F25" s="8">
        <v>1.0340037757001437</v>
      </c>
      <c r="G25" s="2">
        <f t="shared" si="0"/>
        <v>0.63712639543976957</v>
      </c>
      <c r="H25" s="3">
        <v>0.59752461282183467</v>
      </c>
      <c r="I25" s="5">
        <v>1522.1051454138703</v>
      </c>
      <c r="J25" s="4">
        <v>1871</v>
      </c>
      <c r="K25" s="8">
        <v>0.81352493073964205</v>
      </c>
      <c r="L25" s="2">
        <f t="shared" si="1"/>
        <v>0.59752461282183467</v>
      </c>
      <c r="M25" s="3">
        <v>0.51984233413371506</v>
      </c>
      <c r="N25" s="5">
        <v>2526.6896551724139</v>
      </c>
      <c r="O25" s="4">
        <v>1871</v>
      </c>
      <c r="P25" s="8">
        <v>1.3504487734753683</v>
      </c>
      <c r="Q25" s="2">
        <f t="shared" si="2"/>
        <v>0.51984233413371506</v>
      </c>
      <c r="R25" s="3">
        <v>0.45957989763404383</v>
      </c>
      <c r="S25" s="5">
        <v>1429.7488789237668</v>
      </c>
      <c r="T25" s="4">
        <v>1696</v>
      </c>
      <c r="U25" s="8">
        <v>0.84301231068618332</v>
      </c>
      <c r="V25" s="2">
        <f t="shared" si="3"/>
        <v>0.45957989763404383</v>
      </c>
      <c r="W25" s="3">
        <v>0.39083368907452298</v>
      </c>
      <c r="X25" s="5">
        <v>1514.3587443946187</v>
      </c>
      <c r="Y25" s="4">
        <v>1696</v>
      </c>
      <c r="Z25" s="8">
        <v>0.89290020306286477</v>
      </c>
      <c r="AA25" s="2">
        <f t="shared" si="4"/>
        <v>0.39083368907452298</v>
      </c>
      <c r="AB25" s="3">
        <v>0.57947260497193398</v>
      </c>
      <c r="AC25" s="5">
        <v>2094.7376681614351</v>
      </c>
      <c r="AD25" s="4">
        <v>1871</v>
      </c>
      <c r="AE25" s="8">
        <v>1.1195818643300026</v>
      </c>
      <c r="AF25" s="2">
        <f t="shared" si="5"/>
        <v>0.57947260497193398</v>
      </c>
      <c r="AG25" s="3">
        <v>0.33629979531302323</v>
      </c>
      <c r="AH25" s="5">
        <v>1589.9627143922439</v>
      </c>
      <c r="AI25" s="4">
        <v>1730</v>
      </c>
      <c r="AJ25" s="8">
        <v>0.91905359213424509</v>
      </c>
      <c r="AK25" s="2">
        <f t="shared" si="6"/>
        <v>0.33629979531302323</v>
      </c>
      <c r="AL25" s="3">
        <v>0.18034973554238784</v>
      </c>
      <c r="AM25" s="5">
        <v>1777.0511111111111</v>
      </c>
      <c r="AN25" s="4">
        <v>1696</v>
      </c>
      <c r="AO25" s="8">
        <v>1.0477895702306079</v>
      </c>
      <c r="AP25" s="2">
        <f t="shared" si="7"/>
        <v>0.18034973554238784</v>
      </c>
      <c r="AQ25" s="3">
        <v>0.35387047257620707</v>
      </c>
      <c r="AR25" s="5">
        <v>1534.2603461249066</v>
      </c>
      <c r="AS25" s="4">
        <v>1730</v>
      </c>
      <c r="AT25" s="8">
        <v>0.88685569140168008</v>
      </c>
      <c r="AU25" s="2">
        <f t="shared" si="8"/>
        <v>0.35387047257620707</v>
      </c>
      <c r="AV25" s="3">
        <v>0.16516651665166548</v>
      </c>
      <c r="AW25" s="5">
        <v>1564.4377610693405</v>
      </c>
      <c r="AX25" s="4">
        <v>1730</v>
      </c>
      <c r="AY25" s="8">
        <v>0.90429928385511005</v>
      </c>
      <c r="AZ25" s="2">
        <f t="shared" si="9"/>
        <v>0.16516651665166548</v>
      </c>
      <c r="BA25" s="3">
        <v>0.2777492370184288</v>
      </c>
      <c r="BB25" s="5">
        <v>1602.2066666666667</v>
      </c>
      <c r="BC25" s="4">
        <v>1696</v>
      </c>
      <c r="BD25" s="8">
        <v>0.9446973270440252</v>
      </c>
      <c r="BE25" s="2">
        <f t="shared" si="10"/>
        <v>0.2777492370184288</v>
      </c>
      <c r="BF25" s="3">
        <v>0.7105561807208185</v>
      </c>
      <c r="BG25" s="5">
        <v>1572.3831070889896</v>
      </c>
      <c r="BH25" s="4">
        <v>1730</v>
      </c>
      <c r="BI25" s="8">
        <v>0.90889196941560091</v>
      </c>
      <c r="BJ25" s="2">
        <f t="shared" si="11"/>
        <v>0.7105561807208185</v>
      </c>
      <c r="BK25" s="3">
        <v>4.5948702411092168E-2</v>
      </c>
      <c r="BL25" s="5">
        <v>1152.4708520179372</v>
      </c>
      <c r="BM25" s="4">
        <v>1696</v>
      </c>
      <c r="BN25" s="8">
        <v>0.67952290802944415</v>
      </c>
      <c r="BO25" s="2">
        <f t="shared" si="12"/>
        <v>4.5948702411092168E-2</v>
      </c>
      <c r="BP25" s="3">
        <v>7.1642929076983344E-2</v>
      </c>
      <c r="BQ25" s="5">
        <v>1854.343796711511</v>
      </c>
      <c r="BR25" s="4">
        <v>1964</v>
      </c>
      <c r="BS25" s="8">
        <v>0.94416690260260239</v>
      </c>
      <c r="BT25" s="2">
        <f t="shared" si="13"/>
        <v>7.1642929076983344E-2</v>
      </c>
      <c r="BU25" s="3">
        <v>2.3500377862843695E-2</v>
      </c>
      <c r="BV25" s="5">
        <v>1614.9486590038318</v>
      </c>
      <c r="BW25" s="4">
        <v>1964</v>
      </c>
      <c r="BX25" s="8">
        <v>0.82227528462516897</v>
      </c>
      <c r="BY25" s="2">
        <f t="shared" si="14"/>
        <v>2.3500377862843695E-2</v>
      </c>
      <c r="BZ25" s="3">
        <v>2.5990102697440134E-2</v>
      </c>
      <c r="CA25" s="5">
        <v>946.79999999999939</v>
      </c>
      <c r="CB25" s="4">
        <v>1644</v>
      </c>
      <c r="CC25" s="8">
        <v>0.57591240875912375</v>
      </c>
      <c r="CD25" s="2">
        <f t="shared" si="15"/>
        <v>2.5990102697440134E-2</v>
      </c>
      <c r="CE25" s="3">
        <v>0.20696347367564402</v>
      </c>
      <c r="CF25" s="5">
        <v>1831.1143497757848</v>
      </c>
      <c r="CG25" s="4">
        <v>1871</v>
      </c>
      <c r="CH25" s="8">
        <v>0.97868217518748524</v>
      </c>
      <c r="CI25" s="2">
        <f t="shared" si="16"/>
        <v>0.20696347367564402</v>
      </c>
      <c r="CJ25" s="3">
        <v>0.28040646152732435</v>
      </c>
      <c r="CK25" s="5">
        <v>1419.4573991031391</v>
      </c>
      <c r="CL25" s="4">
        <v>1696</v>
      </c>
      <c r="CM25" s="8">
        <v>0.83694422116930367</v>
      </c>
      <c r="CN25" s="2">
        <f t="shared" si="17"/>
        <v>0.28040646152732435</v>
      </c>
      <c r="CO25" s="3">
        <v>9.8046331166854919E-2</v>
      </c>
      <c r="CP25" s="5">
        <v>1929.0693512304251</v>
      </c>
      <c r="CQ25" s="4">
        <v>1871</v>
      </c>
      <c r="CR25" s="8">
        <v>1.031036531924332</v>
      </c>
      <c r="CS25" s="2">
        <f t="shared" si="18"/>
        <v>9.8046331166854919E-2</v>
      </c>
      <c r="CT25" s="3">
        <v>1.436351205674702E-2</v>
      </c>
      <c r="CU25" s="5">
        <v>1196.8878856282931</v>
      </c>
      <c r="CV25" s="4">
        <v>1730</v>
      </c>
      <c r="CW25" s="8">
        <v>0.69184270845566076</v>
      </c>
      <c r="CX25" s="2">
        <f t="shared" si="19"/>
        <v>1.436351205674702E-2</v>
      </c>
      <c r="CY25" s="3">
        <v>0.13309940897085082</v>
      </c>
      <c r="CZ25" s="5">
        <v>1089.1330343796715</v>
      </c>
      <c r="DA25" s="4">
        <v>1730</v>
      </c>
      <c r="DB25" s="8">
        <v>0.6295566672714864</v>
      </c>
      <c r="DC25" s="2">
        <f t="shared" si="20"/>
        <v>0.13309940897085082</v>
      </c>
      <c r="DD25" s="3"/>
      <c r="DE25" s="5"/>
      <c r="DF25" s="4"/>
      <c r="DG25" s="8"/>
      <c r="DH25" s="2"/>
    </row>
    <row r="26" spans="2:112" x14ac:dyDescent="0.25">
      <c r="B26" s="1">
        <v>0.70833333333333304</v>
      </c>
      <c r="C26" s="3">
        <v>1.1613671418732199</v>
      </c>
      <c r="D26" s="5">
        <v>1477.4162995594713</v>
      </c>
      <c r="E26" s="4">
        <v>1696</v>
      </c>
      <c r="F26" s="8">
        <v>0.87111810115534871</v>
      </c>
      <c r="G26" s="2">
        <f t="shared" si="0"/>
        <v>1.1613671418732199</v>
      </c>
      <c r="H26" s="3">
        <v>0.86310966155355251</v>
      </c>
      <c r="I26" s="5">
        <v>1507.328193832599</v>
      </c>
      <c r="J26" s="4">
        <v>1871</v>
      </c>
      <c r="K26" s="8">
        <v>0.8056270410649915</v>
      </c>
      <c r="L26" s="2">
        <f t="shared" si="1"/>
        <v>0.86310966155355251</v>
      </c>
      <c r="M26" s="3">
        <v>0.80613598472706982</v>
      </c>
      <c r="N26" s="5">
        <v>2252.4038461538462</v>
      </c>
      <c r="O26" s="4">
        <v>1871</v>
      </c>
      <c r="P26" s="8">
        <v>1.2038502651811043</v>
      </c>
      <c r="Q26" s="2">
        <f t="shared" si="2"/>
        <v>0.80613598472706982</v>
      </c>
      <c r="R26" s="3">
        <v>0.770360050084686</v>
      </c>
      <c r="S26" s="5">
        <v>1401.2466960352424</v>
      </c>
      <c r="T26" s="4">
        <v>1696</v>
      </c>
      <c r="U26" s="8">
        <v>0.82620677832266654</v>
      </c>
      <c r="V26" s="2">
        <f t="shared" si="3"/>
        <v>0.770360050084686</v>
      </c>
      <c r="W26" s="3">
        <v>1.8499131658785699</v>
      </c>
      <c r="X26" s="5">
        <v>1494.5550660792951</v>
      </c>
      <c r="Y26" s="4">
        <v>1696</v>
      </c>
      <c r="Z26" s="8">
        <v>0.8812235059429806</v>
      </c>
      <c r="AA26" s="2">
        <f t="shared" si="4"/>
        <v>1.8499131658785699</v>
      </c>
      <c r="AB26" s="3">
        <v>0.76492028992006589</v>
      </c>
      <c r="AC26" s="5">
        <v>2015.2709251101321</v>
      </c>
      <c r="AD26" s="4">
        <v>1871</v>
      </c>
      <c r="AE26" s="8">
        <v>1.0771089925762332</v>
      </c>
      <c r="AF26" s="2">
        <f t="shared" si="5"/>
        <v>0.76492028992006589</v>
      </c>
      <c r="AG26" s="3">
        <v>1.3222917044287359</v>
      </c>
      <c r="AH26" s="5">
        <v>1440.1726190476202</v>
      </c>
      <c r="AI26" s="4">
        <v>1730</v>
      </c>
      <c r="AJ26" s="8">
        <v>0.83246972199284408</v>
      </c>
      <c r="AK26" s="2">
        <f t="shared" si="6"/>
        <v>1.3222917044287359</v>
      </c>
      <c r="AL26" s="3">
        <v>0.24956082663784473</v>
      </c>
      <c r="AM26" s="5">
        <v>1783.0502183406113</v>
      </c>
      <c r="AN26" s="4">
        <v>1696</v>
      </c>
      <c r="AO26" s="8">
        <v>1.0513267796819643</v>
      </c>
      <c r="AP26" s="2">
        <f t="shared" si="7"/>
        <v>0.24956082663784473</v>
      </c>
      <c r="AQ26" s="3">
        <v>0.96798742789383452</v>
      </c>
      <c r="AR26" s="5">
        <v>1590.6966966966963</v>
      </c>
      <c r="AS26" s="4">
        <v>1730</v>
      </c>
      <c r="AT26" s="8">
        <v>0.91947785936225224</v>
      </c>
      <c r="AU26" s="2">
        <f t="shared" si="8"/>
        <v>0.96798742789383452</v>
      </c>
      <c r="AV26" s="3">
        <v>0.36281171369732101</v>
      </c>
      <c r="AW26" s="5">
        <v>1520.4966666666674</v>
      </c>
      <c r="AX26" s="4">
        <v>1730</v>
      </c>
      <c r="AY26" s="8">
        <v>0.87889980732177309</v>
      </c>
      <c r="AZ26" s="2">
        <f t="shared" si="9"/>
        <v>0.36281171369732101</v>
      </c>
      <c r="BA26" s="3">
        <v>0.58066301936708442</v>
      </c>
      <c r="BB26" s="5">
        <v>1621.0218340611355</v>
      </c>
      <c r="BC26" s="4">
        <v>1696</v>
      </c>
      <c r="BD26" s="8">
        <v>0.95579117574359407</v>
      </c>
      <c r="BE26" s="2">
        <f t="shared" si="10"/>
        <v>0.58066301936708442</v>
      </c>
      <c r="BF26" s="3">
        <v>0.9120442913921033</v>
      </c>
      <c r="BG26" s="5">
        <v>1663.4731420161884</v>
      </c>
      <c r="BH26" s="4">
        <v>1730</v>
      </c>
      <c r="BI26" s="8">
        <v>0.96154516879548457</v>
      </c>
      <c r="BJ26" s="2">
        <f t="shared" si="11"/>
        <v>0.9120442913921033</v>
      </c>
      <c r="BK26" s="3">
        <v>4.7722622085931823E-2</v>
      </c>
      <c r="BL26" s="5">
        <v>1181.1255506607929</v>
      </c>
      <c r="BM26" s="4">
        <v>1696</v>
      </c>
      <c r="BN26" s="8">
        <v>0.69641836713490146</v>
      </c>
      <c r="BO26" s="2">
        <f t="shared" si="12"/>
        <v>4.7722622085931823E-2</v>
      </c>
      <c r="BP26" s="3">
        <v>0.1687315501296518</v>
      </c>
      <c r="BQ26" s="5">
        <v>1963.7767988252551</v>
      </c>
      <c r="BR26" s="4">
        <v>1964</v>
      </c>
      <c r="BS26" s="8">
        <v>0.9998863537806798</v>
      </c>
      <c r="BT26" s="2">
        <f t="shared" si="13"/>
        <v>0.1687315501296518</v>
      </c>
      <c r="BU26" s="3">
        <v>3.0417370785446218E-2</v>
      </c>
      <c r="BV26" s="5">
        <v>1607.590214067279</v>
      </c>
      <c r="BW26" s="4">
        <v>1964</v>
      </c>
      <c r="BX26" s="8">
        <v>0.81852862223384881</v>
      </c>
      <c r="BY26" s="2">
        <f t="shared" si="14"/>
        <v>3.0417370785446218E-2</v>
      </c>
      <c r="BZ26" s="3">
        <v>3.3439287537181339E-2</v>
      </c>
      <c r="CA26" s="5">
        <v>958.32807017543723</v>
      </c>
      <c r="CB26" s="4">
        <v>1644</v>
      </c>
      <c r="CC26" s="8">
        <v>0.58292461689503483</v>
      </c>
      <c r="CD26" s="2">
        <f t="shared" si="15"/>
        <v>3.3439287537181339E-2</v>
      </c>
      <c r="CE26" s="3">
        <v>0.41364687753990448</v>
      </c>
      <c r="CF26" s="5">
        <v>1847.2224669603524</v>
      </c>
      <c r="CG26" s="4">
        <v>1871</v>
      </c>
      <c r="CH26" s="8">
        <v>0.98729153765919431</v>
      </c>
      <c r="CI26" s="2">
        <f t="shared" si="16"/>
        <v>0.41364687753990448</v>
      </c>
      <c r="CJ26" s="3">
        <v>0.67048122289915413</v>
      </c>
      <c r="CK26" s="5">
        <v>1439.5572687224669</v>
      </c>
      <c r="CL26" s="4">
        <v>1696</v>
      </c>
      <c r="CM26" s="8">
        <v>0.84879555938824702</v>
      </c>
      <c r="CN26" s="2">
        <f t="shared" si="17"/>
        <v>0.67048122289915413</v>
      </c>
      <c r="CO26" s="3">
        <v>0.15011632968215735</v>
      </c>
      <c r="CP26" s="5">
        <v>1946.0066079295154</v>
      </c>
      <c r="CQ26" s="4">
        <v>1871</v>
      </c>
      <c r="CR26" s="8">
        <v>1.0400890475304732</v>
      </c>
      <c r="CS26" s="2">
        <f t="shared" si="18"/>
        <v>0.15011632968215735</v>
      </c>
      <c r="CT26" s="3">
        <v>1.6921258410620203E-2</v>
      </c>
      <c r="CU26" s="5">
        <v>1204.4564564564564</v>
      </c>
      <c r="CV26" s="4">
        <v>1730</v>
      </c>
      <c r="CW26" s="8">
        <v>0.69621760488812512</v>
      </c>
      <c r="CX26" s="2">
        <f t="shared" si="19"/>
        <v>1.6921258410620203E-2</v>
      </c>
      <c r="CY26" s="3">
        <v>0.23111906157651987</v>
      </c>
      <c r="CZ26" s="5">
        <v>1074.0206489675511</v>
      </c>
      <c r="DA26" s="4">
        <v>1730</v>
      </c>
      <c r="DB26" s="8">
        <v>0.620821184374307</v>
      </c>
      <c r="DC26" s="2">
        <f t="shared" si="20"/>
        <v>0.23111906157651987</v>
      </c>
      <c r="DD26" s="3"/>
      <c r="DE26" s="5"/>
      <c r="DF26" s="4"/>
      <c r="DG26" s="8"/>
      <c r="DH26" s="2"/>
    </row>
    <row r="27" spans="2:112" x14ac:dyDescent="0.25">
      <c r="B27" s="1">
        <v>0.75</v>
      </c>
      <c r="C27" s="3">
        <v>0.7209149723345164</v>
      </c>
      <c r="D27" s="5">
        <v>1351.396017699115</v>
      </c>
      <c r="E27" s="4">
        <v>1696</v>
      </c>
      <c r="F27" s="8">
        <v>0.7968136896810819</v>
      </c>
      <c r="G27" s="2">
        <f t="shared" si="0"/>
        <v>0.7209149723345164</v>
      </c>
      <c r="H27" s="3">
        <v>0.72086951986152092</v>
      </c>
      <c r="I27" s="5">
        <v>1305.0967032967033</v>
      </c>
      <c r="J27" s="4">
        <v>1871</v>
      </c>
      <c r="K27" s="8">
        <v>0.69753965969893283</v>
      </c>
      <c r="L27" s="2">
        <f t="shared" si="1"/>
        <v>0.72086951986152092</v>
      </c>
      <c r="M27" s="3">
        <v>0.65963954150377124</v>
      </c>
      <c r="N27" s="5">
        <v>2175.2830188679245</v>
      </c>
      <c r="O27" s="4">
        <v>1871</v>
      </c>
      <c r="P27" s="8">
        <v>1.1626312233393503</v>
      </c>
      <c r="Q27" s="2">
        <f t="shared" si="2"/>
        <v>0.65963954150377124</v>
      </c>
      <c r="R27" s="3">
        <v>0.77117282576303414</v>
      </c>
      <c r="S27" s="5">
        <v>1203.2417582417581</v>
      </c>
      <c r="T27" s="4">
        <v>1696</v>
      </c>
      <c r="U27" s="8">
        <v>0.70945858386896121</v>
      </c>
      <c r="V27" s="2">
        <f t="shared" si="3"/>
        <v>0.77117282576303414</v>
      </c>
      <c r="W27" s="3">
        <v>0.3494371560595631</v>
      </c>
      <c r="X27" s="5">
        <v>1280.9384615384615</v>
      </c>
      <c r="Y27" s="4">
        <v>1696</v>
      </c>
      <c r="Z27" s="8">
        <v>0.75527031930333821</v>
      </c>
      <c r="AA27" s="2">
        <f t="shared" si="4"/>
        <v>0.3494371560595631</v>
      </c>
      <c r="AB27" s="3">
        <v>0.4320991012759432</v>
      </c>
      <c r="AC27" s="5">
        <v>1801.745054945055</v>
      </c>
      <c r="AD27" s="4">
        <v>1871</v>
      </c>
      <c r="AE27" s="8">
        <v>0.96298506410745854</v>
      </c>
      <c r="AF27" s="2">
        <f t="shared" si="5"/>
        <v>0.4320991012759432</v>
      </c>
      <c r="AG27" s="3">
        <v>0.2669145493974534</v>
      </c>
      <c r="AH27" s="5">
        <v>1230.9125925925921</v>
      </c>
      <c r="AI27" s="4">
        <v>1730</v>
      </c>
      <c r="AJ27" s="8">
        <v>0.71151016912866594</v>
      </c>
      <c r="AK27" s="2">
        <f t="shared" si="6"/>
        <v>0.2669145493974534</v>
      </c>
      <c r="AL27" s="3">
        <v>0.21585018487053131</v>
      </c>
      <c r="AM27" s="5">
        <v>1388.3420479302831</v>
      </c>
      <c r="AN27" s="4">
        <v>1696</v>
      </c>
      <c r="AO27" s="8">
        <v>0.8185979056192707</v>
      </c>
      <c r="AP27" s="2">
        <f t="shared" si="7"/>
        <v>0.21585018487053131</v>
      </c>
      <c r="AQ27" s="3">
        <v>0.55963265111634575</v>
      </c>
      <c r="AR27" s="5">
        <v>1286.1285500747367</v>
      </c>
      <c r="AS27" s="4">
        <v>1730</v>
      </c>
      <c r="AT27" s="8">
        <v>0.74342690755765128</v>
      </c>
      <c r="AU27" s="2">
        <f t="shared" si="8"/>
        <v>0.55963265111634575</v>
      </c>
      <c r="AV27" s="3">
        <v>0.38909960647806041</v>
      </c>
      <c r="AW27" s="5">
        <v>1369.4494195688223</v>
      </c>
      <c r="AX27" s="4">
        <v>1730</v>
      </c>
      <c r="AY27" s="8">
        <v>0.7915892598663713</v>
      </c>
      <c r="AZ27" s="2">
        <f t="shared" si="9"/>
        <v>0.38909960647806041</v>
      </c>
      <c r="BA27" s="3">
        <v>0.45125116562037637</v>
      </c>
      <c r="BB27" s="5">
        <v>1293.0392156862745</v>
      </c>
      <c r="BC27" s="4">
        <v>1696</v>
      </c>
      <c r="BD27" s="8">
        <v>0.76240519792822792</v>
      </c>
      <c r="BE27" s="2">
        <f t="shared" si="10"/>
        <v>0.45125116562037637</v>
      </c>
      <c r="BF27" s="3">
        <v>1.0064228661926118</v>
      </c>
      <c r="BG27" s="5">
        <v>1377.3069597069596</v>
      </c>
      <c r="BH27" s="4">
        <v>1730</v>
      </c>
      <c r="BI27" s="8">
        <v>0.7961311905820575</v>
      </c>
      <c r="BJ27" s="2">
        <f t="shared" si="11"/>
        <v>1.0064228661926118</v>
      </c>
      <c r="BK27" s="3">
        <v>5.4451327327924501E-2</v>
      </c>
      <c r="BL27" s="5">
        <v>1000.8285714285714</v>
      </c>
      <c r="BM27" s="4">
        <v>1696</v>
      </c>
      <c r="BN27" s="8">
        <v>0.5901111859838275</v>
      </c>
      <c r="BO27" s="2">
        <f t="shared" si="12"/>
        <v>5.4451327327924501E-2</v>
      </c>
      <c r="BP27" s="3">
        <v>7.345454427651861E-2</v>
      </c>
      <c r="BQ27" s="5">
        <v>1597.6087912087901</v>
      </c>
      <c r="BR27" s="4">
        <v>1964</v>
      </c>
      <c r="BS27" s="8">
        <v>0.81344643136903771</v>
      </c>
      <c r="BT27" s="2">
        <f t="shared" si="13"/>
        <v>7.345454427651861E-2</v>
      </c>
      <c r="BU27" s="3">
        <v>3.8568980015871175E-2</v>
      </c>
      <c r="BV27" s="5">
        <v>1431.2450532724515</v>
      </c>
      <c r="BW27" s="4">
        <v>1964</v>
      </c>
      <c r="BX27" s="8">
        <v>0.72873984382507717</v>
      </c>
      <c r="BY27" s="2">
        <f t="shared" si="14"/>
        <v>3.8568980015871175E-2</v>
      </c>
      <c r="BZ27" s="3">
        <v>3.113363195950156E-2</v>
      </c>
      <c r="CA27" s="5">
        <v>828.88888888888914</v>
      </c>
      <c r="CB27" s="4">
        <v>1644</v>
      </c>
      <c r="CC27" s="8">
        <v>0.50419032170857003</v>
      </c>
      <c r="CD27" s="2">
        <f t="shared" si="15"/>
        <v>3.113363195950156E-2</v>
      </c>
      <c r="CE27" s="3">
        <v>0.11456603646998383</v>
      </c>
      <c r="CF27" s="5">
        <v>1593.4483516483517</v>
      </c>
      <c r="CG27" s="4">
        <v>1871</v>
      </c>
      <c r="CH27" s="8">
        <v>0.85165598698468825</v>
      </c>
      <c r="CI27" s="2">
        <f t="shared" si="16"/>
        <v>0.11456603646998383</v>
      </c>
      <c r="CJ27" s="3">
        <v>0.24411744001233829</v>
      </c>
      <c r="CK27" s="5">
        <v>1256.7142857142858</v>
      </c>
      <c r="CL27" s="4">
        <v>1696</v>
      </c>
      <c r="CM27" s="8">
        <v>0.74098719676549873</v>
      </c>
      <c r="CN27" s="2">
        <f t="shared" si="17"/>
        <v>0.24411744001233829</v>
      </c>
      <c r="CO27" s="3">
        <v>0.13309151881978612</v>
      </c>
      <c r="CP27" s="5">
        <v>1698.6549450549451</v>
      </c>
      <c r="CQ27" s="4">
        <v>1871</v>
      </c>
      <c r="CR27" s="8">
        <v>0.9078861277685436</v>
      </c>
      <c r="CS27" s="2">
        <f t="shared" si="18"/>
        <v>0.13309151881978612</v>
      </c>
      <c r="CT27" s="3">
        <v>3.4321581196581213E-2</v>
      </c>
      <c r="CU27" s="5">
        <v>1046.5560538116604</v>
      </c>
      <c r="CV27" s="4">
        <v>1730</v>
      </c>
      <c r="CW27" s="8">
        <v>0.60494569584489044</v>
      </c>
      <c r="CX27" s="2">
        <f t="shared" si="19"/>
        <v>3.4321581196581213E-2</v>
      </c>
      <c r="CY27" s="3">
        <v>0.14466549248507116</v>
      </c>
      <c r="CZ27" s="5">
        <v>876.98754578754551</v>
      </c>
      <c r="DA27" s="4">
        <v>1730</v>
      </c>
      <c r="DB27" s="8">
        <v>0.50692921721823436</v>
      </c>
      <c r="DC27" s="2">
        <f t="shared" si="20"/>
        <v>0.14466549248507116</v>
      </c>
      <c r="DD27" s="3"/>
      <c r="DE27" s="5"/>
      <c r="DF27" s="4"/>
      <c r="DG27" s="8"/>
      <c r="DH27" s="2"/>
    </row>
    <row r="28" spans="2:112" x14ac:dyDescent="0.25">
      <c r="B28" s="1">
        <v>0.79166666666666696</v>
      </c>
      <c r="C28" s="3">
        <v>5.8321611911950594E-2</v>
      </c>
      <c r="D28" s="5">
        <v>1013.9644444444444</v>
      </c>
      <c r="E28" s="4">
        <v>1696</v>
      </c>
      <c r="F28" s="8">
        <v>0.59785639412997904</v>
      </c>
      <c r="G28" s="2">
        <f t="shared" si="0"/>
        <v>5.8321611911950594E-2</v>
      </c>
      <c r="H28" s="3">
        <v>5.2474073705574532E-2</v>
      </c>
      <c r="I28" s="5">
        <v>924.46136865342169</v>
      </c>
      <c r="J28" s="4">
        <v>1871</v>
      </c>
      <c r="K28" s="8">
        <v>0.4941001435881463</v>
      </c>
      <c r="L28" s="2">
        <f t="shared" si="1"/>
        <v>5.2474073705574532E-2</v>
      </c>
      <c r="M28" s="3">
        <v>6.6986234021632257E-2</v>
      </c>
      <c r="N28" s="5">
        <v>1706.4665226781858</v>
      </c>
      <c r="O28" s="4">
        <v>1871</v>
      </c>
      <c r="P28" s="8">
        <v>0.91206120934162793</v>
      </c>
      <c r="Q28" s="2">
        <f t="shared" si="2"/>
        <v>6.6986234021632257E-2</v>
      </c>
      <c r="R28" s="3">
        <v>6.3653563655784826E-2</v>
      </c>
      <c r="S28" s="5">
        <v>828.17880794701989</v>
      </c>
      <c r="T28" s="4">
        <v>1696</v>
      </c>
      <c r="U28" s="8">
        <v>0.48831297638385607</v>
      </c>
      <c r="V28" s="2">
        <f t="shared" si="3"/>
        <v>6.3653563655784826E-2</v>
      </c>
      <c r="W28" s="3">
        <v>3.6384201654713608E-2</v>
      </c>
      <c r="X28" s="5">
        <v>876.00883002207502</v>
      </c>
      <c r="Y28" s="4">
        <v>1696</v>
      </c>
      <c r="Z28" s="8">
        <v>0.5165146403432046</v>
      </c>
      <c r="AA28" s="2">
        <f t="shared" si="4"/>
        <v>3.6384201654713608E-2</v>
      </c>
      <c r="AB28" s="3">
        <v>5.0174915134651284E-2</v>
      </c>
      <c r="AC28" s="5">
        <v>1290.8167770419427</v>
      </c>
      <c r="AD28" s="4">
        <v>1871</v>
      </c>
      <c r="AE28" s="8">
        <v>0.68990741691178126</v>
      </c>
      <c r="AF28" s="2">
        <f t="shared" si="5"/>
        <v>5.0174915134651284E-2</v>
      </c>
      <c r="AG28" s="3">
        <v>5.2864609042417979E-2</v>
      </c>
      <c r="AH28" s="5">
        <v>904.51917404129813</v>
      </c>
      <c r="AI28" s="4">
        <v>1730</v>
      </c>
      <c r="AJ28" s="8">
        <v>0.52284345320306247</v>
      </c>
      <c r="AK28" s="2">
        <f t="shared" si="6"/>
        <v>5.2864609042417979E-2</v>
      </c>
      <c r="AL28" s="3">
        <v>4.390587800198803E-2</v>
      </c>
      <c r="AM28" s="5">
        <v>927.50329670329666</v>
      </c>
      <c r="AN28" s="4">
        <v>1696</v>
      </c>
      <c r="AO28" s="8">
        <v>0.54687694381090601</v>
      </c>
      <c r="AP28" s="2">
        <f t="shared" si="7"/>
        <v>4.390587800198803E-2</v>
      </c>
      <c r="AQ28" s="3">
        <v>6.4038513615362322E-2</v>
      </c>
      <c r="AR28" s="5">
        <v>920.11607142857099</v>
      </c>
      <c r="AS28" s="4">
        <v>1730</v>
      </c>
      <c r="AT28" s="8">
        <v>0.53185900082576354</v>
      </c>
      <c r="AU28" s="2">
        <f t="shared" si="8"/>
        <v>6.4038513615362322E-2</v>
      </c>
      <c r="AV28" s="3">
        <v>5.7191541747047769E-2</v>
      </c>
      <c r="AW28" s="5">
        <v>1008.1716171617161</v>
      </c>
      <c r="AX28" s="4">
        <v>1730</v>
      </c>
      <c r="AY28" s="8">
        <v>0.58275816020908444</v>
      </c>
      <c r="AZ28" s="2">
        <f t="shared" si="9"/>
        <v>5.7191541747047769E-2</v>
      </c>
      <c r="BA28" s="3">
        <v>6.4835835082772436E-2</v>
      </c>
      <c r="BB28" s="5">
        <v>871.84026258205688</v>
      </c>
      <c r="BC28" s="4">
        <v>1696</v>
      </c>
      <c r="BD28" s="8">
        <v>0.51405675859791089</v>
      </c>
      <c r="BE28" s="2">
        <f t="shared" si="10"/>
        <v>6.4835835082772436E-2</v>
      </c>
      <c r="BF28" s="3">
        <v>6.6431878229907926E-2</v>
      </c>
      <c r="BG28" s="5">
        <v>993.77189109639448</v>
      </c>
      <c r="BH28" s="4">
        <v>1730</v>
      </c>
      <c r="BI28" s="8">
        <v>0.57443461913086391</v>
      </c>
      <c r="BJ28" s="2">
        <f t="shared" si="11"/>
        <v>6.6431878229907926E-2</v>
      </c>
      <c r="BK28" s="3">
        <v>3.3725972754913611E-2</v>
      </c>
      <c r="BL28" s="5">
        <v>676.58057395143487</v>
      </c>
      <c r="BM28" s="4">
        <v>1696</v>
      </c>
      <c r="BN28" s="8">
        <v>0.39892722520721396</v>
      </c>
      <c r="BO28" s="2">
        <f t="shared" si="12"/>
        <v>3.3725972754913611E-2</v>
      </c>
      <c r="BP28" s="3">
        <v>5.144107643015268E-2</v>
      </c>
      <c r="BQ28" s="5">
        <v>1039.5997056659312</v>
      </c>
      <c r="BR28" s="4">
        <v>1964</v>
      </c>
      <c r="BS28" s="8">
        <v>0.52932775237572871</v>
      </c>
      <c r="BT28" s="2">
        <f t="shared" si="13"/>
        <v>5.144107643015268E-2</v>
      </c>
      <c r="BU28" s="3">
        <v>6.8127718093164105E-2</v>
      </c>
      <c r="BV28" s="5">
        <v>1032.6181818181822</v>
      </c>
      <c r="BW28" s="4">
        <v>1964</v>
      </c>
      <c r="BX28" s="8">
        <v>0.52577300499907442</v>
      </c>
      <c r="BY28" s="2">
        <f t="shared" si="14"/>
        <v>6.8127718093164105E-2</v>
      </c>
      <c r="BZ28" s="3">
        <v>4.0817146876839246E-2</v>
      </c>
      <c r="CA28" s="5">
        <v>560.90980392156837</v>
      </c>
      <c r="CB28" s="4">
        <v>1644</v>
      </c>
      <c r="CC28" s="8">
        <v>0.3411860121177423</v>
      </c>
      <c r="CD28" s="2">
        <f t="shared" si="15"/>
        <v>4.0817146876839246E-2</v>
      </c>
      <c r="CE28" s="3">
        <v>8.7768656363550662E-2</v>
      </c>
      <c r="CF28" s="5">
        <v>1110.1898454746138</v>
      </c>
      <c r="CG28" s="4">
        <v>1871</v>
      </c>
      <c r="CH28" s="8">
        <v>0.59336710073469467</v>
      </c>
      <c r="CI28" s="2">
        <f t="shared" si="16"/>
        <v>8.7768656363550662E-2</v>
      </c>
      <c r="CJ28" s="3">
        <v>7.0156530372339709E-2</v>
      </c>
      <c r="CK28" s="5">
        <v>888.88741721854308</v>
      </c>
      <c r="CL28" s="4">
        <v>1696</v>
      </c>
      <c r="CM28" s="8">
        <v>0.52410814694489571</v>
      </c>
      <c r="CN28" s="2">
        <f t="shared" si="17"/>
        <v>7.0156530372339709E-2</v>
      </c>
      <c r="CO28" s="3">
        <v>5.4661243403241681E-2</v>
      </c>
      <c r="CP28" s="5">
        <v>1166.1633554083885</v>
      </c>
      <c r="CQ28" s="4">
        <v>1871</v>
      </c>
      <c r="CR28" s="8">
        <v>0.6232834609344674</v>
      </c>
      <c r="CS28" s="2">
        <f t="shared" si="18"/>
        <v>5.4661243403241681E-2</v>
      </c>
      <c r="CT28" s="3">
        <v>4.5877059789216537E-2</v>
      </c>
      <c r="CU28" s="5">
        <v>773.88988095238153</v>
      </c>
      <c r="CV28" s="4">
        <v>1730</v>
      </c>
      <c r="CW28" s="8">
        <v>0.44733519130195465</v>
      </c>
      <c r="CX28" s="2">
        <f t="shared" si="19"/>
        <v>4.5877059789216537E-2</v>
      </c>
      <c r="CY28" s="3">
        <v>0.12749227274584113</v>
      </c>
      <c r="CZ28" s="5">
        <v>638.30463576158922</v>
      </c>
      <c r="DA28" s="4">
        <v>1730</v>
      </c>
      <c r="DB28" s="8">
        <v>0.36896221720323075</v>
      </c>
      <c r="DC28" s="2">
        <f t="shared" si="20"/>
        <v>0.12749227274584113</v>
      </c>
      <c r="DD28" s="3"/>
      <c r="DE28" s="5"/>
      <c r="DF28" s="4"/>
      <c r="DG28" s="8"/>
      <c r="DH28" s="2"/>
    </row>
    <row r="29" spans="2:112" x14ac:dyDescent="0.25">
      <c r="B29" s="1">
        <v>0.83333333333333304</v>
      </c>
      <c r="C29" s="3">
        <v>3.9806091959880788E-2</v>
      </c>
      <c r="D29" s="5">
        <v>852.01336302895322</v>
      </c>
      <c r="E29" s="4">
        <v>1696</v>
      </c>
      <c r="F29" s="8">
        <v>0.50236636971046766</v>
      </c>
      <c r="G29" s="2">
        <f t="shared" si="0"/>
        <v>3.9806091959880788E-2</v>
      </c>
      <c r="H29" s="3">
        <v>2.6578698452773598E-2</v>
      </c>
      <c r="I29" s="5">
        <v>788.92650334075722</v>
      </c>
      <c r="J29" s="4">
        <v>1871</v>
      </c>
      <c r="K29" s="8">
        <v>0.42166034384861423</v>
      </c>
      <c r="L29" s="2">
        <f t="shared" si="1"/>
        <v>2.6578698452773598E-2</v>
      </c>
      <c r="M29" s="3">
        <v>2.6980439202464613E-2</v>
      </c>
      <c r="N29" s="5">
        <v>1426.0932754880694</v>
      </c>
      <c r="O29" s="4">
        <v>1871</v>
      </c>
      <c r="P29" s="8">
        <v>0.76220912639661642</v>
      </c>
      <c r="Q29" s="2">
        <f t="shared" si="2"/>
        <v>2.6980439202464613E-2</v>
      </c>
      <c r="R29" s="3">
        <v>3.7058550053172934E-2</v>
      </c>
      <c r="S29" s="5">
        <v>694.71492204899778</v>
      </c>
      <c r="T29" s="4">
        <v>1696</v>
      </c>
      <c r="U29" s="8">
        <v>0.40961964743455059</v>
      </c>
      <c r="V29" s="2">
        <f t="shared" si="3"/>
        <v>3.7058550053172934E-2</v>
      </c>
      <c r="W29" s="3">
        <v>2.7823548305388031E-2</v>
      </c>
      <c r="X29" s="5">
        <v>691.42984409799556</v>
      </c>
      <c r="Y29" s="4">
        <v>1696</v>
      </c>
      <c r="Z29" s="8">
        <v>0.40768269109551625</v>
      </c>
      <c r="AA29" s="2">
        <f t="shared" si="4"/>
        <v>2.7823548305388031E-2</v>
      </c>
      <c r="AB29" s="3">
        <v>2.7582641486482193E-2</v>
      </c>
      <c r="AC29" s="5">
        <v>1063.2004454342984</v>
      </c>
      <c r="AD29" s="4">
        <v>1871</v>
      </c>
      <c r="AE29" s="8">
        <v>0.56825250958540807</v>
      </c>
      <c r="AF29" s="2">
        <f t="shared" si="5"/>
        <v>2.7582641486482193E-2</v>
      </c>
      <c r="AG29" s="3">
        <v>1.8238226829268601E-2</v>
      </c>
      <c r="AH29" s="5">
        <v>769.11011904761926</v>
      </c>
      <c r="AI29" s="4">
        <v>1730</v>
      </c>
      <c r="AJ29" s="8">
        <v>0.44457232314891287</v>
      </c>
      <c r="AK29" s="2">
        <f t="shared" si="6"/>
        <v>1.8238226829268601E-2</v>
      </c>
      <c r="AL29" s="3">
        <v>4.0056621983287501E-2</v>
      </c>
      <c r="AM29" s="5">
        <v>758.20712694877511</v>
      </c>
      <c r="AN29" s="4">
        <v>1696</v>
      </c>
      <c r="AO29" s="8">
        <v>0.44705608900281552</v>
      </c>
      <c r="AP29" s="2">
        <f t="shared" si="7"/>
        <v>4.0056621983287501E-2</v>
      </c>
      <c r="AQ29" s="3">
        <v>5.9716470515998335E-2</v>
      </c>
      <c r="AR29" s="5">
        <v>758.79579579579604</v>
      </c>
      <c r="AS29" s="4">
        <v>1730</v>
      </c>
      <c r="AT29" s="8">
        <v>0.43861028658716533</v>
      </c>
      <c r="AU29" s="2">
        <f t="shared" si="8"/>
        <v>5.9716470515998335E-2</v>
      </c>
      <c r="AV29" s="3">
        <v>4.6622383757362988E-2</v>
      </c>
      <c r="AW29" s="5">
        <v>846.9174917491747</v>
      </c>
      <c r="AX29" s="4">
        <v>1730</v>
      </c>
      <c r="AY29" s="8">
        <v>0.48954768309200852</v>
      </c>
      <c r="AZ29" s="2">
        <f t="shared" si="9"/>
        <v>4.6622383757362988E-2</v>
      </c>
      <c r="BA29" s="3">
        <v>3.2842960287189714E-2</v>
      </c>
      <c r="BB29" s="5">
        <v>726.84326710816777</v>
      </c>
      <c r="BC29" s="4">
        <v>1696</v>
      </c>
      <c r="BD29" s="8">
        <v>0.42856324711566496</v>
      </c>
      <c r="BE29" s="2">
        <f t="shared" si="10"/>
        <v>3.2842960287189714E-2</v>
      </c>
      <c r="BF29" s="3">
        <v>3.0070029423486539E-2</v>
      </c>
      <c r="BG29" s="5">
        <v>821.24127691165575</v>
      </c>
      <c r="BH29" s="4">
        <v>1730</v>
      </c>
      <c r="BI29" s="8">
        <v>0.47470594041136172</v>
      </c>
      <c r="BJ29" s="2">
        <f t="shared" si="11"/>
        <v>3.0070029423486539E-2</v>
      </c>
      <c r="BK29" s="3">
        <v>3.493959265139799E-2</v>
      </c>
      <c r="BL29" s="5">
        <v>550.27839643652567</v>
      </c>
      <c r="BM29" s="4">
        <v>1696</v>
      </c>
      <c r="BN29" s="8">
        <v>0.32445660167247975</v>
      </c>
      <c r="BO29" s="2">
        <f t="shared" si="12"/>
        <v>3.493959265139799E-2</v>
      </c>
      <c r="BP29" s="3">
        <v>5.1250860562262829E-2</v>
      </c>
      <c r="BQ29" s="5">
        <v>820.92650334075768</v>
      </c>
      <c r="BR29" s="4">
        <v>1964</v>
      </c>
      <c r="BS29" s="8">
        <v>0.41798701799427579</v>
      </c>
      <c r="BT29" s="2">
        <f t="shared" si="13"/>
        <v>5.1250860562262829E-2</v>
      </c>
      <c r="BU29" s="3">
        <v>2.5666241646546312E-2</v>
      </c>
      <c r="BV29" s="5">
        <v>846.79422930903547</v>
      </c>
      <c r="BW29" s="4">
        <v>1964</v>
      </c>
      <c r="BX29" s="8">
        <v>0.43115795789665756</v>
      </c>
      <c r="BY29" s="2">
        <f t="shared" si="14"/>
        <v>2.5666241646546312E-2</v>
      </c>
      <c r="BZ29" s="3">
        <v>2.8726925188750047E-2</v>
      </c>
      <c r="CA29" s="5">
        <v>457.14782608695629</v>
      </c>
      <c r="CB29" s="4">
        <v>1644</v>
      </c>
      <c r="CC29" s="8">
        <v>0.27807045382418266</v>
      </c>
      <c r="CD29" s="2">
        <f t="shared" si="15"/>
        <v>2.8726925188750047E-2</v>
      </c>
      <c r="CE29" s="3">
        <v>9.0441195072357719E-2</v>
      </c>
      <c r="CF29" s="5">
        <v>898.37193763919822</v>
      </c>
      <c r="CG29" s="4">
        <v>1871</v>
      </c>
      <c r="CH29" s="8">
        <v>0.48015603294452069</v>
      </c>
      <c r="CI29" s="2">
        <f t="shared" si="16"/>
        <v>9.0441195072357719E-2</v>
      </c>
      <c r="CJ29" s="3">
        <v>2.5888068751300501E-2</v>
      </c>
      <c r="CK29" s="5">
        <v>724.59020044543433</v>
      </c>
      <c r="CL29" s="4">
        <v>1696</v>
      </c>
      <c r="CM29" s="8">
        <v>0.42723478799848724</v>
      </c>
      <c r="CN29" s="2">
        <f t="shared" si="17"/>
        <v>2.5888068751300501E-2</v>
      </c>
      <c r="CO29" s="3">
        <v>2.9174408615651914E-2</v>
      </c>
      <c r="CP29" s="5">
        <v>966.66369710467711</v>
      </c>
      <c r="CQ29" s="4">
        <v>1871</v>
      </c>
      <c r="CR29" s="8">
        <v>0.51665617162195465</v>
      </c>
      <c r="CS29" s="2">
        <f t="shared" si="18"/>
        <v>2.9174408615651914E-2</v>
      </c>
      <c r="CT29" s="3">
        <v>2.2236074946918125E-2</v>
      </c>
      <c r="CU29" s="5">
        <v>628.44444444444446</v>
      </c>
      <c r="CV29" s="4">
        <v>1730</v>
      </c>
      <c r="CW29" s="8">
        <v>0.36326268464996792</v>
      </c>
      <c r="CX29" s="2">
        <f t="shared" si="19"/>
        <v>2.2236074946918125E-2</v>
      </c>
      <c r="CY29" s="3">
        <v>0.13077860875303748</v>
      </c>
      <c r="CZ29" s="5">
        <v>525.06310319227953</v>
      </c>
      <c r="DA29" s="4">
        <v>1730</v>
      </c>
      <c r="DB29" s="8">
        <v>0.30350468392617314</v>
      </c>
      <c r="DC29" s="2">
        <f t="shared" si="20"/>
        <v>0.13077860875303748</v>
      </c>
      <c r="DD29" s="3"/>
      <c r="DE29" s="5"/>
      <c r="DF29" s="4"/>
      <c r="DG29" s="8"/>
      <c r="DH29" s="2"/>
    </row>
    <row r="30" spans="2:112" x14ac:dyDescent="0.25">
      <c r="B30" s="1">
        <v>0.875</v>
      </c>
      <c r="C30" s="3">
        <v>3.6407229618007964E-2</v>
      </c>
      <c r="D30" s="5">
        <v>831.53964757709252</v>
      </c>
      <c r="E30" s="4">
        <v>1696</v>
      </c>
      <c r="F30" s="8">
        <v>0.4902946035242291</v>
      </c>
      <c r="G30" s="2">
        <f t="shared" si="0"/>
        <v>3.6407229618007964E-2</v>
      </c>
      <c r="H30" s="3">
        <v>3.0961087276040019E-2</v>
      </c>
      <c r="I30" s="5">
        <v>727.03083700440527</v>
      </c>
      <c r="J30" s="4">
        <v>1871</v>
      </c>
      <c r="K30" s="8">
        <v>0.38857874773084194</v>
      </c>
      <c r="L30" s="2">
        <f t="shared" si="1"/>
        <v>3.0961087276040019E-2</v>
      </c>
      <c r="M30" s="3">
        <v>1.7933899549305611E-2</v>
      </c>
      <c r="N30" s="5">
        <v>1305.3218884120172</v>
      </c>
      <c r="O30" s="4">
        <v>1871</v>
      </c>
      <c r="P30" s="8">
        <v>0.69766001518547149</v>
      </c>
      <c r="Q30" s="2">
        <f t="shared" si="2"/>
        <v>1.7933899549305611E-2</v>
      </c>
      <c r="R30" s="3">
        <v>3.1722633599996344E-2</v>
      </c>
      <c r="S30" s="5">
        <v>637.76211453744497</v>
      </c>
      <c r="T30" s="4">
        <v>1696</v>
      </c>
      <c r="U30" s="8">
        <v>0.37603898262821051</v>
      </c>
      <c r="V30" s="2">
        <f t="shared" si="3"/>
        <v>3.1722633599996344E-2</v>
      </c>
      <c r="W30" s="3">
        <v>1.7077209117317055E-2</v>
      </c>
      <c r="X30" s="5">
        <v>581.21806167400882</v>
      </c>
      <c r="Y30" s="4">
        <v>1696</v>
      </c>
      <c r="Z30" s="8">
        <v>0.3426993288172222</v>
      </c>
      <c r="AA30" s="2">
        <f t="shared" si="4"/>
        <v>1.7077209117317055E-2</v>
      </c>
      <c r="AB30" s="3">
        <v>3.0899264978546809E-2</v>
      </c>
      <c r="AC30" s="5">
        <v>965.49339207048456</v>
      </c>
      <c r="AD30" s="4">
        <v>1871</v>
      </c>
      <c r="AE30" s="8">
        <v>0.51603067454328411</v>
      </c>
      <c r="AF30" s="2">
        <f t="shared" si="5"/>
        <v>3.0899264978546809E-2</v>
      </c>
      <c r="AG30" s="3">
        <v>1.9564054731901728E-2</v>
      </c>
      <c r="AH30" s="5">
        <v>707.88068605518345</v>
      </c>
      <c r="AI30" s="4">
        <v>1730</v>
      </c>
      <c r="AJ30" s="8">
        <v>0.40917958731513493</v>
      </c>
      <c r="AK30" s="2">
        <f t="shared" si="6"/>
        <v>1.9564054731901728E-2</v>
      </c>
      <c r="AL30" s="3">
        <v>7.9574040262150023E-2</v>
      </c>
      <c r="AM30" s="5">
        <v>709.1832229580574</v>
      </c>
      <c r="AN30" s="4">
        <v>1696</v>
      </c>
      <c r="AO30" s="8">
        <v>0.41815048523470366</v>
      </c>
      <c r="AP30" s="2">
        <f t="shared" si="7"/>
        <v>7.9574040262150023E-2</v>
      </c>
      <c r="AQ30" s="3">
        <v>3.4355517825398682E-2</v>
      </c>
      <c r="AR30" s="5">
        <v>658.34762979683978</v>
      </c>
      <c r="AS30" s="4">
        <v>1730</v>
      </c>
      <c r="AT30" s="8">
        <v>0.38054776288834669</v>
      </c>
      <c r="AU30" s="2">
        <f t="shared" si="8"/>
        <v>3.4355517825398682E-2</v>
      </c>
      <c r="AV30" s="3">
        <v>2.5665177137183293E-2</v>
      </c>
      <c r="AW30" s="5">
        <v>772.44224422442232</v>
      </c>
      <c r="AX30" s="4">
        <v>1730</v>
      </c>
      <c r="AY30" s="8">
        <v>0.44649840706614008</v>
      </c>
      <c r="AZ30" s="2">
        <f t="shared" si="9"/>
        <v>2.5665177137183293E-2</v>
      </c>
      <c r="BA30" s="3">
        <v>6.6439532581303098E-2</v>
      </c>
      <c r="BB30" s="5">
        <v>662.58901098901094</v>
      </c>
      <c r="BC30" s="4">
        <v>1696</v>
      </c>
      <c r="BD30" s="8">
        <v>0.39067748289446402</v>
      </c>
      <c r="BE30" s="2">
        <f t="shared" si="10"/>
        <v>6.6439532581303098E-2</v>
      </c>
      <c r="BF30" s="3">
        <v>3.4694611785296148E-2</v>
      </c>
      <c r="BG30" s="5">
        <v>707.43024963289236</v>
      </c>
      <c r="BH30" s="4">
        <v>1730</v>
      </c>
      <c r="BI30" s="8">
        <v>0.40891921944097825</v>
      </c>
      <c r="BJ30" s="2">
        <f t="shared" si="11"/>
        <v>3.4694611785296148E-2</v>
      </c>
      <c r="BK30" s="3">
        <v>5.9353967822408399E-2</v>
      </c>
      <c r="BL30" s="5">
        <v>460.85809312638582</v>
      </c>
      <c r="BM30" s="4">
        <v>1696</v>
      </c>
      <c r="BN30" s="8">
        <v>0.27173236623018032</v>
      </c>
      <c r="BO30" s="2">
        <f t="shared" si="12"/>
        <v>5.9353967822408399E-2</v>
      </c>
      <c r="BP30" s="3">
        <v>5.3488245999754623E-2</v>
      </c>
      <c r="BQ30" s="5">
        <v>695.43318649045443</v>
      </c>
      <c r="BR30" s="4">
        <v>1964</v>
      </c>
      <c r="BS30" s="8">
        <v>0.35409021715399919</v>
      </c>
      <c r="BT30" s="2">
        <f t="shared" si="13"/>
        <v>5.3488245999754623E-2</v>
      </c>
      <c r="BU30" s="3">
        <v>6.4509278529469805E-2</v>
      </c>
      <c r="BV30" s="5">
        <v>741.16932422171521</v>
      </c>
      <c r="BW30" s="4">
        <v>1964</v>
      </c>
      <c r="BX30" s="8">
        <v>0.37737745632470227</v>
      </c>
      <c r="BY30" s="2">
        <f t="shared" si="14"/>
        <v>6.4509278529469805E-2</v>
      </c>
      <c r="BZ30" s="3">
        <v>8.0342683792537298E-2</v>
      </c>
      <c r="CA30" s="5">
        <v>388.16724137931038</v>
      </c>
      <c r="CB30" s="4">
        <v>1644</v>
      </c>
      <c r="CC30" s="8">
        <v>0.23611146069301117</v>
      </c>
      <c r="CD30" s="2">
        <f t="shared" si="15"/>
        <v>8.0342683792537298E-2</v>
      </c>
      <c r="CE30" s="3">
        <v>0.12625972095527083</v>
      </c>
      <c r="CF30" s="5">
        <v>801.25607064017663</v>
      </c>
      <c r="CG30" s="4">
        <v>1871</v>
      </c>
      <c r="CH30" s="8">
        <v>0.42825017137369142</v>
      </c>
      <c r="CI30" s="2">
        <f t="shared" si="16"/>
        <v>0.12625972095527083</v>
      </c>
      <c r="CJ30" s="3">
        <v>2.8337334636985959E-2</v>
      </c>
      <c r="CK30" s="5">
        <v>642.8039647577092</v>
      </c>
      <c r="CL30" s="4">
        <v>1696</v>
      </c>
      <c r="CM30" s="8">
        <v>0.37901177167317757</v>
      </c>
      <c r="CN30" s="2">
        <f t="shared" si="17"/>
        <v>2.8337334636985959E-2</v>
      </c>
      <c r="CO30" s="3">
        <v>2.8843851441986489E-2</v>
      </c>
      <c r="CP30" s="5">
        <v>865.56167400881054</v>
      </c>
      <c r="CQ30" s="4">
        <v>1871</v>
      </c>
      <c r="CR30" s="8">
        <v>0.46261981507686295</v>
      </c>
      <c r="CS30" s="2">
        <f t="shared" si="18"/>
        <v>2.8843851441986489E-2</v>
      </c>
      <c r="CT30" s="3">
        <v>1.6843084263383545E-2</v>
      </c>
      <c r="CU30" s="5">
        <v>556.15349887133209</v>
      </c>
      <c r="CV30" s="4">
        <v>1730</v>
      </c>
      <c r="CW30" s="8">
        <v>0.32147601090828443</v>
      </c>
      <c r="CX30" s="2">
        <f t="shared" si="19"/>
        <v>1.6843084263383545E-2</v>
      </c>
      <c r="CY30" s="3">
        <v>0.13414585064337464</v>
      </c>
      <c r="CZ30" s="5">
        <v>470.17218543046391</v>
      </c>
      <c r="DA30" s="4">
        <v>1730</v>
      </c>
      <c r="DB30" s="8">
        <v>0.27177582972859188</v>
      </c>
      <c r="DC30" s="2">
        <f t="shared" si="20"/>
        <v>0.13414585064337464</v>
      </c>
      <c r="DD30" s="3"/>
      <c r="DE30" s="5"/>
      <c r="DF30" s="4"/>
      <c r="DG30" s="8"/>
      <c r="DH30" s="2"/>
    </row>
    <row r="31" spans="2:112" x14ac:dyDescent="0.25">
      <c r="B31" s="1">
        <v>0.91666666666666696</v>
      </c>
      <c r="C31" s="3">
        <v>3.5213281334960857E-2</v>
      </c>
      <c r="D31" s="5">
        <v>594.02672605790644</v>
      </c>
      <c r="E31" s="4">
        <v>1696</v>
      </c>
      <c r="F31" s="8">
        <v>0.35025160734546368</v>
      </c>
      <c r="G31" s="2">
        <f t="shared" si="0"/>
        <v>3.5213281334960857E-2</v>
      </c>
      <c r="H31" s="3">
        <v>2.6492174059671282E-2</v>
      </c>
      <c r="I31" s="5">
        <v>509.91982182628061</v>
      </c>
      <c r="J31" s="4">
        <v>1871</v>
      </c>
      <c r="K31" s="8">
        <v>0.2725386541027689</v>
      </c>
      <c r="L31" s="2">
        <f t="shared" si="1"/>
        <v>2.6492174059671282E-2</v>
      </c>
      <c r="M31" s="3">
        <v>1.4240381870702866E-2</v>
      </c>
      <c r="N31" s="5">
        <v>911.38177874186556</v>
      </c>
      <c r="O31" s="4">
        <v>1871</v>
      </c>
      <c r="P31" s="8">
        <v>0.48710944881981055</v>
      </c>
      <c r="Q31" s="2">
        <f t="shared" si="2"/>
        <v>1.4240381870702866E-2</v>
      </c>
      <c r="R31" s="3">
        <v>3.9175806376972704E-2</v>
      </c>
      <c r="S31" s="5">
        <v>462.07126948775056</v>
      </c>
      <c r="T31" s="4">
        <v>1696</v>
      </c>
      <c r="U31" s="8">
        <v>0.272447682480985</v>
      </c>
      <c r="V31" s="2">
        <f t="shared" si="3"/>
        <v>3.9175806376972704E-2</v>
      </c>
      <c r="W31" s="3">
        <v>2.2359437987128791E-2</v>
      </c>
      <c r="X31" s="5">
        <v>414.48106904231628</v>
      </c>
      <c r="Y31" s="4">
        <v>1696</v>
      </c>
      <c r="Z31" s="8">
        <v>0.24438742278438461</v>
      </c>
      <c r="AA31" s="2">
        <f t="shared" si="4"/>
        <v>2.2359437987128791E-2</v>
      </c>
      <c r="AB31" s="3">
        <v>3.4028170322820211E-2</v>
      </c>
      <c r="AC31" s="5">
        <v>670.24498886414256</v>
      </c>
      <c r="AD31" s="4">
        <v>1871</v>
      </c>
      <c r="AE31" s="8">
        <v>0.35822821425127876</v>
      </c>
      <c r="AF31" s="2">
        <f t="shared" si="5"/>
        <v>3.4028170322820211E-2</v>
      </c>
      <c r="AG31" s="3">
        <v>1.8892454684406857E-2</v>
      </c>
      <c r="AH31" s="5">
        <v>530.26099925428753</v>
      </c>
      <c r="AI31" s="4">
        <v>1730</v>
      </c>
      <c r="AJ31" s="8">
        <v>0.3065092481238656</v>
      </c>
      <c r="AK31" s="2">
        <f t="shared" si="6"/>
        <v>1.8892454684406857E-2</v>
      </c>
      <c r="AL31" s="3">
        <v>8.861365472770133E-2</v>
      </c>
      <c r="AM31" s="5">
        <v>499.24663677130047</v>
      </c>
      <c r="AN31" s="4">
        <v>1696</v>
      </c>
      <c r="AO31" s="8">
        <v>0.29436712073779508</v>
      </c>
      <c r="AP31" s="2">
        <f t="shared" si="7"/>
        <v>8.861365472770133E-2</v>
      </c>
      <c r="AQ31" s="3">
        <v>2.4187673443582219E-2</v>
      </c>
      <c r="AR31" s="5">
        <v>486.24830699774293</v>
      </c>
      <c r="AS31" s="4">
        <v>1730</v>
      </c>
      <c r="AT31" s="8">
        <v>0.28106838554782826</v>
      </c>
      <c r="AU31" s="2">
        <f t="shared" si="8"/>
        <v>2.4187673443582219E-2</v>
      </c>
      <c r="AV31" s="3">
        <v>2.0389081367873121E-2</v>
      </c>
      <c r="AW31" s="5">
        <v>583.7816377171215</v>
      </c>
      <c r="AX31" s="4">
        <v>1730</v>
      </c>
      <c r="AY31" s="8">
        <v>0.33744603336249795</v>
      </c>
      <c r="AZ31" s="2">
        <f t="shared" si="9"/>
        <v>2.0389081367873121E-2</v>
      </c>
      <c r="BA31" s="3">
        <v>7.4071346244294775E-2</v>
      </c>
      <c r="BB31" s="5">
        <v>459.44766146993317</v>
      </c>
      <c r="BC31" s="4">
        <v>1696</v>
      </c>
      <c r="BD31" s="8">
        <v>0.27090074379123419</v>
      </c>
      <c r="BE31" s="2">
        <f t="shared" si="10"/>
        <v>7.4071346244294775E-2</v>
      </c>
      <c r="BF31" s="3">
        <v>2.9735264745267321E-2</v>
      </c>
      <c r="BG31" s="5">
        <v>515.46844840386018</v>
      </c>
      <c r="BH31" s="4">
        <v>1730</v>
      </c>
      <c r="BI31" s="8">
        <v>0.29795864069587291</v>
      </c>
      <c r="BJ31" s="2">
        <f t="shared" si="11"/>
        <v>2.9735264745267321E-2</v>
      </c>
      <c r="BK31" s="3">
        <v>8.2514844677636215E-2</v>
      </c>
      <c r="BL31" s="5">
        <v>322.40674157303368</v>
      </c>
      <c r="BM31" s="4">
        <v>1696</v>
      </c>
      <c r="BN31" s="8">
        <v>0.19009831460674156</v>
      </c>
      <c r="BO31" s="2">
        <f t="shared" si="12"/>
        <v>8.2514844677636215E-2</v>
      </c>
      <c r="BP31" s="3">
        <v>4.7770402071974832E-2</v>
      </c>
      <c r="BQ31" s="5">
        <v>490.72011878248014</v>
      </c>
      <c r="BR31" s="4">
        <v>1964</v>
      </c>
      <c r="BS31" s="8">
        <v>0.24985749428843185</v>
      </c>
      <c r="BT31" s="2">
        <f t="shared" si="13"/>
        <v>4.7770402071974832E-2</v>
      </c>
      <c r="BU31" s="3">
        <v>9.8862365101372446E-2</v>
      </c>
      <c r="BV31" s="5">
        <v>584.25934401220525</v>
      </c>
      <c r="BW31" s="4">
        <v>1964</v>
      </c>
      <c r="BX31" s="8">
        <v>0.29748439104491103</v>
      </c>
      <c r="BY31" s="2">
        <f t="shared" si="14"/>
        <v>9.8862365101372446E-2</v>
      </c>
      <c r="BZ31" s="3">
        <v>9.4496016113266523E-2</v>
      </c>
      <c r="CA31" s="5">
        <v>286.91353711790356</v>
      </c>
      <c r="CB31" s="4">
        <v>1644</v>
      </c>
      <c r="CC31" s="8">
        <v>0.17452161625176615</v>
      </c>
      <c r="CD31" s="2">
        <f t="shared" si="15"/>
        <v>9.4496016113266523E-2</v>
      </c>
      <c r="CE31" s="3">
        <v>0.12808594153496528</v>
      </c>
      <c r="CF31" s="5">
        <v>570.73273942093545</v>
      </c>
      <c r="CG31" s="4">
        <v>1871</v>
      </c>
      <c r="CH31" s="8">
        <v>0.30504154966378166</v>
      </c>
      <c r="CI31" s="2">
        <f t="shared" si="16"/>
        <v>0.12808594153496528</v>
      </c>
      <c r="CJ31" s="3">
        <v>1.9224634788531654E-2</v>
      </c>
      <c r="CK31" s="5">
        <v>470.46993318485522</v>
      </c>
      <c r="CL31" s="4">
        <v>1696</v>
      </c>
      <c r="CM31" s="8">
        <v>0.27739972475522123</v>
      </c>
      <c r="CN31" s="2">
        <f t="shared" si="17"/>
        <v>1.9224634788531654E-2</v>
      </c>
      <c r="CO31" s="3">
        <v>3.20892468365825E-2</v>
      </c>
      <c r="CP31" s="5">
        <v>608.17817371937645</v>
      </c>
      <c r="CQ31" s="4">
        <v>1871</v>
      </c>
      <c r="CR31" s="8">
        <v>0.32505514362339732</v>
      </c>
      <c r="CS31" s="2">
        <f t="shared" si="18"/>
        <v>3.20892468365825E-2</v>
      </c>
      <c r="CT31" s="3">
        <v>1.2844988759465121E-2</v>
      </c>
      <c r="CU31" s="5">
        <v>438.25432656132483</v>
      </c>
      <c r="CV31" s="4">
        <v>1730</v>
      </c>
      <c r="CW31" s="8">
        <v>0.25332620032446523</v>
      </c>
      <c r="CX31" s="2">
        <f t="shared" si="19"/>
        <v>1.2844988759465121E-2</v>
      </c>
      <c r="CY31" s="3">
        <v>0.17425849050505729</v>
      </c>
      <c r="CZ31" s="5">
        <v>336.59688195991089</v>
      </c>
      <c r="DA31" s="4">
        <v>1730</v>
      </c>
      <c r="DB31" s="8">
        <v>0.19456467165312769</v>
      </c>
      <c r="DC31" s="2">
        <f t="shared" si="20"/>
        <v>0.17425849050505729</v>
      </c>
      <c r="DD31" s="3"/>
      <c r="DE31" s="5"/>
      <c r="DF31" s="4"/>
      <c r="DG31" s="8"/>
      <c r="DH31" s="2"/>
    </row>
    <row r="32" spans="2:112" x14ac:dyDescent="0.25">
      <c r="B32" s="1">
        <v>0.95833333333333304</v>
      </c>
      <c r="C32" s="3">
        <v>3.5497169513694957E-2</v>
      </c>
      <c r="D32" s="5">
        <v>365.2251655629139</v>
      </c>
      <c r="E32" s="4">
        <v>1696</v>
      </c>
      <c r="F32" s="8">
        <v>0.21534502686492565</v>
      </c>
      <c r="G32" s="2">
        <f t="shared" si="0"/>
        <v>3.5497169513694957E-2</v>
      </c>
      <c r="H32" s="3">
        <v>2.0522702866878895E-2</v>
      </c>
      <c r="I32" s="5">
        <v>294.61589403973511</v>
      </c>
      <c r="J32" s="4">
        <v>1871</v>
      </c>
      <c r="K32" s="8">
        <v>0.15746440087639504</v>
      </c>
      <c r="L32" s="2">
        <f t="shared" si="1"/>
        <v>2.0522702866878895E-2</v>
      </c>
      <c r="M32" s="3">
        <v>1.4398587283334376E-2</v>
      </c>
      <c r="N32" s="5">
        <v>546.73118279569894</v>
      </c>
      <c r="O32" s="4">
        <v>1871</v>
      </c>
      <c r="P32" s="8">
        <v>0.29221335264334525</v>
      </c>
      <c r="Q32" s="2">
        <f t="shared" si="2"/>
        <v>1.4398587283334376E-2</v>
      </c>
      <c r="R32" s="3">
        <v>3.0685224765700382E-2</v>
      </c>
      <c r="S32" s="5">
        <v>269.6754966887417</v>
      </c>
      <c r="T32" s="4">
        <v>1696</v>
      </c>
      <c r="U32" s="8">
        <v>0.15900677870798449</v>
      </c>
      <c r="V32" s="2">
        <f t="shared" si="3"/>
        <v>3.0685224765700382E-2</v>
      </c>
      <c r="W32" s="3">
        <v>2.1584183219854176E-2</v>
      </c>
      <c r="X32" s="5">
        <v>243.69315673289182</v>
      </c>
      <c r="Y32" s="4">
        <v>1696</v>
      </c>
      <c r="Z32" s="8">
        <v>0.14368700279062019</v>
      </c>
      <c r="AA32" s="2">
        <f t="shared" si="4"/>
        <v>2.1584183219854176E-2</v>
      </c>
      <c r="AB32" s="3">
        <v>3.1668778734839767E-2</v>
      </c>
      <c r="AC32" s="5">
        <v>387.35761589403972</v>
      </c>
      <c r="AD32" s="4">
        <v>1871</v>
      </c>
      <c r="AE32" s="8">
        <v>0.20703239759168343</v>
      </c>
      <c r="AF32" s="2">
        <f t="shared" si="5"/>
        <v>3.1668778734839767E-2</v>
      </c>
      <c r="AG32" s="3">
        <v>1.254078755110781E-2</v>
      </c>
      <c r="AH32" s="5">
        <v>321.4491462509277</v>
      </c>
      <c r="AI32" s="4">
        <v>1730</v>
      </c>
      <c r="AJ32" s="8">
        <v>0.18580875505833971</v>
      </c>
      <c r="AK32" s="2">
        <f t="shared" si="6"/>
        <v>1.254078755110781E-2</v>
      </c>
      <c r="AL32" s="3">
        <v>7.3838193693588391E-2</v>
      </c>
      <c r="AM32" s="5">
        <v>302.28859060402687</v>
      </c>
      <c r="AN32" s="4">
        <v>1696</v>
      </c>
      <c r="AO32" s="8">
        <v>0.17823619729011017</v>
      </c>
      <c r="AP32" s="2">
        <f t="shared" si="7"/>
        <v>7.3838193693588391E-2</v>
      </c>
      <c r="AQ32" s="3">
        <v>1.5504479364748826E-2</v>
      </c>
      <c r="AR32" s="5">
        <v>314.87340823970067</v>
      </c>
      <c r="AS32" s="4">
        <v>1730</v>
      </c>
      <c r="AT32" s="8">
        <v>0.18200775042757264</v>
      </c>
      <c r="AU32" s="2">
        <f t="shared" si="8"/>
        <v>1.5504479364748826E-2</v>
      </c>
      <c r="AV32" s="3">
        <v>1.8916672689166695E-2</v>
      </c>
      <c r="AW32" s="5">
        <v>376.56053067993366</v>
      </c>
      <c r="AX32" s="4">
        <v>1730</v>
      </c>
      <c r="AY32" s="8">
        <v>0.2176650466357998</v>
      </c>
      <c r="AZ32" s="2">
        <f t="shared" si="9"/>
        <v>1.8916672689166695E-2</v>
      </c>
      <c r="BA32" s="3">
        <v>8.4243676931804456E-2</v>
      </c>
      <c r="BB32" s="5">
        <v>276.7328918322296</v>
      </c>
      <c r="BC32" s="4">
        <v>1696</v>
      </c>
      <c r="BD32" s="8">
        <v>0.16316797867466368</v>
      </c>
      <c r="BE32" s="2">
        <f t="shared" si="10"/>
        <v>8.4243676931804456E-2</v>
      </c>
      <c r="BF32" s="3">
        <v>4.4788817023749601E-2</v>
      </c>
      <c r="BG32" s="5">
        <v>329.93083149374564</v>
      </c>
      <c r="BH32" s="4">
        <v>1730</v>
      </c>
      <c r="BI32" s="8">
        <v>0.19071146329118246</v>
      </c>
      <c r="BJ32" s="2">
        <f t="shared" si="11"/>
        <v>4.4788817023749601E-2</v>
      </c>
      <c r="BK32" s="3">
        <v>7.3533707961712255E-2</v>
      </c>
      <c r="BL32" s="5">
        <v>177.875</v>
      </c>
      <c r="BM32" s="4">
        <v>1696</v>
      </c>
      <c r="BN32" s="8">
        <v>0.10487912735849056</v>
      </c>
      <c r="BO32" s="2">
        <f t="shared" si="12"/>
        <v>7.3533707961712255E-2</v>
      </c>
      <c r="BP32" s="3">
        <v>3.5706835447034041E-2</v>
      </c>
      <c r="BQ32" s="5">
        <v>286.16629874908017</v>
      </c>
      <c r="BR32" s="4">
        <v>1964</v>
      </c>
      <c r="BS32" s="8">
        <v>0.14570585476022413</v>
      </c>
      <c r="BT32" s="2">
        <f t="shared" si="13"/>
        <v>3.5706835447034041E-2</v>
      </c>
      <c r="BU32" s="3">
        <v>9.445756165467914E-2</v>
      </c>
      <c r="BV32" s="5">
        <v>339.5504234026173</v>
      </c>
      <c r="BW32" s="4">
        <v>1964</v>
      </c>
      <c r="BX32" s="8">
        <v>0.17288718095856279</v>
      </c>
      <c r="BY32" s="2">
        <f t="shared" si="14"/>
        <v>9.445756165467914E-2</v>
      </c>
      <c r="BZ32" s="3">
        <v>9.7509188407543704E-2</v>
      </c>
      <c r="CA32" s="5">
        <v>166.12751091703058</v>
      </c>
      <c r="CB32" s="4">
        <v>1644</v>
      </c>
      <c r="CC32" s="8">
        <v>0.10105079739478745</v>
      </c>
      <c r="CD32" s="2">
        <f t="shared" si="15"/>
        <v>9.7509188407543704E-2</v>
      </c>
      <c r="CE32" s="3">
        <v>0.12800661299807761</v>
      </c>
      <c r="CF32" s="5">
        <v>331.083885209713</v>
      </c>
      <c r="CG32" s="4">
        <v>1871</v>
      </c>
      <c r="CH32" s="8">
        <v>0.17695557734351311</v>
      </c>
      <c r="CI32" s="2">
        <f t="shared" si="16"/>
        <v>0.12800661299807761</v>
      </c>
      <c r="CJ32" s="3">
        <v>1.6665368075433278E-2</v>
      </c>
      <c r="CK32" s="5">
        <v>273.38631346578364</v>
      </c>
      <c r="CL32" s="4">
        <v>1696</v>
      </c>
      <c r="CM32" s="8">
        <v>0.1611947602982215</v>
      </c>
      <c r="CN32" s="2">
        <f t="shared" si="17"/>
        <v>1.6665368075433278E-2</v>
      </c>
      <c r="CO32" s="3">
        <v>2.4345113157592083E-2</v>
      </c>
      <c r="CP32" s="5">
        <v>342.00220750551875</v>
      </c>
      <c r="CQ32" s="4">
        <v>1871</v>
      </c>
      <c r="CR32" s="8">
        <v>0.18279113175067813</v>
      </c>
      <c r="CS32" s="2">
        <f t="shared" si="18"/>
        <v>2.4345113157592083E-2</v>
      </c>
      <c r="CT32" s="3">
        <v>1.6179653106543027E-2</v>
      </c>
      <c r="CU32" s="5">
        <v>254.60074906367041</v>
      </c>
      <c r="CV32" s="4">
        <v>1730</v>
      </c>
      <c r="CW32" s="8">
        <v>0.14716806304258406</v>
      </c>
      <c r="CX32" s="2">
        <f t="shared" si="19"/>
        <v>1.6179653106543027E-2</v>
      </c>
      <c r="CY32" s="3">
        <v>0.19287908594290198</v>
      </c>
      <c r="CZ32" s="5">
        <v>198.71376011773356</v>
      </c>
      <c r="DA32" s="4">
        <v>1730</v>
      </c>
      <c r="DB32" s="8">
        <v>0.11486344515475928</v>
      </c>
      <c r="DC32" s="2">
        <f t="shared" si="20"/>
        <v>0.19287908594290198</v>
      </c>
      <c r="DD32" s="3"/>
      <c r="DE32" s="5"/>
      <c r="DF32" s="4"/>
      <c r="DG32" s="8"/>
      <c r="DH32" s="2"/>
    </row>
    <row r="35" spans="1:3" x14ac:dyDescent="0.25">
      <c r="A35">
        <v>42.553716744913906</v>
      </c>
      <c r="B35">
        <v>0.11119069477860791</v>
      </c>
      <c r="C35">
        <v>3.0405379149268684E-2</v>
      </c>
    </row>
    <row r="36" spans="1:3" x14ac:dyDescent="0.25">
      <c r="A36">
        <v>42.553716744913906</v>
      </c>
      <c r="B36">
        <v>6.9550631719867792E-2</v>
      </c>
      <c r="C36">
        <v>3.21986295383681E-2</v>
      </c>
    </row>
    <row r="37" spans="1:3" x14ac:dyDescent="0.25">
      <c r="A37">
        <v>42.553716744913906</v>
      </c>
      <c r="B37">
        <v>4.6826637693449226E-2</v>
      </c>
      <c r="C37">
        <v>3.6207747912383056E-2</v>
      </c>
    </row>
    <row r="38" spans="1:3" x14ac:dyDescent="0.25">
      <c r="A38">
        <v>42.553716744913906</v>
      </c>
      <c r="B38">
        <v>4.2291307727864852E-2</v>
      </c>
      <c r="C38">
        <v>3.3928877124701634E-2</v>
      </c>
    </row>
    <row r="39" spans="1:3" x14ac:dyDescent="0.25">
      <c r="A39">
        <v>42.553716744913906</v>
      </c>
      <c r="B39">
        <v>6.7823675253183183E-2</v>
      </c>
      <c r="C39">
        <v>3.046235235478267E-2</v>
      </c>
    </row>
    <row r="40" spans="1:3" x14ac:dyDescent="0.25">
      <c r="A40">
        <v>42.553716744913906</v>
      </c>
      <c r="B40">
        <v>0.18282381864892183</v>
      </c>
      <c r="C40">
        <v>3.4615771047820688E-2</v>
      </c>
    </row>
    <row r="41" spans="1:3" x14ac:dyDescent="0.25">
      <c r="A41">
        <v>42.553716744913906</v>
      </c>
      <c r="B41">
        <v>0.46546402780096846</v>
      </c>
      <c r="C41">
        <v>3.6270349110342791E-2</v>
      </c>
    </row>
    <row r="42" spans="1:3" x14ac:dyDescent="0.25">
      <c r="A42">
        <v>42.553716744913906</v>
      </c>
      <c r="B42">
        <v>0.76096698113207539</v>
      </c>
      <c r="C42">
        <v>3.1756295672639816E-2</v>
      </c>
    </row>
    <row r="43" spans="1:3" x14ac:dyDescent="0.25">
      <c r="A43">
        <v>42.553716744913906</v>
      </c>
      <c r="B43">
        <v>0.84140965166908566</v>
      </c>
      <c r="C43">
        <v>4.0608171412565293E-2</v>
      </c>
    </row>
    <row r="44" spans="1:3" x14ac:dyDescent="0.25">
      <c r="A44">
        <v>42.553716744913906</v>
      </c>
      <c r="B44">
        <v>0.69061139332365751</v>
      </c>
      <c r="C44">
        <v>3.5564446009912452E-2</v>
      </c>
    </row>
    <row r="45" spans="1:3" x14ac:dyDescent="0.25">
      <c r="A45">
        <v>42.553716744913906</v>
      </c>
      <c r="B45">
        <v>0.65197589686098656</v>
      </c>
      <c r="C45">
        <v>3.4368294681872157E-2</v>
      </c>
    </row>
    <row r="46" spans="1:3" x14ac:dyDescent="0.25">
      <c r="A46">
        <v>42.553716744913906</v>
      </c>
      <c r="B46">
        <v>0.70845510809300727</v>
      </c>
      <c r="C46">
        <v>3.2641605032098356E-2</v>
      </c>
    </row>
    <row r="47" spans="1:3" x14ac:dyDescent="0.25">
      <c r="A47">
        <v>42.553716744913906</v>
      </c>
      <c r="B47">
        <v>0.74718441665224156</v>
      </c>
      <c r="C47">
        <v>3.5334195703217823E-2</v>
      </c>
    </row>
    <row r="48" spans="1:3" x14ac:dyDescent="0.25">
      <c r="A48">
        <v>42.553716744913906</v>
      </c>
      <c r="B48">
        <v>0.79611624524023439</v>
      </c>
      <c r="C48">
        <v>4.4084780481563252E-2</v>
      </c>
    </row>
    <row r="49" spans="1:10" x14ac:dyDescent="0.25">
      <c r="A49">
        <v>42.553716744913906</v>
      </c>
      <c r="B49">
        <v>0.8969587744386579</v>
      </c>
      <c r="C49">
        <v>5.194679181525004E-2</v>
      </c>
    </row>
    <row r="50" spans="1:10" x14ac:dyDescent="0.25">
      <c r="A50">
        <v>42.553716744913906</v>
      </c>
      <c r="B50">
        <v>1.0283189963780324</v>
      </c>
      <c r="C50">
        <v>0.17414250272153606</v>
      </c>
    </row>
    <row r="51" spans="1:10" x14ac:dyDescent="0.25">
      <c r="A51">
        <v>42.553716744913906</v>
      </c>
      <c r="B51">
        <v>1.0340037757001437</v>
      </c>
      <c r="C51">
        <v>0.63712639543976957</v>
      </c>
    </row>
    <row r="52" spans="1:10" x14ac:dyDescent="0.25">
      <c r="A52">
        <v>42.553716744913906</v>
      </c>
      <c r="B52">
        <v>0.87111810115534871</v>
      </c>
      <c r="C52">
        <v>1.1613671418732199</v>
      </c>
    </row>
    <row r="53" spans="1:10" x14ac:dyDescent="0.25">
      <c r="A53">
        <v>42.553716744913906</v>
      </c>
      <c r="B53">
        <v>0.7968136896810819</v>
      </c>
      <c r="C53">
        <v>0.7209149723345164</v>
      </c>
      <c r="E53">
        <v>48.51537558685451</v>
      </c>
      <c r="F53">
        <v>2.5838046183751767E-2</v>
      </c>
      <c r="G53">
        <v>2.3848377012760099E-2</v>
      </c>
      <c r="H53">
        <v>59.077887788778867</v>
      </c>
      <c r="I53">
        <v>2.6163471812763097E-2</v>
      </c>
      <c r="J53">
        <v>1.9541676960182424E-2</v>
      </c>
    </row>
    <row r="54" spans="1:10" x14ac:dyDescent="0.25">
      <c r="A54">
        <v>42.553716744913906</v>
      </c>
      <c r="B54">
        <v>0.59785639412997904</v>
      </c>
      <c r="C54">
        <v>5.8321611911950594E-2</v>
      </c>
      <c r="E54">
        <v>48.51537558685451</v>
      </c>
      <c r="F54">
        <v>2.9511088528472101E-2</v>
      </c>
      <c r="G54">
        <v>2.2363039318179526E-2</v>
      </c>
      <c r="H54">
        <v>59.290669856459331</v>
      </c>
      <c r="I54">
        <v>3.3828439686241253E-2</v>
      </c>
      <c r="J54">
        <v>5.8632389956440323E-2</v>
      </c>
    </row>
    <row r="55" spans="1:10" x14ac:dyDescent="0.25">
      <c r="A55">
        <v>42.553716744913906</v>
      </c>
      <c r="B55">
        <v>0.50236636971046766</v>
      </c>
      <c r="C55">
        <v>3.9806091959880788E-2</v>
      </c>
      <c r="E55">
        <v>51.632550860719867</v>
      </c>
      <c r="F55">
        <v>3.0188941883430687E-2</v>
      </c>
      <c r="G55">
        <v>3.6251314550630492E-2</v>
      </c>
      <c r="H55">
        <v>59.290669856459331</v>
      </c>
      <c r="I55">
        <v>3.6956325429202783E-2</v>
      </c>
      <c r="J55">
        <v>6.4393838329438235E-2</v>
      </c>
    </row>
    <row r="56" spans="1:10" x14ac:dyDescent="0.25">
      <c r="A56">
        <v>42.553716744913906</v>
      </c>
      <c r="B56">
        <v>0.4902946035242291</v>
      </c>
      <c r="C56">
        <v>3.6407229618007964E-2</v>
      </c>
      <c r="E56">
        <v>51.632550860719867</v>
      </c>
      <c r="F56">
        <v>3.3450816196735213E-2</v>
      </c>
      <c r="G56">
        <v>3.2382954236684407E-2</v>
      </c>
      <c r="H56">
        <v>56.942592592592618</v>
      </c>
      <c r="I56">
        <v>3.7220499602308756E-2</v>
      </c>
      <c r="J56">
        <v>1.6873005003569454E-2</v>
      </c>
    </row>
    <row r="57" spans="1:10" x14ac:dyDescent="0.25">
      <c r="A57">
        <v>42.553716744913906</v>
      </c>
      <c r="B57">
        <v>0.35025160734546368</v>
      </c>
      <c r="C57">
        <v>3.5213281334960857E-2</v>
      </c>
      <c r="E57">
        <v>51.921287519747246</v>
      </c>
      <c r="F57">
        <v>3.5499258002967993E-2</v>
      </c>
      <c r="G57">
        <v>2.4777357475399102E-2</v>
      </c>
      <c r="H57">
        <v>58.93384351256573</v>
      </c>
      <c r="I57">
        <v>3.8468998457719748E-2</v>
      </c>
      <c r="J57">
        <v>1.8337115918714397E-2</v>
      </c>
    </row>
    <row r="58" spans="1:10" x14ac:dyDescent="0.25">
      <c r="A58">
        <v>42.553716744913906</v>
      </c>
      <c r="B58">
        <v>0.21534502686492565</v>
      </c>
      <c r="C58">
        <v>3.5497169513694957E-2</v>
      </c>
      <c r="E58">
        <v>42.553716744913906</v>
      </c>
      <c r="F58">
        <v>4.2291307727864852E-2</v>
      </c>
      <c r="G58">
        <v>3.3928877124701634E-2</v>
      </c>
      <c r="H58">
        <v>56.942592592592618</v>
      </c>
      <c r="I58">
        <v>3.9755235130957682E-2</v>
      </c>
      <c r="J58">
        <v>1.6834760652762001E-2</v>
      </c>
    </row>
    <row r="59" spans="1:10" x14ac:dyDescent="0.25">
      <c r="A59">
        <v>48.51537558685451</v>
      </c>
      <c r="B59">
        <v>8.1651296068450882E-2</v>
      </c>
      <c r="C59">
        <v>1.8555926783103849E-2</v>
      </c>
      <c r="E59">
        <v>48.51537558685451</v>
      </c>
      <c r="F59">
        <v>4.3337590869430141E-2</v>
      </c>
      <c r="G59">
        <v>1.9766655865988258E-2</v>
      </c>
      <c r="H59">
        <v>57.46417851500788</v>
      </c>
      <c r="I59">
        <v>3.9763090947636213E-2</v>
      </c>
      <c r="J59">
        <v>8.1499939770841329E-2</v>
      </c>
    </row>
    <row r="60" spans="1:10" x14ac:dyDescent="0.25">
      <c r="A60">
        <v>48.51537558685451</v>
      </c>
      <c r="B60">
        <v>4.5125684238718877E-2</v>
      </c>
      <c r="C60">
        <v>1.6894348500084349E-2</v>
      </c>
      <c r="E60">
        <v>51.921287519747246</v>
      </c>
      <c r="F60">
        <v>4.4104824137496321E-2</v>
      </c>
      <c r="G60">
        <v>1.8428084928437755E-2</v>
      </c>
      <c r="H60">
        <v>59.077887788778867</v>
      </c>
      <c r="I60">
        <v>4.000528920624126E-2</v>
      </c>
      <c r="J60">
        <v>1.5741260377117809E-2</v>
      </c>
    </row>
    <row r="61" spans="1:10" x14ac:dyDescent="0.25">
      <c r="A61">
        <v>48.51537558685451</v>
      </c>
      <c r="B61">
        <v>2.9511088528472101E-2</v>
      </c>
      <c r="C61">
        <v>2.2363039318179526E-2</v>
      </c>
      <c r="E61">
        <v>51.921287519747246</v>
      </c>
      <c r="F61">
        <v>4.4915910136802906E-2</v>
      </c>
      <c r="G61">
        <v>1.5197469716364344E-2</v>
      </c>
      <c r="H61">
        <v>58.93384351256573</v>
      </c>
      <c r="I61">
        <v>4.1894726072944928E-2</v>
      </c>
      <c r="J61">
        <v>1.8797448114633523E-2</v>
      </c>
    </row>
    <row r="62" spans="1:10" x14ac:dyDescent="0.25">
      <c r="A62">
        <v>48.51537558685451</v>
      </c>
      <c r="B62">
        <v>2.5838046183751767E-2</v>
      </c>
      <c r="C62">
        <v>2.3848377012760099E-2</v>
      </c>
      <c r="E62">
        <v>48.51537558685451</v>
      </c>
      <c r="F62">
        <v>4.5125684238718877E-2</v>
      </c>
      <c r="G62">
        <v>1.6894348500084349E-2</v>
      </c>
      <c r="H62">
        <v>55.692059748427681</v>
      </c>
      <c r="I62">
        <v>4.3422687266018362E-2</v>
      </c>
      <c r="J62">
        <v>2.6899427340543312E-2</v>
      </c>
    </row>
    <row r="63" spans="1:10" x14ac:dyDescent="0.25">
      <c r="A63">
        <v>48.51537558685451</v>
      </c>
      <c r="B63">
        <v>4.3337590869430141E-2</v>
      </c>
      <c r="C63">
        <v>1.9766655865988258E-2</v>
      </c>
      <c r="E63">
        <v>42.553716744913906</v>
      </c>
      <c r="F63">
        <v>4.6826637693449226E-2</v>
      </c>
      <c r="G63">
        <v>3.6207747912383056E-2</v>
      </c>
      <c r="H63">
        <v>59.077887788778867</v>
      </c>
      <c r="I63">
        <v>4.4106313045449409E-2</v>
      </c>
      <c r="J63">
        <v>1.5466279076575501E-2</v>
      </c>
    </row>
    <row r="64" spans="1:10" x14ac:dyDescent="0.25">
      <c r="A64">
        <v>48.51537558685451</v>
      </c>
      <c r="B64">
        <v>0.16319696304497211</v>
      </c>
      <c r="C64">
        <v>1.4456967223692998E-2</v>
      </c>
      <c r="E64">
        <v>51.632550860719867</v>
      </c>
      <c r="F64">
        <v>4.8878272471319914E-2</v>
      </c>
      <c r="G64">
        <v>3.2602732483631491E-2</v>
      </c>
      <c r="H64">
        <v>57.46417851500788</v>
      </c>
      <c r="I64">
        <v>4.4475526694305774E-2</v>
      </c>
      <c r="J64">
        <v>9.0407561698688368E-2</v>
      </c>
    </row>
    <row r="65" spans="1:14" x14ac:dyDescent="0.25">
      <c r="A65">
        <v>48.51537558685451</v>
      </c>
      <c r="B65">
        <v>0.36360637205980428</v>
      </c>
      <c r="C65">
        <v>1.9432056999333095E-2</v>
      </c>
      <c r="E65">
        <v>51.632550860719867</v>
      </c>
      <c r="F65">
        <v>4.9453781952056228E-2</v>
      </c>
      <c r="G65">
        <v>2.7774158872137938E-2</v>
      </c>
      <c r="H65">
        <v>55.692059748427681</v>
      </c>
      <c r="I65">
        <v>4.4725555572749702E-2</v>
      </c>
      <c r="J65">
        <v>2.1665884710692914E-2</v>
      </c>
    </row>
    <row r="66" spans="1:14" x14ac:dyDescent="0.25">
      <c r="A66">
        <v>48.51537558685451</v>
      </c>
      <c r="B66">
        <v>0.54419383573846425</v>
      </c>
      <c r="C66">
        <v>2.9625422414486225E-2</v>
      </c>
      <c r="E66">
        <v>49.226236263736283</v>
      </c>
      <c r="F66">
        <v>6.4153162846386697E-2</v>
      </c>
      <c r="G66">
        <v>2.1158950389464647E-2</v>
      </c>
      <c r="H66">
        <v>59.290669856459331</v>
      </c>
      <c r="I66">
        <v>5.2516853815328099E-2</v>
      </c>
      <c r="J66">
        <v>5.8734413465302643E-2</v>
      </c>
    </row>
    <row r="67" spans="1:14" x14ac:dyDescent="0.25">
      <c r="A67">
        <v>48.51537558685451</v>
      </c>
      <c r="B67">
        <v>0.57352300291904779</v>
      </c>
      <c r="C67">
        <v>2.5064856641906993E-2</v>
      </c>
      <c r="E67">
        <v>49.226236263736283</v>
      </c>
      <c r="F67">
        <v>6.6046321813360911E-2</v>
      </c>
      <c r="G67">
        <v>2.3535915056739899E-2</v>
      </c>
      <c r="H67">
        <v>58.93384351256573</v>
      </c>
      <c r="I67">
        <v>5.2870564564257289E-2</v>
      </c>
      <c r="J67">
        <v>1.7948380128651777E-2</v>
      </c>
    </row>
    <row r="68" spans="1:14" x14ac:dyDescent="0.25">
      <c r="A68">
        <v>48.51537558685451</v>
      </c>
      <c r="B68">
        <v>0.48537866801641882</v>
      </c>
      <c r="C68">
        <v>1.5116270470424057E-2</v>
      </c>
      <c r="E68">
        <v>42.553716744913906</v>
      </c>
      <c r="F68">
        <v>6.7823675253183183E-2</v>
      </c>
      <c r="G68">
        <v>3.046235235478267E-2</v>
      </c>
      <c r="H68">
        <v>59.980829420970281</v>
      </c>
      <c r="I68">
        <v>5.4043009918402683E-2</v>
      </c>
      <c r="J68">
        <v>6.6827678247639508E-2</v>
      </c>
    </row>
    <row r="69" spans="1:14" x14ac:dyDescent="0.25">
      <c r="A69">
        <v>48.51537558685451</v>
      </c>
      <c r="B69">
        <v>0.46224585299317278</v>
      </c>
      <c r="C69">
        <v>1.39236273271875E-2</v>
      </c>
      <c r="E69">
        <v>42.553716744913906</v>
      </c>
      <c r="F69">
        <v>6.9550631719867792E-2</v>
      </c>
      <c r="G69">
        <v>3.21986295383681E-2</v>
      </c>
      <c r="H69">
        <v>59.290669856459331</v>
      </c>
      <c r="I69">
        <v>5.4050508797964809E-2</v>
      </c>
      <c r="J69">
        <v>4.9500256283758641E-2</v>
      </c>
    </row>
    <row r="70" spans="1:14" x14ac:dyDescent="0.25">
      <c r="A70">
        <v>48.51537558685451</v>
      </c>
      <c r="B70">
        <v>0.49239168368928293</v>
      </c>
      <c r="C70">
        <v>1.4386985759125641E-2</v>
      </c>
      <c r="E70">
        <v>51.921287519747246</v>
      </c>
      <c r="F70">
        <v>7.5301538558946432E-2</v>
      </c>
      <c r="G70">
        <v>2.2728947919044243E-2</v>
      </c>
      <c r="H70">
        <v>56.942592592592618</v>
      </c>
      <c r="I70">
        <v>5.4707095291214536E-2</v>
      </c>
      <c r="J70">
        <v>1.3425878499124445E-2</v>
      </c>
    </row>
    <row r="71" spans="1:14" x14ac:dyDescent="0.25">
      <c r="A71">
        <v>48.51537558685451</v>
      </c>
      <c r="B71">
        <v>0.5139980582429059</v>
      </c>
      <c r="C71">
        <v>1.6936749860785638E-2</v>
      </c>
      <c r="E71">
        <v>48.51537558685451</v>
      </c>
      <c r="F71">
        <v>8.1651296068450882E-2</v>
      </c>
      <c r="G71">
        <v>1.8555926783103849E-2</v>
      </c>
      <c r="H71">
        <v>57.46417851500788</v>
      </c>
      <c r="I71">
        <v>5.9576949052382762E-2</v>
      </c>
      <c r="J71">
        <v>8.8158068491430777E-2</v>
      </c>
    </row>
    <row r="72" spans="1:14" x14ac:dyDescent="0.25">
      <c r="A72">
        <v>48.51537558685451</v>
      </c>
      <c r="B72">
        <v>0.55736864494595273</v>
      </c>
      <c r="C72">
        <v>1.5737324254715041E-2</v>
      </c>
      <c r="E72">
        <v>51.632550860719867</v>
      </c>
      <c r="F72">
        <v>8.6028185808956992E-2</v>
      </c>
      <c r="G72">
        <v>2.9170930884436331E-2</v>
      </c>
      <c r="H72">
        <v>59.980829420970281</v>
      </c>
      <c r="I72">
        <v>6.1802936090048118E-2</v>
      </c>
      <c r="J72">
        <v>4.8794563327163309E-2</v>
      </c>
    </row>
    <row r="73" spans="1:14" x14ac:dyDescent="0.25">
      <c r="A73">
        <v>48.51537558685451</v>
      </c>
      <c r="B73">
        <v>0.60366731077580893</v>
      </c>
      <c r="C73">
        <v>3.0735826746161689E-2</v>
      </c>
      <c r="E73">
        <v>49.226236263736283</v>
      </c>
      <c r="F73">
        <v>9.0837414995041971E-2</v>
      </c>
      <c r="G73">
        <v>2.1981371938563608E-2</v>
      </c>
      <c r="H73">
        <v>56.942592592592618</v>
      </c>
      <c r="I73">
        <v>6.1836070046208627E-2</v>
      </c>
      <c r="J73">
        <v>1.9497545301060182E-2</v>
      </c>
      <c r="L73">
        <v>51.921287519747246</v>
      </c>
      <c r="M73">
        <v>0.70198920763273864</v>
      </c>
      <c r="N73">
        <v>2.5242216626050515E-2</v>
      </c>
    </row>
    <row r="74" spans="1:14" x14ac:dyDescent="0.25">
      <c r="A74">
        <v>48.51537558685451</v>
      </c>
      <c r="B74">
        <v>0.71651308505764677</v>
      </c>
      <c r="C74">
        <v>6.3362024551599866E-2</v>
      </c>
      <c r="E74">
        <v>51.921287519747246</v>
      </c>
      <c r="F74">
        <v>9.9944320712694865E-2</v>
      </c>
      <c r="G74">
        <v>1.6633489955545484E-2</v>
      </c>
      <c r="H74">
        <v>55.692059748427681</v>
      </c>
      <c r="I74">
        <v>6.2238850288021855E-2</v>
      </c>
      <c r="J74">
        <v>2.8405267917218931E-2</v>
      </c>
      <c r="L74">
        <v>59.077887788778867</v>
      </c>
      <c r="M74">
        <v>0.70254297106011121</v>
      </c>
      <c r="N74">
        <v>2.4964726678822324E-2</v>
      </c>
    </row>
    <row r="75" spans="1:14" x14ac:dyDescent="0.25">
      <c r="A75">
        <v>48.51537558685451</v>
      </c>
      <c r="B75">
        <v>0.81352493073964205</v>
      </c>
      <c r="C75">
        <v>0.59752461282183467</v>
      </c>
      <c r="E75">
        <v>42.553716744913906</v>
      </c>
      <c r="F75">
        <v>0.11119069477860791</v>
      </c>
      <c r="G75">
        <v>3.0405379149268684E-2</v>
      </c>
      <c r="H75">
        <v>57.46417851500788</v>
      </c>
      <c r="I75">
        <v>6.4783471613881399E-2</v>
      </c>
      <c r="J75">
        <v>5.7004626133902711E-2</v>
      </c>
      <c r="L75">
        <v>59.980829420970281</v>
      </c>
      <c r="M75">
        <v>0.70647588930074223</v>
      </c>
      <c r="N75">
        <v>2.456983776069992E-2</v>
      </c>
    </row>
    <row r="76" spans="1:14" x14ac:dyDescent="0.25">
      <c r="A76">
        <v>48.51537558685451</v>
      </c>
      <c r="B76">
        <v>0.8056270410649915</v>
      </c>
      <c r="C76">
        <v>0.86310966155355251</v>
      </c>
      <c r="E76">
        <v>49.226236263736283</v>
      </c>
      <c r="F76">
        <v>0.14172244243974999</v>
      </c>
      <c r="G76">
        <v>1.9101335732765169E-2</v>
      </c>
      <c r="H76">
        <v>59.077887788778867</v>
      </c>
      <c r="I76">
        <v>6.545203823340516E-2</v>
      </c>
      <c r="J76">
        <v>1.7338148277062312E-2</v>
      </c>
      <c r="L76">
        <v>42.553716744913906</v>
      </c>
      <c r="M76">
        <v>0.70845510809300727</v>
      </c>
      <c r="N76">
        <v>3.2641605032098356E-2</v>
      </c>
    </row>
    <row r="77" spans="1:14" x14ac:dyDescent="0.25">
      <c r="A77">
        <v>48.51537558685451</v>
      </c>
      <c r="B77">
        <v>0.69753965969893283</v>
      </c>
      <c r="C77">
        <v>0.72086951986152092</v>
      </c>
      <c r="E77">
        <v>51.921287519747246</v>
      </c>
      <c r="F77">
        <v>0.14368700279062019</v>
      </c>
      <c r="G77">
        <v>2.1584183219854176E-2</v>
      </c>
      <c r="H77">
        <v>59.077887788778867</v>
      </c>
      <c r="I77">
        <v>6.6171748082662712E-2</v>
      </c>
      <c r="J77">
        <v>2.1086924621099186E-2</v>
      </c>
      <c r="L77">
        <v>51.632550860719867</v>
      </c>
      <c r="M77">
        <v>0.70945858386896121</v>
      </c>
      <c r="N77">
        <v>0.77117282576303414</v>
      </c>
    </row>
    <row r="78" spans="1:14" x14ac:dyDescent="0.25">
      <c r="A78">
        <v>48.51537558685451</v>
      </c>
      <c r="B78">
        <v>0.4941001435881463</v>
      </c>
      <c r="C78">
        <v>5.2474073705574532E-2</v>
      </c>
      <c r="E78">
        <v>49.226236263736283</v>
      </c>
      <c r="F78">
        <v>0.1546445052277102</v>
      </c>
      <c r="G78">
        <v>1.7755054937822552E-2</v>
      </c>
      <c r="H78">
        <v>59.980829420970281</v>
      </c>
      <c r="I78">
        <v>6.893693739880126E-2</v>
      </c>
      <c r="J78">
        <v>6.2681671455415547E-2</v>
      </c>
      <c r="L78">
        <v>51.921287519747246</v>
      </c>
      <c r="M78">
        <v>0.71135131772546301</v>
      </c>
      <c r="N78">
        <v>3.0169242089771627E-2</v>
      </c>
    </row>
    <row r="79" spans="1:14" x14ac:dyDescent="0.25">
      <c r="A79">
        <v>48.51537558685451</v>
      </c>
      <c r="B79">
        <v>0.42166034384861423</v>
      </c>
      <c r="C79">
        <v>2.6578698452773598E-2</v>
      </c>
      <c r="E79">
        <v>48.51537558685451</v>
      </c>
      <c r="F79">
        <v>0.15746440087639504</v>
      </c>
      <c r="G79">
        <v>2.0522702866878895E-2</v>
      </c>
      <c r="H79">
        <v>59.290669856459331</v>
      </c>
      <c r="I79">
        <v>8.3583955932632653E-2</v>
      </c>
      <c r="J79">
        <v>6.7965083473359889E-2</v>
      </c>
      <c r="L79">
        <v>56.942592592592618</v>
      </c>
      <c r="M79">
        <v>0.71151016912866594</v>
      </c>
      <c r="N79">
        <v>0.2669145493974534</v>
      </c>
    </row>
    <row r="80" spans="1:14" x14ac:dyDescent="0.25">
      <c r="A80">
        <v>48.51537558685451</v>
      </c>
      <c r="B80">
        <v>0.38857874773084194</v>
      </c>
      <c r="C80">
        <v>3.0961087276040019E-2</v>
      </c>
      <c r="E80">
        <v>51.632550860719867</v>
      </c>
      <c r="F80">
        <v>0.15900677870798449</v>
      </c>
      <c r="G80">
        <v>3.0685224765700382E-2</v>
      </c>
      <c r="H80">
        <v>58.93384351256573</v>
      </c>
      <c r="I80">
        <v>8.8421790155894214E-2</v>
      </c>
      <c r="J80">
        <v>1.8657639828853018E-2</v>
      </c>
      <c r="L80">
        <v>59.077887788778867</v>
      </c>
      <c r="M80">
        <v>0.71646339360071765</v>
      </c>
      <c r="N80">
        <v>1.8127422498347381E-2</v>
      </c>
    </row>
    <row r="81" spans="1:14" x14ac:dyDescent="0.25">
      <c r="A81">
        <v>48.51537558685451</v>
      </c>
      <c r="B81">
        <v>0.2725386541027689</v>
      </c>
      <c r="C81">
        <v>2.6492174059671282E-2</v>
      </c>
      <c r="E81">
        <v>48.51537558685451</v>
      </c>
      <c r="F81">
        <v>0.16319696304497211</v>
      </c>
      <c r="G81">
        <v>1.4456967223692998E-2</v>
      </c>
      <c r="H81">
        <v>58.93384351256573</v>
      </c>
      <c r="I81">
        <v>9.590430883080138E-2</v>
      </c>
      <c r="J81">
        <v>1.6318449368984651E-2</v>
      </c>
      <c r="L81">
        <v>48.51537558685451</v>
      </c>
      <c r="M81">
        <v>0.71651308505764677</v>
      </c>
      <c r="N81">
        <v>6.3362024551599866E-2</v>
      </c>
    </row>
    <row r="82" spans="1:14" x14ac:dyDescent="0.25">
      <c r="A82">
        <v>48.51537558685451</v>
      </c>
      <c r="B82">
        <v>0.15746440087639504</v>
      </c>
      <c r="C82">
        <v>2.0522702866878895E-2</v>
      </c>
      <c r="E82">
        <v>51.632550860719867</v>
      </c>
      <c r="F82">
        <v>0.17494551255053908</v>
      </c>
      <c r="G82">
        <v>2.6513434632879453E-2</v>
      </c>
      <c r="H82">
        <v>56.942592592592618</v>
      </c>
      <c r="I82">
        <v>9.6027440767325056E-2</v>
      </c>
      <c r="J82">
        <v>1.7271781509637374E-2</v>
      </c>
      <c r="L82">
        <v>55.692059748427681</v>
      </c>
      <c r="M82">
        <v>0.72220256065793209</v>
      </c>
      <c r="N82">
        <v>2.4772561758007652E-2</v>
      </c>
    </row>
    <row r="83" spans="1:14" x14ac:dyDescent="0.25">
      <c r="A83">
        <v>49.226236263736283</v>
      </c>
      <c r="B83">
        <v>0.1546445052277102</v>
      </c>
      <c r="C83">
        <v>1.7755054937822552E-2</v>
      </c>
      <c r="E83">
        <v>42.553716744913906</v>
      </c>
      <c r="F83">
        <v>0.18282381864892183</v>
      </c>
      <c r="G83">
        <v>3.4615771047820688E-2</v>
      </c>
      <c r="H83">
        <v>57.46417851500788</v>
      </c>
      <c r="I83">
        <v>9.6214252474828663E-2</v>
      </c>
      <c r="J83">
        <v>8.4126589044335495E-2</v>
      </c>
      <c r="L83">
        <v>58.93384351256573</v>
      </c>
      <c r="M83">
        <v>0.72887188254769508</v>
      </c>
      <c r="N83">
        <v>2.0274630152870628E-2</v>
      </c>
    </row>
    <row r="84" spans="1:14" x14ac:dyDescent="0.25">
      <c r="A84">
        <v>49.226236263736283</v>
      </c>
      <c r="B84">
        <v>9.0837414995041971E-2</v>
      </c>
      <c r="C84">
        <v>2.1981371938563608E-2</v>
      </c>
      <c r="E84">
        <v>42.553716744913906</v>
      </c>
      <c r="F84">
        <v>0.21534502686492565</v>
      </c>
      <c r="G84">
        <v>3.5497169513694957E-2</v>
      </c>
      <c r="H84">
        <v>55.692059748427681</v>
      </c>
      <c r="I84">
        <v>9.7492021583684391E-2</v>
      </c>
      <c r="J84">
        <v>1.72102552898881E-2</v>
      </c>
      <c r="L84">
        <v>51.632550860719867</v>
      </c>
      <c r="M84">
        <v>0.73207047043463613</v>
      </c>
      <c r="N84">
        <v>8.7221839888994679E-2</v>
      </c>
    </row>
    <row r="85" spans="1:14" x14ac:dyDescent="0.25">
      <c r="A85">
        <v>49.226236263736283</v>
      </c>
      <c r="B85">
        <v>6.4153162846386697E-2</v>
      </c>
      <c r="C85">
        <v>2.1158950389464647E-2</v>
      </c>
      <c r="E85">
        <v>51.921287519747246</v>
      </c>
      <c r="F85">
        <v>0.24438742278438461</v>
      </c>
      <c r="G85">
        <v>2.2359437987128791E-2</v>
      </c>
      <c r="H85">
        <v>59.980829420970281</v>
      </c>
      <c r="I85">
        <v>0.1079101524614967</v>
      </c>
      <c r="J85">
        <v>5.1600963077638215E-2</v>
      </c>
      <c r="L85">
        <v>51.921287519747246</v>
      </c>
      <c r="M85">
        <v>0.73662410356014685</v>
      </c>
      <c r="N85">
        <v>2.8743095457487978E-2</v>
      </c>
    </row>
    <row r="86" spans="1:14" x14ac:dyDescent="0.25">
      <c r="A86">
        <v>49.226236263736283</v>
      </c>
      <c r="B86">
        <v>6.6046321813360911E-2</v>
      </c>
      <c r="C86">
        <v>2.3535915056739899E-2</v>
      </c>
      <c r="E86">
        <v>51.632550860719867</v>
      </c>
      <c r="F86">
        <v>0.272447682480985</v>
      </c>
      <c r="G86">
        <v>3.9175806376972704E-2</v>
      </c>
      <c r="H86">
        <v>55.692059748427681</v>
      </c>
      <c r="I86">
        <v>0.10844312759091131</v>
      </c>
      <c r="J86">
        <v>3.0350018174229498E-2</v>
      </c>
      <c r="L86">
        <v>59.077887788778867</v>
      </c>
      <c r="M86">
        <v>0.73907332869291598</v>
      </c>
      <c r="N86">
        <v>3.2578623294543092E-2</v>
      </c>
    </row>
    <row r="87" spans="1:14" x14ac:dyDescent="0.25">
      <c r="A87">
        <v>49.226236263736283</v>
      </c>
      <c r="B87">
        <v>0.14172244243974999</v>
      </c>
      <c r="C87">
        <v>1.9101335732765169E-2</v>
      </c>
      <c r="E87">
        <v>48.51537558685451</v>
      </c>
      <c r="F87">
        <v>0.2725386541027689</v>
      </c>
      <c r="G87">
        <v>2.6492174059671282E-2</v>
      </c>
      <c r="H87">
        <v>59.290669856459331</v>
      </c>
      <c r="I87">
        <v>0.11758456569777324</v>
      </c>
      <c r="J87">
        <v>3.6324588559255688E-2</v>
      </c>
      <c r="L87">
        <v>59.980829420970281</v>
      </c>
      <c r="M87">
        <v>0.74244009794839028</v>
      </c>
      <c r="N87">
        <v>2.6240975447952664E-2</v>
      </c>
    </row>
    <row r="88" spans="1:14" x14ac:dyDescent="0.25">
      <c r="A88">
        <v>49.226236263736283</v>
      </c>
      <c r="B88">
        <v>0.40082138918872967</v>
      </c>
      <c r="C88">
        <v>1.2839027157912963E-2</v>
      </c>
      <c r="E88">
        <v>49.226236263736283</v>
      </c>
      <c r="F88">
        <v>0.29221335264334525</v>
      </c>
      <c r="G88">
        <v>1.4398587283334376E-2</v>
      </c>
      <c r="H88">
        <v>57.46417851500788</v>
      </c>
      <c r="I88">
        <v>0.12901285587938005</v>
      </c>
      <c r="J88">
        <v>2.5604788774398476E-2</v>
      </c>
      <c r="L88">
        <v>58.93384351256573</v>
      </c>
      <c r="M88">
        <v>0.74342690755765128</v>
      </c>
      <c r="N88">
        <v>0.55963265111634575</v>
      </c>
    </row>
    <row r="89" spans="1:14" x14ac:dyDescent="0.25">
      <c r="A89">
        <v>49.226236263736283</v>
      </c>
      <c r="B89">
        <v>0.83581481764271714</v>
      </c>
      <c r="C89">
        <v>1.7822537600687499E-2</v>
      </c>
      <c r="E89">
        <v>51.921287519747246</v>
      </c>
      <c r="F89">
        <v>0.30806730121293802</v>
      </c>
      <c r="G89">
        <v>1.2302817710850657E-2</v>
      </c>
      <c r="H89">
        <v>59.980829420970281</v>
      </c>
      <c r="I89">
        <v>0.13502442884668317</v>
      </c>
      <c r="J89">
        <v>3.6997805468406711E-2</v>
      </c>
      <c r="L89">
        <v>42.553716744913906</v>
      </c>
      <c r="M89">
        <v>0.74718441665224156</v>
      </c>
      <c r="N89">
        <v>3.5334195703217823E-2</v>
      </c>
    </row>
    <row r="90" spans="1:14" x14ac:dyDescent="0.25">
      <c r="A90">
        <v>49.226236263736283</v>
      </c>
      <c r="B90">
        <v>1.2397706411358724</v>
      </c>
      <c r="C90">
        <v>2.0681043501737571E-2</v>
      </c>
      <c r="E90">
        <v>51.921287519747246</v>
      </c>
      <c r="F90">
        <v>0.3426993288172222</v>
      </c>
      <c r="G90">
        <v>1.7077209117317055E-2</v>
      </c>
      <c r="H90">
        <v>56.942592592592618</v>
      </c>
      <c r="I90">
        <v>0.15336845874469288</v>
      </c>
      <c r="J90">
        <v>1.4404782313091707E-2</v>
      </c>
      <c r="L90">
        <v>51.921287519747246</v>
      </c>
      <c r="M90">
        <v>0.75527031930333821</v>
      </c>
      <c r="N90">
        <v>0.3494371560595631</v>
      </c>
    </row>
    <row r="91" spans="1:14" x14ac:dyDescent="0.25">
      <c r="A91">
        <v>49.226236263736283</v>
      </c>
      <c r="B91">
        <v>1.2612349346715996</v>
      </c>
      <c r="C91">
        <v>3.9416911974569334E-2</v>
      </c>
      <c r="E91">
        <v>42.553716744913906</v>
      </c>
      <c r="F91">
        <v>0.35025160734546368</v>
      </c>
      <c r="G91">
        <v>3.5213281334960857E-2</v>
      </c>
      <c r="H91">
        <v>59.290669856459331</v>
      </c>
      <c r="I91">
        <v>0.16316797867466368</v>
      </c>
      <c r="J91">
        <v>8.4243676931804456E-2</v>
      </c>
      <c r="L91">
        <v>42.553716744913906</v>
      </c>
      <c r="M91">
        <v>0.76096698113207539</v>
      </c>
      <c r="N91">
        <v>3.1756295672639816E-2</v>
      </c>
    </row>
    <row r="92" spans="1:14" x14ac:dyDescent="0.25">
      <c r="A92">
        <v>49.226236263736283</v>
      </c>
      <c r="B92">
        <v>1.0537064930437459</v>
      </c>
      <c r="C92">
        <v>4.0589742126191625E-2</v>
      </c>
      <c r="E92">
        <v>48.51537558685451</v>
      </c>
      <c r="F92">
        <v>0.36360637205980428</v>
      </c>
      <c r="G92">
        <v>1.9432056999333095E-2</v>
      </c>
      <c r="H92">
        <v>57.46417851500788</v>
      </c>
      <c r="I92">
        <v>0.17823619729011017</v>
      </c>
      <c r="J92">
        <v>7.3838193693588391E-2</v>
      </c>
      <c r="L92">
        <v>49.226236263736283</v>
      </c>
      <c r="M92">
        <v>0.76220912639661642</v>
      </c>
      <c r="N92">
        <v>2.6980439202464613E-2</v>
      </c>
    </row>
    <row r="93" spans="1:14" x14ac:dyDescent="0.25">
      <c r="A93">
        <v>49.226236263736283</v>
      </c>
      <c r="B93">
        <v>0.97422887344854203</v>
      </c>
      <c r="C93">
        <v>1.4862878580589491E-2</v>
      </c>
      <c r="E93">
        <v>51.632550860719867</v>
      </c>
      <c r="F93">
        <v>0.37603898262821051</v>
      </c>
      <c r="G93">
        <v>3.1722633599996344E-2</v>
      </c>
      <c r="H93">
        <v>58.93384351256573</v>
      </c>
      <c r="I93">
        <v>0.18200775042757264</v>
      </c>
      <c r="J93">
        <v>1.5504479364748826E-2</v>
      </c>
      <c r="L93">
        <v>59.290669856459331</v>
      </c>
      <c r="M93">
        <v>0.76240519792822792</v>
      </c>
      <c r="N93">
        <v>0.45125116562037637</v>
      </c>
    </row>
    <row r="94" spans="1:14" x14ac:dyDescent="0.25">
      <c r="A94">
        <v>49.226236263736283</v>
      </c>
      <c r="B94">
        <v>1.0341810844408146</v>
      </c>
      <c r="C94">
        <v>1.7863319956717378E-2</v>
      </c>
      <c r="E94">
        <v>51.632550860719867</v>
      </c>
      <c r="F94">
        <v>0.38017746076139591</v>
      </c>
      <c r="G94">
        <v>3.7719298245614249E-2</v>
      </c>
      <c r="H94">
        <v>56.942592592592618</v>
      </c>
      <c r="I94">
        <v>0.18580875505833971</v>
      </c>
      <c r="J94">
        <v>1.254078755110781E-2</v>
      </c>
      <c r="L94">
        <v>58.93384351256573</v>
      </c>
      <c r="M94">
        <v>0.76558176673783651</v>
      </c>
      <c r="N94">
        <v>3.5712164192926124E-2</v>
      </c>
    </row>
    <row r="95" spans="1:14" x14ac:dyDescent="0.25">
      <c r="A95">
        <v>49.226236263736283</v>
      </c>
      <c r="B95">
        <v>1.0718547197150761</v>
      </c>
      <c r="C95">
        <v>1.9677466980653237E-2</v>
      </c>
      <c r="E95">
        <v>48.51537558685451</v>
      </c>
      <c r="F95">
        <v>0.38857874773084194</v>
      </c>
      <c r="G95">
        <v>3.0961087276040019E-2</v>
      </c>
      <c r="H95">
        <v>59.980829420970281</v>
      </c>
      <c r="I95">
        <v>0.19071146329118246</v>
      </c>
      <c r="J95">
        <v>4.4788817023749601E-2</v>
      </c>
      <c r="L95">
        <v>55.692059748427681</v>
      </c>
      <c r="M95">
        <v>0.77009339864160742</v>
      </c>
      <c r="N95">
        <v>2.10379478363905E-2</v>
      </c>
    </row>
    <row r="96" spans="1:14" x14ac:dyDescent="0.25">
      <c r="A96">
        <v>49.226236263736283</v>
      </c>
      <c r="B96">
        <v>1.124735887934349</v>
      </c>
      <c r="C96">
        <v>2.5871661319582854E-2</v>
      </c>
      <c r="E96">
        <v>49.226236263736283</v>
      </c>
      <c r="F96">
        <v>0.40082138918872967</v>
      </c>
      <c r="G96">
        <v>1.2839027157912963E-2</v>
      </c>
      <c r="H96">
        <v>55.692059748427681</v>
      </c>
      <c r="I96">
        <v>0.20703239759168343</v>
      </c>
      <c r="J96">
        <v>3.1668778734839767E-2</v>
      </c>
      <c r="L96">
        <v>51.921287519747246</v>
      </c>
      <c r="M96">
        <v>0.77104117966271501</v>
      </c>
      <c r="N96">
        <v>5.1989703888892874E-2</v>
      </c>
    </row>
    <row r="97" spans="1:14" x14ac:dyDescent="0.25">
      <c r="A97">
        <v>49.226236263736283</v>
      </c>
      <c r="B97">
        <v>1.2183604161037236</v>
      </c>
      <c r="C97">
        <v>4.4111599003781268E-2</v>
      </c>
      <c r="E97">
        <v>51.921287519747246</v>
      </c>
      <c r="F97">
        <v>0.40768269109551625</v>
      </c>
      <c r="G97">
        <v>2.7823548305388031E-2</v>
      </c>
      <c r="H97">
        <v>59.077887788778867</v>
      </c>
      <c r="I97">
        <v>0.2176650466357998</v>
      </c>
      <c r="J97">
        <v>1.8916672689166695E-2</v>
      </c>
      <c r="L97">
        <v>59.980829420970281</v>
      </c>
      <c r="M97">
        <v>0.77451217376072901</v>
      </c>
      <c r="N97">
        <v>3.0595567773760761E-2</v>
      </c>
    </row>
    <row r="98" spans="1:14" x14ac:dyDescent="0.25">
      <c r="A98">
        <v>49.226236263736283</v>
      </c>
      <c r="B98">
        <v>1.3542101938681308</v>
      </c>
      <c r="C98">
        <v>0.18936215939081602</v>
      </c>
      <c r="E98">
        <v>51.632550860719867</v>
      </c>
      <c r="F98">
        <v>0.40961964743455059</v>
      </c>
      <c r="G98">
        <v>3.7058550053172934E-2</v>
      </c>
      <c r="H98">
        <v>59.077887788778867</v>
      </c>
      <c r="I98">
        <v>0.2194699459745364</v>
      </c>
      <c r="J98">
        <v>1.592029984097755E-2</v>
      </c>
      <c r="L98">
        <v>59.980829420970281</v>
      </c>
      <c r="M98">
        <v>0.7811393793226985</v>
      </c>
      <c r="N98">
        <v>3.8570393360587943E-2</v>
      </c>
    </row>
    <row r="99" spans="1:14" x14ac:dyDescent="0.25">
      <c r="A99">
        <v>49.226236263736283</v>
      </c>
      <c r="B99">
        <v>1.3504487734753683</v>
      </c>
      <c r="C99">
        <v>0.51984233413371506</v>
      </c>
      <c r="E99">
        <v>48.51537558685451</v>
      </c>
      <c r="F99">
        <v>0.42166034384861423</v>
      </c>
      <c r="G99">
        <v>2.6578698452773598E-2</v>
      </c>
      <c r="H99">
        <v>59.290669856459331</v>
      </c>
      <c r="I99">
        <v>0.25284282345013476</v>
      </c>
      <c r="J99">
        <v>3.0878586776401637E-2</v>
      </c>
      <c r="L99">
        <v>51.921287519747246</v>
      </c>
      <c r="M99">
        <v>0.78622745179348952</v>
      </c>
      <c r="N99">
        <v>0.1815721349035877</v>
      </c>
    </row>
    <row r="100" spans="1:14" x14ac:dyDescent="0.25">
      <c r="A100">
        <v>49.226236263736283</v>
      </c>
      <c r="B100">
        <v>1.2038502651811043</v>
      </c>
      <c r="C100">
        <v>0.80613598472706982</v>
      </c>
      <c r="E100">
        <v>48.51537558685451</v>
      </c>
      <c r="F100">
        <v>0.46224585299317278</v>
      </c>
      <c r="G100">
        <v>1.39236273271875E-2</v>
      </c>
      <c r="H100">
        <v>59.290669856459331</v>
      </c>
      <c r="I100">
        <v>0.27090074379123419</v>
      </c>
      <c r="J100">
        <v>7.4071346244294775E-2</v>
      </c>
      <c r="L100">
        <v>59.077887788778867</v>
      </c>
      <c r="M100">
        <v>0.7915892598663713</v>
      </c>
      <c r="N100">
        <v>0.38909960647806041</v>
      </c>
    </row>
    <row r="101" spans="1:14" x14ac:dyDescent="0.25">
      <c r="A101">
        <v>49.226236263736283</v>
      </c>
      <c r="B101">
        <v>1.1626312233393503</v>
      </c>
      <c r="C101">
        <v>0.65963954150377124</v>
      </c>
      <c r="E101">
        <v>42.553716744913906</v>
      </c>
      <c r="F101">
        <v>0.46546402780096846</v>
      </c>
      <c r="G101">
        <v>3.6270349110342791E-2</v>
      </c>
      <c r="H101">
        <v>57.46417851500788</v>
      </c>
      <c r="I101">
        <v>0.27475893304391386</v>
      </c>
      <c r="J101">
        <v>2.885765034546962E-2</v>
      </c>
      <c r="L101">
        <v>59.980829420970281</v>
      </c>
      <c r="M101">
        <v>0.79314827754134132</v>
      </c>
      <c r="N101">
        <v>4.0119849386500296E-2</v>
      </c>
    </row>
    <row r="102" spans="1:14" x14ac:dyDescent="0.25">
      <c r="A102">
        <v>49.226236263736283</v>
      </c>
      <c r="B102">
        <v>0.91206120934162793</v>
      </c>
      <c r="C102">
        <v>6.6986234021632257E-2</v>
      </c>
      <c r="E102">
        <v>48.51537558685451</v>
      </c>
      <c r="F102">
        <v>0.48537866801641882</v>
      </c>
      <c r="G102">
        <v>1.5116270470424057E-2</v>
      </c>
      <c r="H102">
        <v>55.692059748427681</v>
      </c>
      <c r="I102">
        <v>0.279629877071085</v>
      </c>
      <c r="J102">
        <v>1.9756407013876758E-2</v>
      </c>
      <c r="L102">
        <v>55.692059748427681</v>
      </c>
      <c r="M102">
        <v>0.79383330547164344</v>
      </c>
      <c r="N102">
        <v>0.10515204530927316</v>
      </c>
    </row>
    <row r="103" spans="1:14" x14ac:dyDescent="0.25">
      <c r="A103">
        <v>49.226236263736283</v>
      </c>
      <c r="B103">
        <v>0.76220912639661642</v>
      </c>
      <c r="C103">
        <v>2.6980439202464613E-2</v>
      </c>
      <c r="E103">
        <v>49.226236263736283</v>
      </c>
      <c r="F103">
        <v>0.48710944881981055</v>
      </c>
      <c r="G103">
        <v>1.4240381870702866E-2</v>
      </c>
      <c r="H103">
        <v>58.93384351256573</v>
      </c>
      <c r="I103">
        <v>0.28022064214708353</v>
      </c>
      <c r="J103">
        <v>1.4694483109262397E-2</v>
      </c>
      <c r="L103">
        <v>59.980829420970281</v>
      </c>
      <c r="M103">
        <v>0.79410029498525103</v>
      </c>
      <c r="N103">
        <v>4.3075272221929632E-2</v>
      </c>
    </row>
    <row r="104" spans="1:14" x14ac:dyDescent="0.25">
      <c r="A104">
        <v>49.226236263736283</v>
      </c>
      <c r="B104">
        <v>0.69766001518547149</v>
      </c>
      <c r="C104">
        <v>1.7933899549305611E-2</v>
      </c>
      <c r="E104">
        <v>51.632550860719867</v>
      </c>
      <c r="F104">
        <v>0.48831297638385607</v>
      </c>
      <c r="G104">
        <v>6.3653563655784826E-2</v>
      </c>
      <c r="H104">
        <v>58.93384351256573</v>
      </c>
      <c r="I104">
        <v>0.28106838554782826</v>
      </c>
      <c r="J104">
        <v>2.4187673443582219E-2</v>
      </c>
      <c r="L104">
        <v>42.553716744913906</v>
      </c>
      <c r="M104">
        <v>0.79611624524023439</v>
      </c>
      <c r="N104">
        <v>4.4084780481563252E-2</v>
      </c>
    </row>
    <row r="105" spans="1:14" x14ac:dyDescent="0.25">
      <c r="A105">
        <v>49.226236263736283</v>
      </c>
      <c r="B105">
        <v>0.48710944881981055</v>
      </c>
      <c r="C105">
        <v>1.4240381870702866E-2</v>
      </c>
      <c r="E105">
        <v>42.553716744913906</v>
      </c>
      <c r="F105">
        <v>0.4902946035242291</v>
      </c>
      <c r="G105">
        <v>3.6407229618007964E-2</v>
      </c>
      <c r="H105">
        <v>57.46417851500788</v>
      </c>
      <c r="I105">
        <v>0.29436712073779508</v>
      </c>
      <c r="J105">
        <v>8.861365472770133E-2</v>
      </c>
      <c r="L105">
        <v>59.980829420970281</v>
      </c>
      <c r="M105">
        <v>0.7961311905820575</v>
      </c>
      <c r="N105">
        <v>1.0064228661926118</v>
      </c>
    </row>
    <row r="106" spans="1:14" x14ac:dyDescent="0.25">
      <c r="A106">
        <v>49.226236263736283</v>
      </c>
      <c r="B106">
        <v>0.29221335264334525</v>
      </c>
      <c r="C106">
        <v>1.4398587283334376E-2</v>
      </c>
      <c r="E106">
        <v>48.51537558685451</v>
      </c>
      <c r="F106">
        <v>0.49239168368928293</v>
      </c>
      <c r="G106">
        <v>1.4386985759125641E-2</v>
      </c>
      <c r="H106">
        <v>59.980829420970281</v>
      </c>
      <c r="I106">
        <v>0.29795864069587291</v>
      </c>
      <c r="J106">
        <v>2.9735264745267321E-2</v>
      </c>
      <c r="L106">
        <v>42.553716744913906</v>
      </c>
      <c r="M106">
        <v>0.7968136896810819</v>
      </c>
      <c r="N106">
        <v>0.7209149723345164</v>
      </c>
    </row>
    <row r="107" spans="1:14" x14ac:dyDescent="0.25">
      <c r="A107">
        <v>51.632550860719867</v>
      </c>
      <c r="B107">
        <v>8.6028185808956992E-2</v>
      </c>
      <c r="C107">
        <v>2.9170930884436331E-2</v>
      </c>
      <c r="E107">
        <v>48.51537558685451</v>
      </c>
      <c r="F107">
        <v>0.4941001435881463</v>
      </c>
      <c r="G107">
        <v>5.2474073705574532E-2</v>
      </c>
      <c r="H107">
        <v>56.942592592592618</v>
      </c>
      <c r="I107">
        <v>0.3065092481238656</v>
      </c>
      <c r="J107">
        <v>1.8892454684406857E-2</v>
      </c>
      <c r="L107">
        <v>58.93384351256573</v>
      </c>
      <c r="M107">
        <v>0.79984620302928222</v>
      </c>
      <c r="N107">
        <v>1.8688485047842075E-2</v>
      </c>
    </row>
    <row r="108" spans="1:14" x14ac:dyDescent="0.25">
      <c r="A108">
        <v>51.632550860719867</v>
      </c>
      <c r="B108">
        <v>4.9453781952056228E-2</v>
      </c>
      <c r="C108">
        <v>2.7774158872137938E-2</v>
      </c>
      <c r="E108">
        <v>42.553716744913906</v>
      </c>
      <c r="F108">
        <v>0.50236636971046766</v>
      </c>
      <c r="G108">
        <v>3.9806091959880788E-2</v>
      </c>
      <c r="H108">
        <v>59.077887788778867</v>
      </c>
      <c r="I108">
        <v>0.33744603336249795</v>
      </c>
      <c r="J108">
        <v>2.0389081367873121E-2</v>
      </c>
      <c r="L108">
        <v>55.692059748427681</v>
      </c>
      <c r="M108">
        <v>0.80013508941399136</v>
      </c>
      <c r="N108">
        <v>4.0690161548383549E-2</v>
      </c>
    </row>
    <row r="109" spans="1:14" x14ac:dyDescent="0.25">
      <c r="A109">
        <v>51.632550860719867</v>
      </c>
      <c r="B109">
        <v>3.3450816196735213E-2</v>
      </c>
      <c r="C109">
        <v>3.2382954236684407E-2</v>
      </c>
      <c r="E109">
        <v>51.632550860719867</v>
      </c>
      <c r="F109">
        <v>0.50407051146459092</v>
      </c>
      <c r="G109">
        <v>2.6365969930326912E-2</v>
      </c>
      <c r="H109">
        <v>56.942592592592618</v>
      </c>
      <c r="I109">
        <v>0.34382832881477315</v>
      </c>
      <c r="J109">
        <v>1.4243107919922756E-2</v>
      </c>
      <c r="L109">
        <v>59.980829420970281</v>
      </c>
      <c r="M109">
        <v>0.80288446767702071</v>
      </c>
      <c r="N109">
        <v>3.2905844445593829E-2</v>
      </c>
    </row>
    <row r="110" spans="1:14" x14ac:dyDescent="0.25">
      <c r="A110">
        <v>51.632550860719867</v>
      </c>
      <c r="B110">
        <v>3.0188941883430687E-2</v>
      </c>
      <c r="C110">
        <v>3.6251314550630492E-2</v>
      </c>
      <c r="E110">
        <v>48.51537558685451</v>
      </c>
      <c r="F110">
        <v>0.5139980582429059</v>
      </c>
      <c r="G110">
        <v>1.6936749860785638E-2</v>
      </c>
      <c r="H110">
        <v>55.692059748427681</v>
      </c>
      <c r="I110">
        <v>0.35822821425127876</v>
      </c>
      <c r="J110">
        <v>3.4028170322820211E-2</v>
      </c>
      <c r="L110">
        <v>48.51537558685451</v>
      </c>
      <c r="M110">
        <v>0.8056270410649915</v>
      </c>
      <c r="N110">
        <v>0.86310966155355251</v>
      </c>
    </row>
    <row r="111" spans="1:14" x14ac:dyDescent="0.25">
      <c r="A111">
        <v>51.632550860719867</v>
      </c>
      <c r="B111">
        <v>4.8878272471319914E-2</v>
      </c>
      <c r="C111">
        <v>3.2602732483631491E-2</v>
      </c>
      <c r="E111">
        <v>51.921287519747246</v>
      </c>
      <c r="F111">
        <v>0.5165146403432046</v>
      </c>
      <c r="G111">
        <v>3.6384201654713608E-2</v>
      </c>
      <c r="H111">
        <v>59.980829420970281</v>
      </c>
      <c r="I111">
        <v>0.36649291219377955</v>
      </c>
      <c r="J111">
        <v>2.7064655763846732E-2</v>
      </c>
      <c r="L111">
        <v>59.290669856459331</v>
      </c>
      <c r="M111">
        <v>0.8077086638003006</v>
      </c>
      <c r="N111">
        <v>8.9071592308919201E-2</v>
      </c>
    </row>
    <row r="112" spans="1:14" x14ac:dyDescent="0.25">
      <c r="A112">
        <v>51.632550860719867</v>
      </c>
      <c r="B112">
        <v>0.17494551255053908</v>
      </c>
      <c r="C112">
        <v>2.6513434632879453E-2</v>
      </c>
      <c r="E112">
        <v>51.632550860719867</v>
      </c>
      <c r="F112">
        <v>0.53675403397933918</v>
      </c>
      <c r="G112">
        <v>2.7018502104144901E-2</v>
      </c>
      <c r="H112">
        <v>58.93384351256573</v>
      </c>
      <c r="I112">
        <v>0.38054776288834669</v>
      </c>
      <c r="J112">
        <v>3.4355517825398682E-2</v>
      </c>
      <c r="L112">
        <v>58.93384351256573</v>
      </c>
      <c r="M112">
        <v>0.81343798059076222</v>
      </c>
      <c r="N112">
        <v>2.0405669619906659E-2</v>
      </c>
    </row>
    <row r="113" spans="1:14" x14ac:dyDescent="0.25">
      <c r="A113">
        <v>51.632550860719867</v>
      </c>
      <c r="B113">
        <v>0.38017746076139591</v>
      </c>
      <c r="C113">
        <v>3.7719298245614249E-2</v>
      </c>
      <c r="E113">
        <v>48.51537558685451</v>
      </c>
      <c r="F113">
        <v>0.54419383573846425</v>
      </c>
      <c r="G113">
        <v>2.9625422414486225E-2</v>
      </c>
      <c r="H113">
        <v>59.290669856459331</v>
      </c>
      <c r="I113">
        <v>0.39067748289446402</v>
      </c>
      <c r="J113">
        <v>6.6439532581303098E-2</v>
      </c>
      <c r="L113">
        <v>48.51537558685451</v>
      </c>
      <c r="M113">
        <v>0.81352493073964205</v>
      </c>
      <c r="N113">
        <v>0.59752461282183467</v>
      </c>
    </row>
    <row r="114" spans="1:14" x14ac:dyDescent="0.25">
      <c r="A114">
        <v>51.632550860719867</v>
      </c>
      <c r="B114">
        <v>0.60183962264150948</v>
      </c>
      <c r="C114">
        <v>4.1673729711404053E-2</v>
      </c>
      <c r="E114">
        <v>51.632550860719867</v>
      </c>
      <c r="F114">
        <v>0.54898022084048026</v>
      </c>
      <c r="G114">
        <v>3.5717614606799848E-2</v>
      </c>
      <c r="H114">
        <v>59.290669856459331</v>
      </c>
      <c r="I114">
        <v>0.40807571495050343</v>
      </c>
      <c r="J114">
        <v>2.6454709514491657E-2</v>
      </c>
      <c r="L114">
        <v>57.46417851500788</v>
      </c>
      <c r="M114">
        <v>0.8185979056192707</v>
      </c>
      <c r="N114">
        <v>0.21585018487053131</v>
      </c>
    </row>
    <row r="115" spans="1:14" x14ac:dyDescent="0.25">
      <c r="A115">
        <v>51.632550860719867</v>
      </c>
      <c r="B115">
        <v>0.6514993261455525</v>
      </c>
      <c r="C115">
        <v>3.6829928709329357E-2</v>
      </c>
      <c r="E115">
        <v>51.632550860719867</v>
      </c>
      <c r="F115">
        <v>0.54999352063031304</v>
      </c>
      <c r="G115">
        <v>2.8519042554400041E-2</v>
      </c>
      <c r="H115">
        <v>59.980829420970281</v>
      </c>
      <c r="I115">
        <v>0.40891921944097825</v>
      </c>
      <c r="J115">
        <v>3.4694611785296148E-2</v>
      </c>
      <c r="L115">
        <v>56.942592592592618</v>
      </c>
      <c r="M115">
        <v>0.82481345244350945</v>
      </c>
      <c r="N115">
        <v>8.9211689518890414E-2</v>
      </c>
    </row>
    <row r="116" spans="1:14" x14ac:dyDescent="0.25">
      <c r="A116">
        <v>51.632550860719867</v>
      </c>
      <c r="B116">
        <v>0.54999352063031304</v>
      </c>
      <c r="C116">
        <v>2.8519042554400041E-2</v>
      </c>
      <c r="E116">
        <v>48.51537558685451</v>
      </c>
      <c r="F116">
        <v>0.55736864494595273</v>
      </c>
      <c r="G116">
        <v>1.5737324254715041E-2</v>
      </c>
      <c r="H116">
        <v>56.942592592592618</v>
      </c>
      <c r="I116">
        <v>0.40917958731513493</v>
      </c>
      <c r="J116">
        <v>1.9564054731901728E-2</v>
      </c>
      <c r="L116">
        <v>51.632550860719867</v>
      </c>
      <c r="M116">
        <v>0.82620677832266654</v>
      </c>
      <c r="N116">
        <v>0.770360050084686</v>
      </c>
    </row>
    <row r="117" spans="1:14" x14ac:dyDescent="0.25">
      <c r="A117">
        <v>51.632550860719867</v>
      </c>
      <c r="B117">
        <v>0.50407051146459092</v>
      </c>
      <c r="C117">
        <v>2.6365969930326912E-2</v>
      </c>
      <c r="E117">
        <v>48.51537558685451</v>
      </c>
      <c r="F117">
        <v>0.57352300291904779</v>
      </c>
      <c r="G117">
        <v>2.5064856641906993E-2</v>
      </c>
      <c r="H117">
        <v>57.46417851500788</v>
      </c>
      <c r="I117">
        <v>0.41815048523470366</v>
      </c>
      <c r="J117">
        <v>7.9574040262150023E-2</v>
      </c>
      <c r="L117">
        <v>56.942592592592618</v>
      </c>
      <c r="M117">
        <v>0.83246972199284408</v>
      </c>
      <c r="N117">
        <v>1.3222917044287359</v>
      </c>
    </row>
    <row r="118" spans="1:14" x14ac:dyDescent="0.25">
      <c r="A118">
        <v>51.632550860719867</v>
      </c>
      <c r="B118">
        <v>0.53675403397933918</v>
      </c>
      <c r="C118">
        <v>2.7018502104144901E-2</v>
      </c>
      <c r="E118">
        <v>51.632550860719867</v>
      </c>
      <c r="F118">
        <v>0.57536569853720587</v>
      </c>
      <c r="G118">
        <v>3.2535438286026369E-2</v>
      </c>
      <c r="H118">
        <v>57.46417851500788</v>
      </c>
      <c r="I118">
        <v>0.4277248148767937</v>
      </c>
      <c r="J118">
        <v>2.1716233359142495E-2</v>
      </c>
      <c r="L118">
        <v>49.226236263736283</v>
      </c>
      <c r="M118">
        <v>0.83581481764271714</v>
      </c>
      <c r="N118">
        <v>1.7822537600687499E-2</v>
      </c>
    </row>
    <row r="119" spans="1:14" x14ac:dyDescent="0.25">
      <c r="A119">
        <v>51.632550860719867</v>
      </c>
      <c r="B119">
        <v>0.54898022084048026</v>
      </c>
      <c r="C119">
        <v>3.5717614606799848E-2</v>
      </c>
      <c r="E119">
        <v>42.553716744913906</v>
      </c>
      <c r="F119">
        <v>0.59785639412997904</v>
      </c>
      <c r="G119">
        <v>5.8321611911950594E-2</v>
      </c>
      <c r="H119">
        <v>59.290669856459331</v>
      </c>
      <c r="I119">
        <v>0.42787254737899005</v>
      </c>
      <c r="J119">
        <v>3.5010267929152683E-2</v>
      </c>
      <c r="L119">
        <v>55.692059748427681</v>
      </c>
      <c r="M119">
        <v>0.83919860479377928</v>
      </c>
      <c r="N119">
        <v>2.8644901332585126E-2</v>
      </c>
    </row>
    <row r="120" spans="1:14" x14ac:dyDescent="0.25">
      <c r="A120">
        <v>51.632550860719867</v>
      </c>
      <c r="B120">
        <v>0.57536569853720587</v>
      </c>
      <c r="C120">
        <v>3.2535438286026369E-2</v>
      </c>
      <c r="E120">
        <v>51.632550860719867</v>
      </c>
      <c r="F120">
        <v>0.60183962264150948</v>
      </c>
      <c r="G120">
        <v>4.1673729711404053E-2</v>
      </c>
      <c r="H120">
        <v>59.290669856459331</v>
      </c>
      <c r="I120">
        <v>0.42856324711566496</v>
      </c>
      <c r="J120">
        <v>3.2842960287189714E-2</v>
      </c>
      <c r="L120">
        <v>59.077887788778867</v>
      </c>
      <c r="M120">
        <v>0.83929263067064874</v>
      </c>
      <c r="N120">
        <v>0.12269714735046029</v>
      </c>
    </row>
    <row r="121" spans="1:14" x14ac:dyDescent="0.25">
      <c r="A121">
        <v>51.632550860719867</v>
      </c>
      <c r="B121">
        <v>0.6161503364708889</v>
      </c>
      <c r="C121">
        <v>2.8798046259795627E-2</v>
      </c>
      <c r="E121">
        <v>48.51537558685451</v>
      </c>
      <c r="F121">
        <v>0.60366731077580893</v>
      </c>
      <c r="G121">
        <v>3.0735826746161689E-2</v>
      </c>
      <c r="H121">
        <v>56.942592592592618</v>
      </c>
      <c r="I121">
        <v>0.42888281034957343</v>
      </c>
      <c r="J121">
        <v>9.9609609250013928E-3</v>
      </c>
      <c r="L121">
        <v>51.921287519747246</v>
      </c>
      <c r="M121">
        <v>0.84043039808782471</v>
      </c>
      <c r="N121">
        <v>6.8539246276252908E-2</v>
      </c>
    </row>
    <row r="122" spans="1:14" x14ac:dyDescent="0.25">
      <c r="A122">
        <v>51.632550860719867</v>
      </c>
      <c r="B122">
        <v>0.73207047043463613</v>
      </c>
      <c r="C122">
        <v>8.7221839888994679E-2</v>
      </c>
      <c r="E122">
        <v>51.632550860719867</v>
      </c>
      <c r="F122">
        <v>0.6161503364708889</v>
      </c>
      <c r="G122">
        <v>2.8798046259795627E-2</v>
      </c>
      <c r="H122">
        <v>59.290669856459331</v>
      </c>
      <c r="I122">
        <v>0.43827237898061988</v>
      </c>
      <c r="J122">
        <v>2.5432393667596941E-2</v>
      </c>
      <c r="L122">
        <v>42.553716744913906</v>
      </c>
      <c r="M122">
        <v>0.84140965166908566</v>
      </c>
      <c r="N122">
        <v>4.0608171412565293E-2</v>
      </c>
    </row>
    <row r="123" spans="1:14" x14ac:dyDescent="0.25">
      <c r="A123">
        <v>51.632550860719867</v>
      </c>
      <c r="B123">
        <v>0.84301231068618332</v>
      </c>
      <c r="C123">
        <v>0.45957989763404383</v>
      </c>
      <c r="E123">
        <v>51.632550860719867</v>
      </c>
      <c r="F123">
        <v>0.6514993261455525</v>
      </c>
      <c r="G123">
        <v>3.6829928709329357E-2</v>
      </c>
      <c r="H123">
        <v>58.93384351256573</v>
      </c>
      <c r="I123">
        <v>0.43861028658716533</v>
      </c>
      <c r="J123">
        <v>5.9716470515998335E-2</v>
      </c>
      <c r="L123">
        <v>51.632550860719867</v>
      </c>
      <c r="M123">
        <v>0.84301231068618332</v>
      </c>
      <c r="N123">
        <v>0.45957989763404383</v>
      </c>
    </row>
    <row r="124" spans="1:14" x14ac:dyDescent="0.25">
      <c r="A124">
        <v>51.632550860719867</v>
      </c>
      <c r="B124">
        <v>0.82620677832266654</v>
      </c>
      <c r="C124">
        <v>0.770360050084686</v>
      </c>
      <c r="E124">
        <v>42.553716744913906</v>
      </c>
      <c r="F124">
        <v>0.65197589686098656</v>
      </c>
      <c r="G124">
        <v>3.4368294681872157E-2</v>
      </c>
      <c r="H124">
        <v>59.290669856459331</v>
      </c>
      <c r="I124">
        <v>0.44421856043174496</v>
      </c>
      <c r="J124">
        <v>1.9085018871988393E-2</v>
      </c>
      <c r="L124">
        <v>42.553716744913906</v>
      </c>
      <c r="M124">
        <v>0.87111810115534871</v>
      </c>
      <c r="N124">
        <v>1.1613671418732199</v>
      </c>
    </row>
    <row r="125" spans="1:14" x14ac:dyDescent="0.25">
      <c r="A125">
        <v>51.632550860719867</v>
      </c>
      <c r="B125">
        <v>0.70945858386896121</v>
      </c>
      <c r="C125">
        <v>0.77117282576303414</v>
      </c>
      <c r="E125">
        <v>51.921287519747246</v>
      </c>
      <c r="F125">
        <v>0.67369433112357635</v>
      </c>
      <c r="G125">
        <v>2.7171136631622399E-2</v>
      </c>
      <c r="H125">
        <v>56.942592592592618</v>
      </c>
      <c r="I125">
        <v>0.44457232314891287</v>
      </c>
      <c r="J125">
        <v>1.8238226829268601E-2</v>
      </c>
      <c r="L125">
        <v>59.077887788778867</v>
      </c>
      <c r="M125">
        <v>0.87889980732177309</v>
      </c>
      <c r="N125">
        <v>0.36281171369732101</v>
      </c>
    </row>
    <row r="126" spans="1:14" x14ac:dyDescent="0.25">
      <c r="A126">
        <v>51.632550860719867</v>
      </c>
      <c r="B126">
        <v>0.48831297638385607</v>
      </c>
      <c r="C126">
        <v>6.3653563655784826E-2</v>
      </c>
      <c r="E126">
        <v>42.553716744913906</v>
      </c>
      <c r="F126">
        <v>0.69061139332365751</v>
      </c>
      <c r="G126">
        <v>3.5564446009912452E-2</v>
      </c>
      <c r="H126">
        <v>59.077887788778867</v>
      </c>
      <c r="I126">
        <v>0.44649840706614008</v>
      </c>
      <c r="J126">
        <v>2.5665177137183293E-2</v>
      </c>
      <c r="L126">
        <v>51.921287519747246</v>
      </c>
      <c r="M126">
        <v>0.8812235059429806</v>
      </c>
      <c r="N126">
        <v>1.8499131658785699</v>
      </c>
    </row>
    <row r="127" spans="1:14" x14ac:dyDescent="0.25">
      <c r="A127">
        <v>51.632550860719867</v>
      </c>
      <c r="B127">
        <v>0.40961964743455059</v>
      </c>
      <c r="C127">
        <v>3.7058550053172934E-2</v>
      </c>
      <c r="E127">
        <v>51.921287519747246</v>
      </c>
      <c r="F127">
        <v>0.69324545532868098</v>
      </c>
      <c r="G127">
        <v>2.053408761711864E-2</v>
      </c>
      <c r="H127">
        <v>57.46417851500788</v>
      </c>
      <c r="I127">
        <v>0.44705608900281552</v>
      </c>
      <c r="J127">
        <v>4.0056621983287501E-2</v>
      </c>
      <c r="L127">
        <v>58.93384351256573</v>
      </c>
      <c r="M127">
        <v>0.88685569140168008</v>
      </c>
      <c r="N127">
        <v>0.35387047257620707</v>
      </c>
    </row>
    <row r="128" spans="1:14" x14ac:dyDescent="0.25">
      <c r="A128">
        <v>51.632550860719867</v>
      </c>
      <c r="B128">
        <v>0.37603898262821051</v>
      </c>
      <c r="C128">
        <v>3.1722633599996344E-2</v>
      </c>
      <c r="E128">
        <v>48.51537558685451</v>
      </c>
      <c r="F128">
        <v>0.69753965969893283</v>
      </c>
      <c r="G128">
        <v>0.72086951986152092</v>
      </c>
      <c r="H128">
        <v>59.077887788778867</v>
      </c>
      <c r="I128">
        <v>0.4510635082549394</v>
      </c>
      <c r="J128">
        <v>2.351856235451931E-2</v>
      </c>
      <c r="L128">
        <v>51.921287519747246</v>
      </c>
      <c r="M128">
        <v>0.88845894671366366</v>
      </c>
      <c r="N128">
        <v>0.81781312979421428</v>
      </c>
    </row>
    <row r="129" spans="1:14" x14ac:dyDescent="0.25">
      <c r="A129">
        <v>51.632550860719867</v>
      </c>
      <c r="B129">
        <v>0.272447682480985</v>
      </c>
      <c r="C129">
        <v>3.9175806376972704E-2</v>
      </c>
      <c r="E129">
        <v>49.226236263736283</v>
      </c>
      <c r="F129">
        <v>0.69766001518547149</v>
      </c>
      <c r="G129">
        <v>1.7933899549305611E-2</v>
      </c>
      <c r="H129">
        <v>56.942592592592618</v>
      </c>
      <c r="I129">
        <v>0.46296621249655939</v>
      </c>
      <c r="J129">
        <v>1.5089733107690321E-2</v>
      </c>
      <c r="L129">
        <v>59.980829420970281</v>
      </c>
      <c r="M129">
        <v>0.89029839087642504</v>
      </c>
      <c r="N129">
        <v>8.4985093062831016E-2</v>
      </c>
    </row>
    <row r="130" spans="1:14" x14ac:dyDescent="0.25">
      <c r="A130">
        <v>51.632550860719867</v>
      </c>
      <c r="B130">
        <v>0.15900677870798449</v>
      </c>
      <c r="C130">
        <v>3.0685224765700382E-2</v>
      </c>
      <c r="E130">
        <v>51.921287519747246</v>
      </c>
      <c r="F130">
        <v>0.70198920763273864</v>
      </c>
      <c r="G130">
        <v>2.5242216626050515E-2</v>
      </c>
      <c r="H130">
        <v>56.942592592592618</v>
      </c>
      <c r="I130">
        <v>0.469122986381451</v>
      </c>
      <c r="J130">
        <v>1.0419271726930296E-2</v>
      </c>
      <c r="L130">
        <v>57.46417851500788</v>
      </c>
      <c r="M130">
        <v>0.89166857989647685</v>
      </c>
      <c r="N130">
        <v>8.2967796483855077E-2</v>
      </c>
    </row>
    <row r="131" spans="1:14" x14ac:dyDescent="0.25">
      <c r="A131">
        <v>51.921287519747246</v>
      </c>
      <c r="B131">
        <v>7.5301538558946432E-2</v>
      </c>
      <c r="C131">
        <v>2.2728947919044243E-2</v>
      </c>
      <c r="E131">
        <v>42.553716744913906</v>
      </c>
      <c r="F131">
        <v>0.70845510809300727</v>
      </c>
      <c r="G131">
        <v>3.2641605032098356E-2</v>
      </c>
      <c r="H131">
        <v>57.46417851500788</v>
      </c>
      <c r="I131">
        <v>0.47125492432096205</v>
      </c>
      <c r="J131">
        <v>2.9535966313227555E-2</v>
      </c>
      <c r="L131">
        <v>51.921287519747246</v>
      </c>
      <c r="M131">
        <v>0.89290020306286477</v>
      </c>
      <c r="N131">
        <v>0.39083368907452298</v>
      </c>
    </row>
    <row r="132" spans="1:14" x14ac:dyDescent="0.25">
      <c r="A132">
        <v>51.921287519747246</v>
      </c>
      <c r="B132">
        <v>4.4915910136802906E-2</v>
      </c>
      <c r="C132">
        <v>1.5197469716364344E-2</v>
      </c>
      <c r="E132">
        <v>51.632550860719867</v>
      </c>
      <c r="F132">
        <v>0.70945858386896121</v>
      </c>
      <c r="G132">
        <v>0.77117282576303414</v>
      </c>
      <c r="H132">
        <v>59.980829420970281</v>
      </c>
      <c r="I132">
        <v>0.47470594041136172</v>
      </c>
      <c r="J132">
        <v>3.0070029423486539E-2</v>
      </c>
      <c r="L132">
        <v>42.553716744913906</v>
      </c>
      <c r="M132">
        <v>0.8969587744386579</v>
      </c>
      <c r="N132">
        <v>5.194679181525004E-2</v>
      </c>
    </row>
    <row r="133" spans="1:14" x14ac:dyDescent="0.25">
      <c r="A133">
        <v>51.921287519747246</v>
      </c>
      <c r="B133">
        <v>3.5499258002967993E-2</v>
      </c>
      <c r="C133">
        <v>2.4777357475399102E-2</v>
      </c>
      <c r="E133">
        <v>51.921287519747246</v>
      </c>
      <c r="F133">
        <v>0.71135131772546301</v>
      </c>
      <c r="G133">
        <v>3.0169242089771627E-2</v>
      </c>
      <c r="H133">
        <v>59.290669856459331</v>
      </c>
      <c r="I133">
        <v>0.47718106530541915</v>
      </c>
      <c r="J133">
        <v>3.5548921115281171E-2</v>
      </c>
      <c r="L133">
        <v>59.077887788778867</v>
      </c>
      <c r="M133">
        <v>0.90429928385511005</v>
      </c>
      <c r="N133">
        <v>0.16516651665166548</v>
      </c>
    </row>
    <row r="134" spans="1:14" x14ac:dyDescent="0.25">
      <c r="A134">
        <v>51.921287519747246</v>
      </c>
      <c r="B134">
        <v>4.4104824137496321E-2</v>
      </c>
      <c r="C134">
        <v>1.8428084928437755E-2</v>
      </c>
      <c r="E134">
        <v>48.51537558685451</v>
      </c>
      <c r="F134">
        <v>0.71651308505764677</v>
      </c>
      <c r="G134">
        <v>6.3362024551599866E-2</v>
      </c>
      <c r="H134">
        <v>57.46417851500788</v>
      </c>
      <c r="I134">
        <v>0.4809668224892123</v>
      </c>
      <c r="J134">
        <v>2.4345761084603703E-2</v>
      </c>
      <c r="L134">
        <v>59.980829420970281</v>
      </c>
      <c r="M134">
        <v>0.90889196941560091</v>
      </c>
      <c r="N134">
        <v>0.7105561807208185</v>
      </c>
    </row>
    <row r="135" spans="1:14" x14ac:dyDescent="0.25">
      <c r="A135">
        <v>51.921287519747246</v>
      </c>
      <c r="B135">
        <v>9.9944320712694865E-2</v>
      </c>
      <c r="C135">
        <v>1.6633489955545484E-2</v>
      </c>
      <c r="E135">
        <v>51.632550860719867</v>
      </c>
      <c r="F135">
        <v>0.73207047043463613</v>
      </c>
      <c r="G135">
        <v>8.7221839888994679E-2</v>
      </c>
      <c r="H135">
        <v>57.46417851500788</v>
      </c>
      <c r="I135">
        <v>0.48305644826871241</v>
      </c>
      <c r="J135">
        <v>2.64159585864648E-2</v>
      </c>
      <c r="L135">
        <v>49.226236263736283</v>
      </c>
      <c r="M135">
        <v>0.91206120934162793</v>
      </c>
      <c r="N135">
        <v>6.6986234021632257E-2</v>
      </c>
    </row>
    <row r="136" spans="1:14" x14ac:dyDescent="0.25">
      <c r="A136">
        <v>51.921287519747246</v>
      </c>
      <c r="B136">
        <v>0.30806730121293802</v>
      </c>
      <c r="C136">
        <v>1.2302817710850657E-2</v>
      </c>
      <c r="E136">
        <v>51.921287519747246</v>
      </c>
      <c r="F136">
        <v>0.73662410356014685</v>
      </c>
      <c r="G136">
        <v>2.8743095457487978E-2</v>
      </c>
      <c r="H136">
        <v>59.077887788778867</v>
      </c>
      <c r="I136">
        <v>0.48954768309200852</v>
      </c>
      <c r="J136">
        <v>4.6622383757362988E-2</v>
      </c>
      <c r="L136">
        <v>56.942592592592618</v>
      </c>
      <c r="M136">
        <v>0.91905359213424509</v>
      </c>
      <c r="N136">
        <v>0.33629979531302323</v>
      </c>
    </row>
    <row r="137" spans="1:14" x14ac:dyDescent="0.25">
      <c r="A137">
        <v>51.921287519747246</v>
      </c>
      <c r="B137">
        <v>0.77104117966271501</v>
      </c>
      <c r="C137">
        <v>5.1989703888892874E-2</v>
      </c>
      <c r="E137">
        <v>42.553716744913906</v>
      </c>
      <c r="F137">
        <v>0.74718441665224156</v>
      </c>
      <c r="G137">
        <v>3.5334195703217823E-2</v>
      </c>
      <c r="H137">
        <v>56.942592592592618</v>
      </c>
      <c r="I137">
        <v>0.49075403717048155</v>
      </c>
      <c r="J137">
        <v>1.4211460265338604E-2</v>
      </c>
      <c r="L137">
        <v>58.93384351256573</v>
      </c>
      <c r="M137">
        <v>0.91947785936225224</v>
      </c>
      <c r="N137">
        <v>0.96798742789383452</v>
      </c>
    </row>
    <row r="138" spans="1:14" x14ac:dyDescent="0.25">
      <c r="A138">
        <v>51.921287519747246</v>
      </c>
      <c r="B138">
        <v>0.96500524109014674</v>
      </c>
      <c r="C138">
        <v>0.3599610168214501</v>
      </c>
      <c r="E138">
        <v>51.921287519747246</v>
      </c>
      <c r="F138">
        <v>0.75527031930333821</v>
      </c>
      <c r="G138" s="10">
        <v>0.3494371560595631</v>
      </c>
      <c r="H138">
        <v>59.290669856459331</v>
      </c>
      <c r="I138">
        <v>0.51153009780162717</v>
      </c>
      <c r="J138">
        <v>2.7576110566258673E-2</v>
      </c>
      <c r="L138">
        <v>55.692059748427681</v>
      </c>
      <c r="M138">
        <v>0.92715319075868641</v>
      </c>
      <c r="N138">
        <v>8.87063148103686E-2</v>
      </c>
    </row>
    <row r="139" spans="1:14" x14ac:dyDescent="0.25">
      <c r="A139">
        <v>51.921287519747246</v>
      </c>
      <c r="B139">
        <v>0.88845894671366366</v>
      </c>
      <c r="C139">
        <v>0.81781312979421428</v>
      </c>
      <c r="E139">
        <v>42.553716744913906</v>
      </c>
      <c r="F139">
        <v>0.76096698113207539</v>
      </c>
      <c r="G139" s="10">
        <v>3.1756295672639816E-2</v>
      </c>
      <c r="H139">
        <v>59.290669856459331</v>
      </c>
      <c r="I139">
        <v>0.51405675859791089</v>
      </c>
      <c r="J139">
        <v>6.4835835082772436E-2</v>
      </c>
      <c r="L139">
        <v>59.290669856459331</v>
      </c>
      <c r="M139">
        <v>0.9446973270440252</v>
      </c>
      <c r="N139">
        <v>0.2777492370184288</v>
      </c>
    </row>
    <row r="140" spans="1:14" x14ac:dyDescent="0.25">
      <c r="A140">
        <v>51.921287519747246</v>
      </c>
      <c r="B140">
        <v>0.78622745179348952</v>
      </c>
      <c r="C140">
        <v>0.1815721349035877</v>
      </c>
      <c r="E140">
        <v>49.226236263736283</v>
      </c>
      <c r="F140">
        <v>0.76220912639661642</v>
      </c>
      <c r="G140" s="10">
        <v>2.6980439202464613E-2</v>
      </c>
      <c r="H140">
        <v>55.692059748427681</v>
      </c>
      <c r="I140">
        <v>0.51603067454328411</v>
      </c>
      <c r="J140">
        <v>3.0899264978546809E-2</v>
      </c>
      <c r="L140">
        <v>59.980829420970281</v>
      </c>
      <c r="M140">
        <v>0.95541129390840374</v>
      </c>
      <c r="N140">
        <v>0.5460153917764804</v>
      </c>
    </row>
    <row r="141" spans="1:14" x14ac:dyDescent="0.25">
      <c r="A141">
        <v>51.921287519747246</v>
      </c>
      <c r="B141">
        <v>0.67369433112357635</v>
      </c>
      <c r="C141">
        <v>2.7171136631622399E-2</v>
      </c>
      <c r="E141">
        <v>51.921287519747246</v>
      </c>
      <c r="F141">
        <v>0.77104117966271501</v>
      </c>
      <c r="G141" s="10">
        <v>5.1989703888892874E-2</v>
      </c>
      <c r="H141">
        <v>56.942592592592618</v>
      </c>
      <c r="I141">
        <v>0.52086826711104195</v>
      </c>
      <c r="J141">
        <v>1.2420490664065401E-2</v>
      </c>
      <c r="L141">
        <v>59.290669856459331</v>
      </c>
      <c r="M141">
        <v>0.95579117574359407</v>
      </c>
      <c r="N141">
        <v>0.58066301936708442</v>
      </c>
    </row>
    <row r="142" spans="1:14" x14ac:dyDescent="0.25">
      <c r="A142">
        <v>51.921287519747246</v>
      </c>
      <c r="B142">
        <v>0.69324545532868098</v>
      </c>
      <c r="C142">
        <v>2.053408761711864E-2</v>
      </c>
      <c r="E142">
        <v>51.921287519747246</v>
      </c>
      <c r="F142">
        <v>0.78622745179348952</v>
      </c>
      <c r="G142" s="10">
        <v>0.1815721349035877</v>
      </c>
      <c r="H142">
        <v>56.942592592592618</v>
      </c>
      <c r="I142">
        <v>0.52284345320306247</v>
      </c>
      <c r="J142">
        <v>5.2864609042417979E-2</v>
      </c>
      <c r="L142">
        <v>59.980829420970281</v>
      </c>
      <c r="M142">
        <v>0.96154516879548457</v>
      </c>
      <c r="N142">
        <v>0.9120442913921033</v>
      </c>
    </row>
    <row r="143" spans="1:14" x14ac:dyDescent="0.25">
      <c r="A143">
        <v>51.921287519747246</v>
      </c>
      <c r="B143">
        <v>0.71135131772546301</v>
      </c>
      <c r="C143">
        <v>3.0169242089771627E-2</v>
      </c>
      <c r="E143">
        <v>42.553716744913906</v>
      </c>
      <c r="F143">
        <v>0.79611624524023439</v>
      </c>
      <c r="G143" s="10">
        <v>4.4084780481563252E-2</v>
      </c>
      <c r="H143">
        <v>57.46417851500788</v>
      </c>
      <c r="I143">
        <v>0.52729205796977718</v>
      </c>
      <c r="J143">
        <v>2.4370525644797421E-2</v>
      </c>
      <c r="L143">
        <v>55.692059748427681</v>
      </c>
      <c r="M143">
        <v>0.96298506410745854</v>
      </c>
      <c r="N143">
        <v>0.4320991012759432</v>
      </c>
    </row>
    <row r="144" spans="1:14" x14ac:dyDescent="0.25">
      <c r="A144">
        <v>51.921287519747246</v>
      </c>
      <c r="B144">
        <v>0.70198920763273864</v>
      </c>
      <c r="C144">
        <v>2.5242216626050515E-2</v>
      </c>
      <c r="E144">
        <v>42.553716744913906</v>
      </c>
      <c r="F144">
        <v>0.7968136896810819</v>
      </c>
      <c r="G144" s="10">
        <v>0.7209149723345164</v>
      </c>
      <c r="H144">
        <v>58.93384351256573</v>
      </c>
      <c r="I144">
        <v>0.53185900082576354</v>
      </c>
      <c r="J144">
        <v>6.4038513615362322E-2</v>
      </c>
      <c r="L144">
        <v>51.921287519747246</v>
      </c>
      <c r="M144">
        <v>0.96500524109014674</v>
      </c>
      <c r="N144">
        <v>0.3599610168214501</v>
      </c>
    </row>
    <row r="145" spans="1:14" x14ac:dyDescent="0.25">
      <c r="A145">
        <v>51.921287519747246</v>
      </c>
      <c r="B145">
        <v>0.73662410356014685</v>
      </c>
      <c r="C145">
        <v>2.8743095457487978E-2</v>
      </c>
      <c r="E145">
        <v>48.51537558685451</v>
      </c>
      <c r="F145">
        <v>0.8056270410649915</v>
      </c>
      <c r="G145" s="10">
        <v>0.86310966155355251</v>
      </c>
      <c r="H145">
        <v>57.46417851500788</v>
      </c>
      <c r="I145">
        <v>0.54687694381090601</v>
      </c>
      <c r="J145">
        <v>4.390587800198803E-2</v>
      </c>
      <c r="L145">
        <v>55.692059748427681</v>
      </c>
      <c r="M145">
        <v>0.97353049468495756</v>
      </c>
      <c r="N145">
        <v>0.24392636727764419</v>
      </c>
    </row>
    <row r="146" spans="1:14" x14ac:dyDescent="0.25">
      <c r="A146">
        <v>51.921287519747246</v>
      </c>
      <c r="B146">
        <v>0.84043039808782471</v>
      </c>
      <c r="C146">
        <v>6.8539246276252908E-2</v>
      </c>
      <c r="E146">
        <v>48.51537558685451</v>
      </c>
      <c r="F146">
        <v>0.81352493073964205</v>
      </c>
      <c r="G146" s="10">
        <v>0.59752461282183467</v>
      </c>
      <c r="H146">
        <v>59.290669856459331</v>
      </c>
      <c r="I146">
        <v>0.55048292902066487</v>
      </c>
      <c r="J146">
        <v>2.9177189430465461E-2</v>
      </c>
      <c r="L146">
        <v>49.226236263736283</v>
      </c>
      <c r="M146">
        <v>0.97422887344854203</v>
      </c>
      <c r="N146">
        <v>1.4862878580589491E-2</v>
      </c>
    </row>
    <row r="147" spans="1:14" x14ac:dyDescent="0.25">
      <c r="A147">
        <v>51.921287519747246</v>
      </c>
      <c r="B147">
        <v>0.89290020306286477</v>
      </c>
      <c r="C147">
        <v>0.39083368907452298</v>
      </c>
      <c r="E147">
        <v>51.632550860719867</v>
      </c>
      <c r="F147">
        <v>0.82620677832266654</v>
      </c>
      <c r="G147" s="10">
        <v>0.770360050084686</v>
      </c>
      <c r="H147">
        <v>56.942592592592618</v>
      </c>
      <c r="I147">
        <v>0.55310349573355344</v>
      </c>
      <c r="J147">
        <v>1.0703585330451449E-2</v>
      </c>
      <c r="L147">
        <v>55.692059748427681</v>
      </c>
      <c r="M147">
        <v>0.98331662118123386</v>
      </c>
      <c r="N147">
        <v>0.43552905448748225</v>
      </c>
    </row>
    <row r="148" spans="1:14" x14ac:dyDescent="0.25">
      <c r="A148">
        <v>51.921287519747246</v>
      </c>
      <c r="B148">
        <v>0.8812235059429806</v>
      </c>
      <c r="C148">
        <v>1.8499131658785699</v>
      </c>
      <c r="E148">
        <v>49.226236263736283</v>
      </c>
      <c r="F148">
        <v>0.83581481764271714</v>
      </c>
      <c r="G148" s="10">
        <v>1.7822537600687499E-2</v>
      </c>
      <c r="H148">
        <v>57.46417851500788</v>
      </c>
      <c r="I148">
        <v>0.56142259862778732</v>
      </c>
      <c r="J148">
        <v>3.2128151622921514E-2</v>
      </c>
      <c r="L148">
        <v>59.980829420970281</v>
      </c>
      <c r="M148">
        <v>0.99473003639477531</v>
      </c>
      <c r="N148">
        <v>0.31705364940028585</v>
      </c>
    </row>
    <row r="149" spans="1:14" x14ac:dyDescent="0.25">
      <c r="A149">
        <v>51.921287519747246</v>
      </c>
      <c r="B149">
        <v>0.75527031930333821</v>
      </c>
      <c r="C149">
        <v>0.3494371560595631</v>
      </c>
      <c r="E149">
        <v>51.921287519747246</v>
      </c>
      <c r="F149">
        <v>0.84043039808782471</v>
      </c>
      <c r="G149" s="10">
        <v>6.8539246276252908E-2</v>
      </c>
      <c r="H149">
        <v>55.692059748427681</v>
      </c>
      <c r="I149">
        <v>0.56825250958540807</v>
      </c>
      <c r="J149">
        <v>2.7582641486482193E-2</v>
      </c>
      <c r="L149">
        <v>42.553716744913906</v>
      </c>
      <c r="M149">
        <v>1.0283189963780324</v>
      </c>
      <c r="N149">
        <v>0.17414250272153606</v>
      </c>
    </row>
    <row r="150" spans="1:14" x14ac:dyDescent="0.25">
      <c r="A150">
        <v>51.921287519747246</v>
      </c>
      <c r="B150">
        <v>0.5165146403432046</v>
      </c>
      <c r="C150">
        <v>3.6384201654713608E-2</v>
      </c>
      <c r="E150">
        <v>42.553716744913906</v>
      </c>
      <c r="F150">
        <v>0.84140965166908566</v>
      </c>
      <c r="G150" s="10">
        <v>4.0608171412565293E-2</v>
      </c>
      <c r="H150">
        <v>59.980829420970281</v>
      </c>
      <c r="I150">
        <v>0.57443461913086391</v>
      </c>
      <c r="J150">
        <v>6.6431878229907926E-2</v>
      </c>
      <c r="L150">
        <v>42.553716744913906</v>
      </c>
      <c r="M150">
        <v>1.0340037757001437</v>
      </c>
      <c r="N150">
        <v>0.63712639543976957</v>
      </c>
    </row>
    <row r="151" spans="1:14" x14ac:dyDescent="0.25">
      <c r="A151">
        <v>51.921287519747246</v>
      </c>
      <c r="B151">
        <v>0.40768269109551625</v>
      </c>
      <c r="C151">
        <v>2.7823548305388031E-2</v>
      </c>
      <c r="E151">
        <v>51.632550860719867</v>
      </c>
      <c r="F151">
        <v>0.84301231068618332</v>
      </c>
      <c r="G151" s="10">
        <v>0.45957989763404383</v>
      </c>
      <c r="H151">
        <v>59.077887788778867</v>
      </c>
      <c r="I151">
        <v>0.58275816020908444</v>
      </c>
      <c r="J151">
        <v>5.7191541747047769E-2</v>
      </c>
      <c r="L151">
        <v>49.226236263736283</v>
      </c>
      <c r="M151">
        <v>1.0341810844408146</v>
      </c>
      <c r="N151">
        <v>1.7863319956717378E-2</v>
      </c>
    </row>
    <row r="152" spans="1:14" x14ac:dyDescent="0.25">
      <c r="A152">
        <v>51.921287519747246</v>
      </c>
      <c r="B152">
        <v>0.3426993288172222</v>
      </c>
      <c r="C152">
        <v>1.7077209117317055E-2</v>
      </c>
      <c r="E152">
        <v>42.553716744913906</v>
      </c>
      <c r="F152">
        <v>0.87111810115534871</v>
      </c>
      <c r="G152" s="10">
        <v>1.1613671418732199</v>
      </c>
      <c r="H152">
        <v>56.942592592592618</v>
      </c>
      <c r="I152">
        <v>0.59750394114555971</v>
      </c>
      <c r="J152">
        <v>1.4803729350909327E-2</v>
      </c>
      <c r="L152">
        <v>57.46417851500788</v>
      </c>
      <c r="M152">
        <v>1.0477895702306079</v>
      </c>
      <c r="N152">
        <v>0.18034973554238784</v>
      </c>
    </row>
    <row r="153" spans="1:14" x14ac:dyDescent="0.25">
      <c r="A153">
        <v>51.921287519747246</v>
      </c>
      <c r="B153">
        <v>0.24438742278438461</v>
      </c>
      <c r="C153">
        <v>2.2359437987128791E-2</v>
      </c>
      <c r="E153">
        <v>51.921287519747246</v>
      </c>
      <c r="F153">
        <v>0.8812235059429806</v>
      </c>
      <c r="G153" s="10">
        <v>1.8499131658785699</v>
      </c>
      <c r="H153">
        <v>57.46417851500788</v>
      </c>
      <c r="I153">
        <v>0.60216769132923476</v>
      </c>
      <c r="J153">
        <v>2.454503316849373E-2</v>
      </c>
      <c r="L153">
        <v>57.46417851500788</v>
      </c>
      <c r="M153">
        <v>1.0513267796819643</v>
      </c>
      <c r="N153">
        <v>0.24956082663784473</v>
      </c>
    </row>
    <row r="154" spans="1:14" x14ac:dyDescent="0.25">
      <c r="A154">
        <v>51.921287519747246</v>
      </c>
      <c r="B154">
        <v>0.14368700279062019</v>
      </c>
      <c r="C154">
        <v>2.1584183219854176E-2</v>
      </c>
      <c r="E154">
        <v>51.921287519747246</v>
      </c>
      <c r="F154">
        <v>0.88845894671366366</v>
      </c>
      <c r="G154" s="10">
        <v>0.81781312979421428</v>
      </c>
      <c r="H154">
        <v>58.93384351256573</v>
      </c>
      <c r="I154">
        <v>0.60380330066180732</v>
      </c>
      <c r="J154">
        <v>1.4510579970305691E-2</v>
      </c>
      <c r="L154">
        <v>49.226236263736283</v>
      </c>
      <c r="M154">
        <v>1.0537064930437459</v>
      </c>
      <c r="N154">
        <v>4.0589742126191625E-2</v>
      </c>
    </row>
    <row r="155" spans="1:14" x14ac:dyDescent="0.25">
      <c r="A155">
        <v>55.692059748427681</v>
      </c>
      <c r="B155">
        <v>0.10844312759091131</v>
      </c>
      <c r="C155">
        <v>3.0350018174229498E-2</v>
      </c>
      <c r="E155">
        <v>51.921287519747246</v>
      </c>
      <c r="F155">
        <v>0.89290020306286477</v>
      </c>
      <c r="G155" s="10">
        <v>0.39083368907452298</v>
      </c>
      <c r="H155">
        <v>59.077887788778867</v>
      </c>
      <c r="I155">
        <v>0.61770914215051864</v>
      </c>
      <c r="J155">
        <v>1.687090098406531E-2</v>
      </c>
      <c r="L155">
        <v>55.692059748427681</v>
      </c>
      <c r="M155">
        <v>1.0677421356035735</v>
      </c>
      <c r="N155">
        <v>0.1436649684524966</v>
      </c>
    </row>
    <row r="156" spans="1:14" x14ac:dyDescent="0.25">
      <c r="A156">
        <v>55.692059748427681</v>
      </c>
      <c r="B156">
        <v>6.2238850288021855E-2</v>
      </c>
      <c r="C156">
        <v>2.8405267917218931E-2</v>
      </c>
      <c r="E156">
        <v>42.553716744913906</v>
      </c>
      <c r="F156">
        <v>0.8969587744386579</v>
      </c>
      <c r="G156" s="10">
        <v>5.194679181525004E-2</v>
      </c>
      <c r="H156">
        <v>58.93384351256573</v>
      </c>
      <c r="I156">
        <v>0.63404948249697346</v>
      </c>
      <c r="J156">
        <v>1.8400784740712901E-2</v>
      </c>
      <c r="L156">
        <v>49.226236263736283</v>
      </c>
      <c r="M156">
        <v>1.0718547197150761</v>
      </c>
      <c r="N156">
        <v>1.9677466980653237E-2</v>
      </c>
    </row>
    <row r="157" spans="1:14" x14ac:dyDescent="0.25">
      <c r="A157">
        <v>55.692059748427681</v>
      </c>
      <c r="B157">
        <v>4.3422687266018362E-2</v>
      </c>
      <c r="C157">
        <v>2.6899427340543312E-2</v>
      </c>
      <c r="E157">
        <v>49.226236263736283</v>
      </c>
      <c r="F157">
        <v>0.91206120934162793</v>
      </c>
      <c r="G157" s="10">
        <v>6.6986234021632257E-2</v>
      </c>
      <c r="H157">
        <v>55.692059748427681</v>
      </c>
      <c r="I157">
        <v>0.63407836422716535</v>
      </c>
      <c r="J157">
        <v>4.6873357029072471E-2</v>
      </c>
      <c r="L157">
        <v>55.692059748427681</v>
      </c>
      <c r="M157">
        <v>1.0771089925762332</v>
      </c>
      <c r="N157">
        <v>0.76492028992006589</v>
      </c>
    </row>
    <row r="158" spans="1:14" x14ac:dyDescent="0.25">
      <c r="A158">
        <v>55.692059748427681</v>
      </c>
      <c r="B158">
        <v>4.4725555572749702E-2</v>
      </c>
      <c r="C158">
        <v>2.1665884710692914E-2</v>
      </c>
      <c r="E158">
        <v>51.921287519747246</v>
      </c>
      <c r="F158">
        <v>0.96500524109014674</v>
      </c>
      <c r="G158" s="10">
        <v>0.3599610168214501</v>
      </c>
      <c r="H158">
        <v>59.077887788778867</v>
      </c>
      <c r="I158">
        <v>0.63981190026517043</v>
      </c>
      <c r="J158">
        <v>2.2114464886922664E-2</v>
      </c>
      <c r="L158">
        <v>55.692059748427681</v>
      </c>
      <c r="M158">
        <v>1.1195818643300026</v>
      </c>
      <c r="N158">
        <v>0.57947260497193398</v>
      </c>
    </row>
    <row r="159" spans="1:14" x14ac:dyDescent="0.25">
      <c r="A159">
        <v>55.692059748427681</v>
      </c>
      <c r="B159">
        <v>9.7492021583684391E-2</v>
      </c>
      <c r="C159">
        <v>1.72102552898881E-2</v>
      </c>
      <c r="E159">
        <v>49.226236263736283</v>
      </c>
      <c r="F159">
        <v>0.97422887344854203</v>
      </c>
      <c r="G159" s="10">
        <v>1.4862878580589491E-2</v>
      </c>
      <c r="H159">
        <v>58.93384351256573</v>
      </c>
      <c r="I159">
        <v>0.6409596618807879</v>
      </c>
      <c r="J159">
        <v>1.7931480379787038E-2</v>
      </c>
      <c r="L159">
        <v>49.226236263736283</v>
      </c>
      <c r="M159">
        <v>1.124735887934349</v>
      </c>
      <c r="N159">
        <v>2.5871661319582854E-2</v>
      </c>
    </row>
    <row r="160" spans="1:14" x14ac:dyDescent="0.25">
      <c r="A160">
        <v>55.692059748427681</v>
      </c>
      <c r="B160">
        <v>0.279629877071085</v>
      </c>
      <c r="C160">
        <v>1.9756407013876758E-2</v>
      </c>
      <c r="E160">
        <v>42.553716744913906</v>
      </c>
      <c r="F160">
        <v>1.0283189963780324</v>
      </c>
      <c r="G160" s="10">
        <v>0.17414250272153606</v>
      </c>
      <c r="H160">
        <v>59.290669856459331</v>
      </c>
      <c r="I160">
        <v>0.64674432687404382</v>
      </c>
      <c r="J160">
        <v>4.18171252487686E-2</v>
      </c>
      <c r="L160">
        <v>49.226236263736283</v>
      </c>
      <c r="M160">
        <v>1.1626312233393503</v>
      </c>
      <c r="N160">
        <v>0.65963954150377124</v>
      </c>
    </row>
    <row r="161" spans="1:14" x14ac:dyDescent="0.25">
      <c r="A161">
        <v>55.692059748427681</v>
      </c>
      <c r="B161">
        <v>0.63407836422716535</v>
      </c>
      <c r="C161">
        <v>4.6873357029072471E-2</v>
      </c>
      <c r="E161">
        <v>42.553716744913906</v>
      </c>
      <c r="F161">
        <v>1.0340037757001437</v>
      </c>
      <c r="G161" s="10">
        <v>0.63712639543976957</v>
      </c>
      <c r="H161">
        <v>59.077887788778867</v>
      </c>
      <c r="I161">
        <v>0.64707658110200261</v>
      </c>
      <c r="J161">
        <v>1.7612664350135535E-2</v>
      </c>
      <c r="L161">
        <v>49.226236263736283</v>
      </c>
      <c r="M161">
        <v>1.2038502651811043</v>
      </c>
      <c r="N161">
        <v>0.80613598472706982</v>
      </c>
    </row>
    <row r="162" spans="1:14" x14ac:dyDescent="0.25">
      <c r="A162">
        <v>55.692059748427681</v>
      </c>
      <c r="B162">
        <v>0.97353049468495756</v>
      </c>
      <c r="C162">
        <v>0.24392636727764419</v>
      </c>
      <c r="E162">
        <v>49.226236263736283</v>
      </c>
      <c r="F162">
        <v>1.0341810844408146</v>
      </c>
      <c r="G162" s="10">
        <v>1.7863319956717378E-2</v>
      </c>
      <c r="H162">
        <v>59.077887788778867</v>
      </c>
      <c r="I162">
        <v>0.64750096339113672</v>
      </c>
      <c r="J162">
        <v>2.16447550353281E-2</v>
      </c>
      <c r="L162">
        <v>49.226236263736283</v>
      </c>
      <c r="M162">
        <v>1.2183604161037236</v>
      </c>
      <c r="N162">
        <v>4.4111599003781268E-2</v>
      </c>
    </row>
    <row r="163" spans="1:14" x14ac:dyDescent="0.25">
      <c r="A163">
        <v>55.692059748427681</v>
      </c>
      <c r="B163">
        <v>0.98331662118123386</v>
      </c>
      <c r="C163">
        <v>0.43552905448748225</v>
      </c>
      <c r="E163">
        <v>49.226236263736283</v>
      </c>
      <c r="F163">
        <v>1.0537064930437459</v>
      </c>
      <c r="G163" s="10">
        <v>4.0589742126191625E-2</v>
      </c>
      <c r="H163">
        <v>58.93384351256573</v>
      </c>
      <c r="I163">
        <v>0.65130568356374829</v>
      </c>
      <c r="J163">
        <v>1.6716468524624661E-2</v>
      </c>
      <c r="L163">
        <v>49.226236263736283</v>
      </c>
      <c r="M163">
        <v>1.2397706411358724</v>
      </c>
      <c r="N163">
        <v>2.0681043501737571E-2</v>
      </c>
    </row>
    <row r="164" spans="1:14" x14ac:dyDescent="0.25">
      <c r="A164">
        <v>55.692059748427681</v>
      </c>
      <c r="B164">
        <v>0.79383330547164344</v>
      </c>
      <c r="C164">
        <v>0.10515204530927316</v>
      </c>
      <c r="E164">
        <v>49.226236263736283</v>
      </c>
      <c r="F164">
        <v>1.0718547197150761</v>
      </c>
      <c r="G164" s="10">
        <v>1.9677466980653237E-2</v>
      </c>
      <c r="H164">
        <v>58.93384351256573</v>
      </c>
      <c r="I164">
        <v>0.66269574356279548</v>
      </c>
      <c r="J164">
        <v>1.8488544777873015E-2</v>
      </c>
      <c r="L164">
        <v>49.226236263736283</v>
      </c>
      <c r="M164">
        <v>1.2612349346715996</v>
      </c>
      <c r="N164">
        <v>3.9416911974569334E-2</v>
      </c>
    </row>
    <row r="165" spans="1:14" x14ac:dyDescent="0.25">
      <c r="A165">
        <v>55.692059748427681</v>
      </c>
      <c r="B165">
        <v>0.72220256065793209</v>
      </c>
      <c r="C165">
        <v>2.4772561758007652E-2</v>
      </c>
      <c r="E165">
        <v>49.226236263736283</v>
      </c>
      <c r="F165">
        <v>1.124735887934349</v>
      </c>
      <c r="G165" s="10">
        <v>2.5871661319582854E-2</v>
      </c>
      <c r="H165">
        <v>59.077887788778867</v>
      </c>
      <c r="I165">
        <v>0.67453179190751444</v>
      </c>
      <c r="J165">
        <v>1.9134538699449321E-2</v>
      </c>
      <c r="L165">
        <v>49.226236263736283</v>
      </c>
      <c r="M165">
        <v>1.3504487734753683</v>
      </c>
      <c r="N165">
        <v>0.51984233413371506</v>
      </c>
    </row>
    <row r="166" spans="1:14" x14ac:dyDescent="0.25">
      <c r="A166">
        <v>55.692059748427681</v>
      </c>
      <c r="B166">
        <v>0.77009339864160742</v>
      </c>
      <c r="C166">
        <v>2.10379478363905E-2</v>
      </c>
      <c r="E166">
        <v>49.226236263736283</v>
      </c>
      <c r="F166">
        <v>1.1626312233393503</v>
      </c>
      <c r="G166" s="10">
        <v>0.65963954150377124</v>
      </c>
      <c r="H166">
        <v>56.942592592592618</v>
      </c>
      <c r="I166">
        <v>0.67675959236652894</v>
      </c>
      <c r="J166">
        <v>1.550215985786396E-2</v>
      </c>
      <c r="L166">
        <v>49.226236263736283</v>
      </c>
      <c r="M166">
        <v>1.3542101938681308</v>
      </c>
      <c r="N166">
        <v>0.18936215939081602</v>
      </c>
    </row>
    <row r="167" spans="1:14" x14ac:dyDescent="0.25">
      <c r="A167">
        <v>55.692059748427681</v>
      </c>
      <c r="B167">
        <v>0.80013508941399136</v>
      </c>
      <c r="C167">
        <v>4.0690161548383549E-2</v>
      </c>
      <c r="E167">
        <v>49.226236263736283</v>
      </c>
      <c r="F167">
        <v>1.2038502651811043</v>
      </c>
      <c r="G167" s="10">
        <v>0.80613598472706982</v>
      </c>
      <c r="H167">
        <v>55.692059748427681</v>
      </c>
      <c r="I167">
        <v>0.68990741691178126</v>
      </c>
      <c r="J167">
        <v>5.0174915134651284E-2</v>
      </c>
    </row>
    <row r="168" spans="1:14" x14ac:dyDescent="0.25">
      <c r="A168">
        <v>55.692059748427681</v>
      </c>
      <c r="B168">
        <v>0.83919860479377928</v>
      </c>
      <c r="C168">
        <v>2.8644901332585126E-2</v>
      </c>
      <c r="E168">
        <v>49.226236263736283</v>
      </c>
      <c r="F168">
        <v>1.2183604161037236</v>
      </c>
      <c r="G168" s="10">
        <v>4.4111599003781268E-2</v>
      </c>
      <c r="H168">
        <v>58.93384351256573</v>
      </c>
      <c r="I168">
        <v>0.69061356525428252</v>
      </c>
      <c r="J168">
        <v>2.5136552547761072E-2</v>
      </c>
    </row>
    <row r="169" spans="1:14" x14ac:dyDescent="0.25">
      <c r="A169">
        <v>55.692059748427681</v>
      </c>
      <c r="B169">
        <v>0.92715319075868641</v>
      </c>
      <c r="C169">
        <v>8.87063148103686E-2</v>
      </c>
      <c r="E169">
        <v>49.226236263736283</v>
      </c>
      <c r="F169">
        <v>1.2397706411358724</v>
      </c>
      <c r="G169" s="10">
        <v>2.0681043501737571E-2</v>
      </c>
      <c r="H169">
        <v>57.46417851500788</v>
      </c>
      <c r="I169">
        <v>0.69483326635079112</v>
      </c>
      <c r="J169">
        <v>4.1660768693116419E-2</v>
      </c>
    </row>
    <row r="170" spans="1:14" x14ac:dyDescent="0.25">
      <c r="A170">
        <v>55.692059748427681</v>
      </c>
      <c r="B170">
        <v>1.0677421356035735</v>
      </c>
      <c r="C170">
        <v>0.1436649684524966</v>
      </c>
      <c r="E170">
        <v>49.226236263736283</v>
      </c>
      <c r="F170">
        <v>1.2612349346715996</v>
      </c>
      <c r="G170" s="10">
        <v>3.9416911974569334E-2</v>
      </c>
      <c r="H170">
        <v>59.077887788778867</v>
      </c>
      <c r="I170">
        <v>0.70254297106011121</v>
      </c>
      <c r="J170">
        <v>2.4964726678822324E-2</v>
      </c>
    </row>
    <row r="171" spans="1:14" x14ac:dyDescent="0.25">
      <c r="A171">
        <v>55.692059748427681</v>
      </c>
      <c r="B171">
        <v>1.1195818643300026</v>
      </c>
      <c r="C171">
        <v>0.57947260497193398</v>
      </c>
      <c r="E171">
        <v>49.226236263736283</v>
      </c>
      <c r="F171">
        <v>1.3504487734753683</v>
      </c>
      <c r="G171" s="10">
        <v>0.51984233413371506</v>
      </c>
      <c r="H171">
        <v>59.980829420970281</v>
      </c>
      <c r="I171">
        <v>0.70647588930074223</v>
      </c>
      <c r="J171">
        <v>2.456983776069992E-2</v>
      </c>
    </row>
    <row r="172" spans="1:14" x14ac:dyDescent="0.25">
      <c r="A172">
        <v>55.692059748427681</v>
      </c>
      <c r="B172">
        <v>1.0771089925762332</v>
      </c>
      <c r="C172">
        <v>0.76492028992006589</v>
      </c>
      <c r="E172">
        <v>49.226236263736283</v>
      </c>
      <c r="F172">
        <v>1.3542101938681308</v>
      </c>
      <c r="G172" s="10">
        <v>0.18936215939081602</v>
      </c>
      <c r="H172">
        <v>56.942592592592618</v>
      </c>
      <c r="I172">
        <v>0.71151016912866594</v>
      </c>
      <c r="J172">
        <v>0.2669145493974534</v>
      </c>
    </row>
    <row r="173" spans="1:14" x14ac:dyDescent="0.25">
      <c r="A173">
        <v>55.692059748427681</v>
      </c>
      <c r="B173">
        <v>0.96298506410745854</v>
      </c>
      <c r="C173">
        <v>0.4320991012759432</v>
      </c>
      <c r="H173">
        <v>59.077887788778867</v>
      </c>
      <c r="I173">
        <v>0.71646339360071765</v>
      </c>
      <c r="J173">
        <v>1.8127422498347381E-2</v>
      </c>
    </row>
    <row r="174" spans="1:14" x14ac:dyDescent="0.25">
      <c r="A174">
        <v>55.692059748427681</v>
      </c>
      <c r="B174">
        <v>0.68990741691178126</v>
      </c>
      <c r="C174">
        <v>5.0174915134651284E-2</v>
      </c>
      <c r="H174">
        <v>55.692059748427681</v>
      </c>
      <c r="I174">
        <v>0.72220256065793209</v>
      </c>
      <c r="J174">
        <v>2.4772561758007652E-2</v>
      </c>
    </row>
    <row r="175" spans="1:14" x14ac:dyDescent="0.25">
      <c r="A175">
        <v>55.692059748427681</v>
      </c>
      <c r="B175">
        <v>0.56825250958540807</v>
      </c>
      <c r="C175">
        <v>2.7582641486482193E-2</v>
      </c>
      <c r="H175">
        <v>58.93384351256573</v>
      </c>
      <c r="I175">
        <v>0.72887188254769508</v>
      </c>
      <c r="J175">
        <v>2.0274630152870628E-2</v>
      </c>
    </row>
    <row r="176" spans="1:14" x14ac:dyDescent="0.25">
      <c r="A176">
        <v>55.692059748427681</v>
      </c>
      <c r="B176">
        <v>0.51603067454328411</v>
      </c>
      <c r="C176">
        <v>3.0899264978546809E-2</v>
      </c>
      <c r="H176">
        <v>59.077887788778867</v>
      </c>
      <c r="I176">
        <v>0.73907332869291598</v>
      </c>
      <c r="J176">
        <v>3.2578623294543092E-2</v>
      </c>
    </row>
    <row r="177" spans="1:10" x14ac:dyDescent="0.25">
      <c r="A177">
        <v>55.692059748427681</v>
      </c>
      <c r="B177">
        <v>0.35822821425127876</v>
      </c>
      <c r="C177">
        <v>3.4028170322820211E-2</v>
      </c>
      <c r="H177">
        <v>59.980829420970281</v>
      </c>
      <c r="I177">
        <v>0.74244009794839028</v>
      </c>
      <c r="J177">
        <v>2.6240975447952664E-2</v>
      </c>
    </row>
    <row r="178" spans="1:10" x14ac:dyDescent="0.25">
      <c r="A178">
        <v>55.692059748427681</v>
      </c>
      <c r="B178">
        <v>0.20703239759168343</v>
      </c>
      <c r="C178">
        <v>3.1668778734839767E-2</v>
      </c>
      <c r="H178">
        <v>58.93384351256573</v>
      </c>
      <c r="I178">
        <v>0.74342690755765128</v>
      </c>
      <c r="J178">
        <v>0.55963265111634575</v>
      </c>
    </row>
    <row r="179" spans="1:10" x14ac:dyDescent="0.25">
      <c r="A179">
        <v>56.942592592592618</v>
      </c>
      <c r="B179">
        <v>9.6027440767325056E-2</v>
      </c>
      <c r="C179">
        <v>1.7271781509637374E-2</v>
      </c>
      <c r="H179">
        <v>59.290669856459331</v>
      </c>
      <c r="I179">
        <v>0.76240519792822792</v>
      </c>
      <c r="J179">
        <v>0.45125116562037637</v>
      </c>
    </row>
    <row r="180" spans="1:10" x14ac:dyDescent="0.25">
      <c r="A180">
        <v>56.942592592592618</v>
      </c>
      <c r="B180">
        <v>5.4707095291214536E-2</v>
      </c>
      <c r="C180">
        <v>1.3425878499124445E-2</v>
      </c>
      <c r="H180">
        <v>58.93384351256573</v>
      </c>
      <c r="I180">
        <v>0.76558176673783651</v>
      </c>
      <c r="J180">
        <v>3.5712164192926124E-2</v>
      </c>
    </row>
    <row r="181" spans="1:10" x14ac:dyDescent="0.25">
      <c r="A181">
        <v>56.942592592592618</v>
      </c>
      <c r="B181">
        <v>3.9755235130957682E-2</v>
      </c>
      <c r="C181">
        <v>1.6834760652762001E-2</v>
      </c>
      <c r="H181">
        <v>55.692059748427681</v>
      </c>
      <c r="I181">
        <v>0.77009339864160742</v>
      </c>
      <c r="J181">
        <v>2.10379478363905E-2</v>
      </c>
    </row>
    <row r="182" spans="1:10" x14ac:dyDescent="0.25">
      <c r="A182">
        <v>56.942592592592618</v>
      </c>
      <c r="B182">
        <v>3.7220499602308756E-2</v>
      </c>
      <c r="C182">
        <v>1.6873005003569454E-2</v>
      </c>
      <c r="H182">
        <v>59.980829420970281</v>
      </c>
      <c r="I182">
        <v>0.77451217376072901</v>
      </c>
      <c r="J182">
        <v>3.0595567773760761E-2</v>
      </c>
    </row>
    <row r="183" spans="1:10" x14ac:dyDescent="0.25">
      <c r="A183">
        <v>56.942592592592618</v>
      </c>
      <c r="B183">
        <v>6.1836070046208627E-2</v>
      </c>
      <c r="C183">
        <v>1.9497545301060182E-2</v>
      </c>
      <c r="H183">
        <v>59.980829420970281</v>
      </c>
      <c r="I183">
        <v>0.7811393793226985</v>
      </c>
      <c r="J183">
        <v>3.8570393360587943E-2</v>
      </c>
    </row>
    <row r="184" spans="1:10" x14ac:dyDescent="0.25">
      <c r="A184">
        <v>56.942592592592618</v>
      </c>
      <c r="B184">
        <v>0.15336845874469288</v>
      </c>
      <c r="C184">
        <v>1.4404782313091707E-2</v>
      </c>
      <c r="H184">
        <v>59.077887788778867</v>
      </c>
      <c r="I184">
        <v>0.7915892598663713</v>
      </c>
      <c r="J184">
        <v>0.38909960647806041</v>
      </c>
    </row>
    <row r="185" spans="1:10" x14ac:dyDescent="0.25">
      <c r="A185">
        <v>56.942592592592618</v>
      </c>
      <c r="B185">
        <v>0.34382832881477315</v>
      </c>
      <c r="C185">
        <v>1.4243107919922756E-2</v>
      </c>
      <c r="H185">
        <v>59.980829420970281</v>
      </c>
      <c r="I185">
        <v>0.79314827754134132</v>
      </c>
      <c r="J185">
        <v>4.0119849386500296E-2</v>
      </c>
    </row>
    <row r="186" spans="1:10" x14ac:dyDescent="0.25">
      <c r="A186">
        <v>56.942592592592618</v>
      </c>
      <c r="B186">
        <v>0.42888281034957343</v>
      </c>
      <c r="C186">
        <v>9.9609609250013928E-3</v>
      </c>
      <c r="H186">
        <v>55.692059748427681</v>
      </c>
      <c r="I186">
        <v>0.79383330547164344</v>
      </c>
      <c r="J186">
        <v>0.10515204530927316</v>
      </c>
    </row>
    <row r="187" spans="1:10" x14ac:dyDescent="0.25">
      <c r="A187">
        <v>56.942592592592618</v>
      </c>
      <c r="B187">
        <v>0.46296621249655939</v>
      </c>
      <c r="C187">
        <v>1.5089733107690321E-2</v>
      </c>
      <c r="H187">
        <v>59.980829420970281</v>
      </c>
      <c r="I187">
        <v>0.79410029498525103</v>
      </c>
      <c r="J187">
        <v>4.3075272221929632E-2</v>
      </c>
    </row>
    <row r="188" spans="1:10" x14ac:dyDescent="0.25">
      <c r="A188">
        <v>56.942592592592618</v>
      </c>
      <c r="B188">
        <v>0.469122986381451</v>
      </c>
      <c r="C188">
        <v>1.0419271726930296E-2</v>
      </c>
      <c r="H188">
        <v>59.980829420970281</v>
      </c>
      <c r="I188">
        <v>0.7961311905820575</v>
      </c>
      <c r="J188">
        <v>1.0064228661926118</v>
      </c>
    </row>
    <row r="189" spans="1:10" x14ac:dyDescent="0.25">
      <c r="A189">
        <v>56.942592592592618</v>
      </c>
      <c r="B189">
        <v>0.49075403717048155</v>
      </c>
      <c r="C189">
        <v>1.4211460265338604E-2</v>
      </c>
      <c r="H189">
        <v>58.93384351256573</v>
      </c>
      <c r="I189">
        <v>0.79984620302928222</v>
      </c>
      <c r="J189">
        <v>1.8688485047842075E-2</v>
      </c>
    </row>
    <row r="190" spans="1:10" x14ac:dyDescent="0.25">
      <c r="A190">
        <v>56.942592592592618</v>
      </c>
      <c r="B190">
        <v>0.52086826711104195</v>
      </c>
      <c r="C190">
        <v>1.2420490664065401E-2</v>
      </c>
      <c r="H190">
        <v>55.692059748427681</v>
      </c>
      <c r="I190">
        <v>0.80013508941399136</v>
      </c>
      <c r="J190">
        <v>4.0690161548383549E-2</v>
      </c>
    </row>
    <row r="191" spans="1:10" x14ac:dyDescent="0.25">
      <c r="A191">
        <v>56.942592592592618</v>
      </c>
      <c r="B191">
        <v>0.55310349573355344</v>
      </c>
      <c r="C191">
        <v>1.0703585330451449E-2</v>
      </c>
      <c r="H191">
        <v>59.980829420970281</v>
      </c>
      <c r="I191">
        <v>0.80288446767702071</v>
      </c>
      <c r="J191">
        <v>3.2905844445593829E-2</v>
      </c>
    </row>
    <row r="192" spans="1:10" x14ac:dyDescent="0.25">
      <c r="A192">
        <v>56.942592592592618</v>
      </c>
      <c r="B192">
        <v>0.59750394114555971</v>
      </c>
      <c r="C192">
        <v>1.4803729350909327E-2</v>
      </c>
      <c r="H192">
        <v>59.290669856459331</v>
      </c>
      <c r="I192">
        <v>0.8077086638003006</v>
      </c>
      <c r="J192">
        <v>8.9071592308919201E-2</v>
      </c>
    </row>
    <row r="193" spans="1:10" x14ac:dyDescent="0.25">
      <c r="A193">
        <v>56.942592592592618</v>
      </c>
      <c r="B193">
        <v>0.67675959236652894</v>
      </c>
      <c r="C193">
        <v>1.550215985786396E-2</v>
      </c>
      <c r="H193">
        <v>58.93384351256573</v>
      </c>
      <c r="I193">
        <v>0.81343798059076222</v>
      </c>
      <c r="J193">
        <v>2.0405669619906659E-2</v>
      </c>
    </row>
    <row r="194" spans="1:10" x14ac:dyDescent="0.25">
      <c r="A194">
        <v>56.942592592592618</v>
      </c>
      <c r="B194">
        <v>0.82481345244350945</v>
      </c>
      <c r="C194">
        <v>8.9211689518890414E-2</v>
      </c>
      <c r="H194">
        <v>57.46417851500788</v>
      </c>
      <c r="I194">
        <v>0.8185979056192707</v>
      </c>
      <c r="J194">
        <v>0.21585018487053131</v>
      </c>
    </row>
    <row r="195" spans="1:10" x14ac:dyDescent="0.25">
      <c r="A195">
        <v>56.942592592592618</v>
      </c>
      <c r="B195">
        <v>0.91905359213424509</v>
      </c>
      <c r="C195">
        <v>0.33629979531302323</v>
      </c>
      <c r="H195">
        <v>56.942592592592618</v>
      </c>
      <c r="I195">
        <v>0.82481345244350945</v>
      </c>
      <c r="J195">
        <v>8.9211689518890414E-2</v>
      </c>
    </row>
    <row r="196" spans="1:10" x14ac:dyDescent="0.25">
      <c r="A196">
        <v>56.942592592592618</v>
      </c>
      <c r="B196">
        <v>0.83246972199284408</v>
      </c>
      <c r="C196">
        <v>1.3222917044287359</v>
      </c>
      <c r="H196">
        <v>56.942592592592618</v>
      </c>
      <c r="I196">
        <v>0.83246972199284408</v>
      </c>
      <c r="J196">
        <v>1.3222917044287359</v>
      </c>
    </row>
    <row r="197" spans="1:10" x14ac:dyDescent="0.25">
      <c r="A197">
        <v>56.942592592592618</v>
      </c>
      <c r="B197">
        <v>0.71151016912866594</v>
      </c>
      <c r="C197">
        <v>0.2669145493974534</v>
      </c>
      <c r="H197">
        <v>55.692059748427681</v>
      </c>
      <c r="I197">
        <v>0.83919860479377928</v>
      </c>
      <c r="J197">
        <v>2.8644901332585126E-2</v>
      </c>
    </row>
    <row r="198" spans="1:10" x14ac:dyDescent="0.25">
      <c r="A198">
        <v>56.942592592592618</v>
      </c>
      <c r="B198">
        <v>0.52284345320306247</v>
      </c>
      <c r="C198">
        <v>5.2864609042417979E-2</v>
      </c>
      <c r="H198">
        <v>59.077887788778867</v>
      </c>
      <c r="I198">
        <v>0.83929263067064874</v>
      </c>
      <c r="J198">
        <v>0.12269714735046029</v>
      </c>
    </row>
    <row r="199" spans="1:10" x14ac:dyDescent="0.25">
      <c r="A199">
        <v>56.942592592592618</v>
      </c>
      <c r="B199">
        <v>0.44457232314891287</v>
      </c>
      <c r="C199">
        <v>1.8238226829268601E-2</v>
      </c>
      <c r="H199">
        <v>59.077887788778867</v>
      </c>
      <c r="I199">
        <v>0.87889980732177309</v>
      </c>
      <c r="J199">
        <v>0.36281171369732101</v>
      </c>
    </row>
    <row r="200" spans="1:10" x14ac:dyDescent="0.25">
      <c r="A200">
        <v>56.942592592592618</v>
      </c>
      <c r="B200">
        <v>0.40917958731513493</v>
      </c>
      <c r="C200">
        <v>1.9564054731901728E-2</v>
      </c>
      <c r="H200">
        <v>58.93384351256573</v>
      </c>
      <c r="I200">
        <v>0.88685569140168008</v>
      </c>
      <c r="J200">
        <v>0.35387047257620707</v>
      </c>
    </row>
    <row r="201" spans="1:10" x14ac:dyDescent="0.25">
      <c r="A201">
        <v>56.942592592592618</v>
      </c>
      <c r="B201">
        <v>0.3065092481238656</v>
      </c>
      <c r="C201">
        <v>1.8892454684406857E-2</v>
      </c>
      <c r="H201">
        <v>59.980829420970281</v>
      </c>
      <c r="I201">
        <v>0.89029839087642504</v>
      </c>
      <c r="J201">
        <v>8.4985093062831016E-2</v>
      </c>
    </row>
    <row r="202" spans="1:10" x14ac:dyDescent="0.25">
      <c r="A202">
        <v>56.942592592592618</v>
      </c>
      <c r="B202">
        <v>0.18580875505833971</v>
      </c>
      <c r="C202">
        <v>1.254078755110781E-2</v>
      </c>
      <c r="H202">
        <v>57.46417851500788</v>
      </c>
      <c r="I202">
        <v>0.89166857989647685</v>
      </c>
      <c r="J202">
        <v>8.2967796483855077E-2</v>
      </c>
    </row>
    <row r="203" spans="1:10" x14ac:dyDescent="0.25">
      <c r="A203">
        <v>57.46417851500788</v>
      </c>
      <c r="B203">
        <v>9.6214252474828663E-2</v>
      </c>
      <c r="C203">
        <v>8.4126589044335495E-2</v>
      </c>
      <c r="H203">
        <v>59.077887788778867</v>
      </c>
      <c r="I203">
        <v>0.90429928385511005</v>
      </c>
      <c r="J203">
        <v>0.16516651665166548</v>
      </c>
    </row>
    <row r="204" spans="1:10" x14ac:dyDescent="0.25">
      <c r="A204">
        <v>57.46417851500788</v>
      </c>
      <c r="B204">
        <v>5.9576949052382762E-2</v>
      </c>
      <c r="C204">
        <v>8.8158068491430777E-2</v>
      </c>
      <c r="H204">
        <v>59.980829420970281</v>
      </c>
      <c r="I204">
        <v>0.90889196941560091</v>
      </c>
      <c r="J204">
        <v>0.7105561807208185</v>
      </c>
    </row>
    <row r="205" spans="1:10" x14ac:dyDescent="0.25">
      <c r="A205">
        <v>57.46417851500788</v>
      </c>
      <c r="B205">
        <v>4.4475526694305774E-2</v>
      </c>
      <c r="C205">
        <v>9.0407561698688368E-2</v>
      </c>
      <c r="H205">
        <v>56.942592592592618</v>
      </c>
      <c r="I205">
        <v>0.91905359213424509</v>
      </c>
      <c r="J205">
        <v>0.33629979531302323</v>
      </c>
    </row>
    <row r="206" spans="1:10" x14ac:dyDescent="0.25">
      <c r="A206">
        <v>57.46417851500788</v>
      </c>
      <c r="B206">
        <v>3.9763090947636213E-2</v>
      </c>
      <c r="C206">
        <v>8.1499939770841329E-2</v>
      </c>
      <c r="H206">
        <v>58.93384351256573</v>
      </c>
      <c r="I206">
        <v>0.91947785936225224</v>
      </c>
      <c r="J206">
        <v>0.96798742789383452</v>
      </c>
    </row>
    <row r="207" spans="1:10" x14ac:dyDescent="0.25">
      <c r="A207">
        <v>57.46417851500788</v>
      </c>
      <c r="B207">
        <v>6.4783471613881399E-2</v>
      </c>
      <c r="C207">
        <v>5.7004626133902711E-2</v>
      </c>
      <c r="H207">
        <v>55.692059748427681</v>
      </c>
      <c r="I207">
        <v>0.92715319075868641</v>
      </c>
      <c r="J207">
        <v>8.87063148103686E-2</v>
      </c>
    </row>
    <row r="208" spans="1:10" x14ac:dyDescent="0.25">
      <c r="A208">
        <v>57.46417851500788</v>
      </c>
      <c r="B208">
        <v>0.12901285587938005</v>
      </c>
      <c r="C208">
        <v>2.5604788774398476E-2</v>
      </c>
      <c r="H208">
        <v>59.290669856459331</v>
      </c>
      <c r="I208">
        <v>0.9446973270440252</v>
      </c>
      <c r="J208">
        <v>0.2777492370184288</v>
      </c>
    </row>
    <row r="209" spans="1:10" x14ac:dyDescent="0.25">
      <c r="A209">
        <v>57.46417851500788</v>
      </c>
      <c r="B209">
        <v>0.27475893304391386</v>
      </c>
      <c r="C209">
        <v>2.885765034546962E-2</v>
      </c>
      <c r="H209">
        <v>59.980829420970281</v>
      </c>
      <c r="I209">
        <v>0.95541129390840374</v>
      </c>
      <c r="J209">
        <v>0.5460153917764804</v>
      </c>
    </row>
    <row r="210" spans="1:10" x14ac:dyDescent="0.25">
      <c r="A210">
        <v>57.46417851500788</v>
      </c>
      <c r="B210">
        <v>0.4277248148767937</v>
      </c>
      <c r="C210">
        <v>2.1716233359142495E-2</v>
      </c>
      <c r="H210">
        <v>59.290669856459331</v>
      </c>
      <c r="I210">
        <v>0.95579117574359407</v>
      </c>
      <c r="J210">
        <v>0.58066301936708442</v>
      </c>
    </row>
    <row r="211" spans="1:10" x14ac:dyDescent="0.25">
      <c r="A211">
        <v>57.46417851500788</v>
      </c>
      <c r="B211">
        <v>0.48305644826871241</v>
      </c>
      <c r="C211">
        <v>2.64159585864648E-2</v>
      </c>
      <c r="H211">
        <v>59.980829420970281</v>
      </c>
      <c r="I211">
        <v>0.96154516879548457</v>
      </c>
      <c r="J211">
        <v>0.9120442913921033</v>
      </c>
    </row>
    <row r="212" spans="1:10" x14ac:dyDescent="0.25">
      <c r="A212">
        <v>57.46417851500788</v>
      </c>
      <c r="B212">
        <v>0.47125492432096205</v>
      </c>
      <c r="C212">
        <v>2.9535966313227555E-2</v>
      </c>
      <c r="H212">
        <v>55.692059748427681</v>
      </c>
      <c r="I212">
        <v>0.96298506410745854</v>
      </c>
      <c r="J212">
        <v>0.4320991012759432</v>
      </c>
    </row>
    <row r="213" spans="1:10" x14ac:dyDescent="0.25">
      <c r="A213">
        <v>57.46417851500788</v>
      </c>
      <c r="B213">
        <v>0.4809668224892123</v>
      </c>
      <c r="C213">
        <v>2.4345761084603703E-2</v>
      </c>
      <c r="H213">
        <v>55.692059748427681</v>
      </c>
      <c r="I213">
        <v>0.97353049468495756</v>
      </c>
      <c r="J213">
        <v>0.24392636727764419</v>
      </c>
    </row>
    <row r="214" spans="1:10" x14ac:dyDescent="0.25">
      <c r="A214">
        <v>57.46417851500788</v>
      </c>
      <c r="B214">
        <v>0.52729205796977718</v>
      </c>
      <c r="C214">
        <v>2.4370525644797421E-2</v>
      </c>
      <c r="H214">
        <v>55.692059748427681</v>
      </c>
      <c r="I214">
        <v>0.98331662118123386</v>
      </c>
      <c r="J214">
        <v>0.43552905448748225</v>
      </c>
    </row>
    <row r="215" spans="1:10" x14ac:dyDescent="0.25">
      <c r="A215">
        <v>57.46417851500788</v>
      </c>
      <c r="B215">
        <v>0.56142259862778732</v>
      </c>
      <c r="C215">
        <v>3.2128151622921514E-2</v>
      </c>
      <c r="H215">
        <v>59.980829420970281</v>
      </c>
      <c r="I215">
        <v>0.99473003639477531</v>
      </c>
      <c r="J215">
        <v>0.31705364940028585</v>
      </c>
    </row>
    <row r="216" spans="1:10" x14ac:dyDescent="0.25">
      <c r="A216">
        <v>57.46417851500788</v>
      </c>
      <c r="B216">
        <v>0.60216769132923476</v>
      </c>
      <c r="C216">
        <v>2.454503316849373E-2</v>
      </c>
      <c r="H216">
        <v>57.46417851500788</v>
      </c>
      <c r="I216">
        <v>1.0477895702306079</v>
      </c>
      <c r="J216">
        <v>0.18034973554238784</v>
      </c>
    </row>
    <row r="217" spans="1:10" x14ac:dyDescent="0.25">
      <c r="A217">
        <v>57.46417851500788</v>
      </c>
      <c r="B217">
        <v>0.69483326635079112</v>
      </c>
      <c r="C217">
        <v>4.1660768693116419E-2</v>
      </c>
      <c r="H217">
        <v>57.46417851500788</v>
      </c>
      <c r="I217">
        <v>1.0513267796819643</v>
      </c>
      <c r="J217">
        <v>0.24956082663784473</v>
      </c>
    </row>
    <row r="218" spans="1:10" x14ac:dyDescent="0.25">
      <c r="A218">
        <v>57.46417851500788</v>
      </c>
      <c r="B218">
        <v>0.89166857989647685</v>
      </c>
      <c r="C218">
        <v>8.2967796483855077E-2</v>
      </c>
      <c r="H218">
        <v>55.692059748427681</v>
      </c>
      <c r="I218">
        <v>1.0677421356035735</v>
      </c>
      <c r="J218">
        <v>0.1436649684524966</v>
      </c>
    </row>
    <row r="219" spans="1:10" x14ac:dyDescent="0.25">
      <c r="A219">
        <v>57.46417851500788</v>
      </c>
      <c r="B219">
        <v>1.0477895702306079</v>
      </c>
      <c r="C219">
        <v>0.18034973554238784</v>
      </c>
      <c r="H219">
        <v>55.692059748427681</v>
      </c>
      <c r="I219">
        <v>1.0771089925762332</v>
      </c>
      <c r="J219">
        <v>0.76492028992006589</v>
      </c>
    </row>
    <row r="220" spans="1:10" x14ac:dyDescent="0.25">
      <c r="A220">
        <v>57.46417851500788</v>
      </c>
      <c r="B220">
        <v>1.0513267796819643</v>
      </c>
      <c r="C220">
        <v>0.24956082663784473</v>
      </c>
      <c r="H220">
        <v>55.692059748427681</v>
      </c>
      <c r="I220">
        <v>1.1195818643300026</v>
      </c>
      <c r="J220">
        <v>0.57947260497193398</v>
      </c>
    </row>
    <row r="221" spans="1:10" x14ac:dyDescent="0.25">
      <c r="A221">
        <v>57.46417851500788</v>
      </c>
      <c r="B221">
        <v>0.8185979056192707</v>
      </c>
      <c r="C221">
        <v>0.21585018487053131</v>
      </c>
    </row>
    <row r="222" spans="1:10" x14ac:dyDescent="0.25">
      <c r="A222">
        <v>57.46417851500788</v>
      </c>
      <c r="B222">
        <v>0.54687694381090601</v>
      </c>
      <c r="C222">
        <v>4.390587800198803E-2</v>
      </c>
    </row>
    <row r="223" spans="1:10" x14ac:dyDescent="0.25">
      <c r="A223">
        <v>57.46417851500788</v>
      </c>
      <c r="B223">
        <v>0.44705608900281552</v>
      </c>
      <c r="C223">
        <v>4.0056621983287501E-2</v>
      </c>
    </row>
    <row r="224" spans="1:10" x14ac:dyDescent="0.25">
      <c r="A224">
        <v>57.46417851500788</v>
      </c>
      <c r="B224">
        <v>0.41815048523470366</v>
      </c>
      <c r="C224">
        <v>7.9574040262150023E-2</v>
      </c>
    </row>
    <row r="225" spans="1:3" x14ac:dyDescent="0.25">
      <c r="A225">
        <v>57.46417851500788</v>
      </c>
      <c r="B225">
        <v>0.29436712073779508</v>
      </c>
      <c r="C225">
        <v>8.861365472770133E-2</v>
      </c>
    </row>
    <row r="226" spans="1:3" x14ac:dyDescent="0.25">
      <c r="A226">
        <v>57.46417851500788</v>
      </c>
      <c r="B226">
        <v>0.17823619729011017</v>
      </c>
      <c r="C226">
        <v>7.3838193693588391E-2</v>
      </c>
    </row>
    <row r="227" spans="1:3" x14ac:dyDescent="0.25">
      <c r="A227">
        <v>58.93384351256573</v>
      </c>
      <c r="B227">
        <v>8.8421790155894214E-2</v>
      </c>
      <c r="C227">
        <v>1.8657639828853018E-2</v>
      </c>
    </row>
    <row r="228" spans="1:3" x14ac:dyDescent="0.25">
      <c r="A228">
        <v>58.93384351256573</v>
      </c>
      <c r="B228">
        <v>5.2870564564257289E-2</v>
      </c>
      <c r="C228">
        <v>1.7948380128651777E-2</v>
      </c>
    </row>
    <row r="229" spans="1:3" x14ac:dyDescent="0.25">
      <c r="A229">
        <v>58.93384351256573</v>
      </c>
      <c r="B229">
        <v>3.8468998457719748E-2</v>
      </c>
      <c r="C229">
        <v>1.8337115918714397E-2</v>
      </c>
    </row>
    <row r="230" spans="1:3" x14ac:dyDescent="0.25">
      <c r="A230">
        <v>58.93384351256573</v>
      </c>
      <c r="B230">
        <v>4.1894726072944928E-2</v>
      </c>
      <c r="C230">
        <v>1.8797448114633523E-2</v>
      </c>
    </row>
    <row r="231" spans="1:3" x14ac:dyDescent="0.25">
      <c r="A231">
        <v>58.93384351256573</v>
      </c>
      <c r="B231">
        <v>9.590430883080138E-2</v>
      </c>
      <c r="C231">
        <v>1.6318449368984651E-2</v>
      </c>
    </row>
    <row r="232" spans="1:3" x14ac:dyDescent="0.25">
      <c r="A232">
        <v>58.93384351256573</v>
      </c>
      <c r="B232">
        <v>0.28022064214708353</v>
      </c>
      <c r="C232">
        <v>1.4694483109262397E-2</v>
      </c>
    </row>
    <row r="233" spans="1:3" x14ac:dyDescent="0.25">
      <c r="A233">
        <v>58.93384351256573</v>
      </c>
      <c r="B233">
        <v>0.63404948249697346</v>
      </c>
      <c r="C233">
        <v>1.8400784740712901E-2</v>
      </c>
    </row>
    <row r="234" spans="1:3" x14ac:dyDescent="0.25">
      <c r="A234">
        <v>58.93384351256573</v>
      </c>
      <c r="B234">
        <v>0.79984620302928222</v>
      </c>
      <c r="C234">
        <v>1.8688485047842075E-2</v>
      </c>
    </row>
    <row r="235" spans="1:3" x14ac:dyDescent="0.25">
      <c r="A235">
        <v>58.93384351256573</v>
      </c>
      <c r="B235">
        <v>0.76558176673783651</v>
      </c>
      <c r="C235">
        <v>3.5712164192926124E-2</v>
      </c>
    </row>
    <row r="236" spans="1:3" x14ac:dyDescent="0.25">
      <c r="A236">
        <v>58.93384351256573</v>
      </c>
      <c r="B236">
        <v>0.65130568356374829</v>
      </c>
      <c r="C236">
        <v>1.6716468524624661E-2</v>
      </c>
    </row>
    <row r="237" spans="1:3" x14ac:dyDescent="0.25">
      <c r="A237">
        <v>58.93384351256573</v>
      </c>
      <c r="B237">
        <v>0.60380330066180732</v>
      </c>
      <c r="C237">
        <v>1.4510579970305691E-2</v>
      </c>
    </row>
    <row r="238" spans="1:3" x14ac:dyDescent="0.25">
      <c r="A238">
        <v>58.93384351256573</v>
      </c>
      <c r="B238">
        <v>0.6409596618807879</v>
      </c>
      <c r="C238">
        <v>1.7931480379787038E-2</v>
      </c>
    </row>
    <row r="239" spans="1:3" x14ac:dyDescent="0.25">
      <c r="A239">
        <v>58.93384351256573</v>
      </c>
      <c r="B239">
        <v>0.66269574356279548</v>
      </c>
      <c r="C239">
        <v>1.8488544777873015E-2</v>
      </c>
    </row>
    <row r="240" spans="1:3" x14ac:dyDescent="0.25">
      <c r="A240">
        <v>58.93384351256573</v>
      </c>
      <c r="B240">
        <v>0.69061356525428252</v>
      </c>
      <c r="C240">
        <v>2.5136552547761072E-2</v>
      </c>
    </row>
    <row r="241" spans="1:3" x14ac:dyDescent="0.25">
      <c r="A241">
        <v>58.93384351256573</v>
      </c>
      <c r="B241">
        <v>0.72887188254769508</v>
      </c>
      <c r="C241">
        <v>2.0274630152870628E-2</v>
      </c>
    </row>
    <row r="242" spans="1:3" x14ac:dyDescent="0.25">
      <c r="A242">
        <v>58.93384351256573</v>
      </c>
      <c r="B242">
        <v>0.81343798059076222</v>
      </c>
      <c r="C242">
        <v>2.0405669619906659E-2</v>
      </c>
    </row>
    <row r="243" spans="1:3" x14ac:dyDescent="0.25">
      <c r="A243">
        <v>58.93384351256573</v>
      </c>
      <c r="B243">
        <v>0.88685569140168008</v>
      </c>
      <c r="C243">
        <v>0.35387047257620707</v>
      </c>
    </row>
    <row r="244" spans="1:3" x14ac:dyDescent="0.25">
      <c r="A244">
        <v>58.93384351256573</v>
      </c>
      <c r="B244">
        <v>0.91947785936225224</v>
      </c>
      <c r="C244">
        <v>0.96798742789383452</v>
      </c>
    </row>
    <row r="245" spans="1:3" x14ac:dyDescent="0.25">
      <c r="A245">
        <v>58.93384351256573</v>
      </c>
      <c r="B245">
        <v>0.74342690755765128</v>
      </c>
      <c r="C245">
        <v>0.55963265111634575</v>
      </c>
    </row>
    <row r="246" spans="1:3" x14ac:dyDescent="0.25">
      <c r="A246">
        <v>58.93384351256573</v>
      </c>
      <c r="B246">
        <v>0.53185900082576354</v>
      </c>
      <c r="C246">
        <v>6.4038513615362322E-2</v>
      </c>
    </row>
    <row r="247" spans="1:3" x14ac:dyDescent="0.25">
      <c r="A247">
        <v>58.93384351256573</v>
      </c>
      <c r="B247">
        <v>0.43861028658716533</v>
      </c>
      <c r="C247">
        <v>5.9716470515998335E-2</v>
      </c>
    </row>
    <row r="248" spans="1:3" x14ac:dyDescent="0.25">
      <c r="A248">
        <v>58.93384351256573</v>
      </c>
      <c r="B248">
        <v>0.38054776288834669</v>
      </c>
      <c r="C248">
        <v>3.4355517825398682E-2</v>
      </c>
    </row>
    <row r="249" spans="1:3" x14ac:dyDescent="0.25">
      <c r="A249">
        <v>58.93384351256573</v>
      </c>
      <c r="B249">
        <v>0.28106838554782826</v>
      </c>
      <c r="C249">
        <v>2.4187673443582219E-2</v>
      </c>
    </row>
    <row r="250" spans="1:3" x14ac:dyDescent="0.25">
      <c r="A250">
        <v>58.93384351256573</v>
      </c>
      <c r="B250">
        <v>0.18200775042757264</v>
      </c>
      <c r="C250">
        <v>1.5504479364748826E-2</v>
      </c>
    </row>
    <row r="251" spans="1:3" x14ac:dyDescent="0.25">
      <c r="A251">
        <v>59.077887788778867</v>
      </c>
      <c r="B251">
        <v>2.6163471812763097E-2</v>
      </c>
      <c r="C251">
        <v>1.9541676960182424E-2</v>
      </c>
    </row>
    <row r="252" spans="1:3" x14ac:dyDescent="0.25">
      <c r="A252">
        <v>59.077887788778867</v>
      </c>
      <c r="B252">
        <v>6.545203823340516E-2</v>
      </c>
      <c r="C252">
        <v>1.7338148277062312E-2</v>
      </c>
    </row>
    <row r="253" spans="1:3" x14ac:dyDescent="0.25">
      <c r="A253">
        <v>59.077887788778867</v>
      </c>
      <c r="B253">
        <v>4.4106313045449409E-2</v>
      </c>
      <c r="C253">
        <v>1.5466279076575501E-2</v>
      </c>
    </row>
    <row r="254" spans="1:3" x14ac:dyDescent="0.25">
      <c r="A254">
        <v>59.077887788778867</v>
      </c>
      <c r="B254">
        <v>4.000528920624126E-2</v>
      </c>
      <c r="C254">
        <v>1.5741260377117809E-2</v>
      </c>
    </row>
    <row r="255" spans="1:3" x14ac:dyDescent="0.25">
      <c r="A255">
        <v>59.077887788778867</v>
      </c>
      <c r="B255">
        <v>6.6171748082662712E-2</v>
      </c>
      <c r="C255">
        <v>2.1086924621099186E-2</v>
      </c>
    </row>
    <row r="256" spans="1:3" x14ac:dyDescent="0.25">
      <c r="A256">
        <v>59.077887788778867</v>
      </c>
      <c r="B256">
        <v>0.2194699459745364</v>
      </c>
      <c r="C256">
        <v>1.592029984097755E-2</v>
      </c>
    </row>
    <row r="257" spans="1:3" x14ac:dyDescent="0.25">
      <c r="A257">
        <v>59.077887788778867</v>
      </c>
      <c r="B257">
        <v>0.4510635082549394</v>
      </c>
      <c r="C257">
        <v>2.351856235451931E-2</v>
      </c>
    </row>
    <row r="258" spans="1:3" x14ac:dyDescent="0.25">
      <c r="A258">
        <v>59.077887788778867</v>
      </c>
      <c r="B258">
        <v>0.63981190026517043</v>
      </c>
      <c r="C258">
        <v>2.2114464886922664E-2</v>
      </c>
    </row>
    <row r="259" spans="1:3" x14ac:dyDescent="0.25">
      <c r="A259">
        <v>59.077887788778867</v>
      </c>
      <c r="B259">
        <v>0.70254297106011121</v>
      </c>
      <c r="C259">
        <v>2.4964726678822324E-2</v>
      </c>
    </row>
    <row r="260" spans="1:3" x14ac:dyDescent="0.25">
      <c r="A260">
        <v>59.077887788778867</v>
      </c>
      <c r="B260">
        <v>0.64750096339113672</v>
      </c>
      <c r="C260">
        <v>2.16447550353281E-2</v>
      </c>
    </row>
    <row r="261" spans="1:3" x14ac:dyDescent="0.25">
      <c r="A261">
        <v>59.077887788778867</v>
      </c>
      <c r="B261">
        <v>0.61770914215051864</v>
      </c>
      <c r="C261">
        <v>1.687090098406531E-2</v>
      </c>
    </row>
    <row r="262" spans="1:3" x14ac:dyDescent="0.25">
      <c r="A262">
        <v>59.077887788778867</v>
      </c>
      <c r="B262">
        <v>0.64707658110200261</v>
      </c>
      <c r="C262">
        <v>1.7612664350135535E-2</v>
      </c>
    </row>
    <row r="263" spans="1:3" x14ac:dyDescent="0.25">
      <c r="A263">
        <v>59.077887788778867</v>
      </c>
      <c r="B263">
        <v>0.67453179190751444</v>
      </c>
      <c r="C263">
        <v>1.9134538699449321E-2</v>
      </c>
    </row>
    <row r="264" spans="1:3" x14ac:dyDescent="0.25">
      <c r="A264">
        <v>59.077887788778867</v>
      </c>
      <c r="B264">
        <v>0.71646339360071765</v>
      </c>
      <c r="C264">
        <v>1.8127422498347381E-2</v>
      </c>
    </row>
    <row r="265" spans="1:3" x14ac:dyDescent="0.25">
      <c r="A265">
        <v>59.077887788778867</v>
      </c>
      <c r="B265">
        <v>0.73907332869291598</v>
      </c>
      <c r="C265">
        <v>3.2578623294543092E-2</v>
      </c>
    </row>
    <row r="266" spans="1:3" x14ac:dyDescent="0.25">
      <c r="A266">
        <v>59.077887788778867</v>
      </c>
      <c r="B266">
        <v>0.83929263067064874</v>
      </c>
      <c r="C266">
        <v>0.12269714735046029</v>
      </c>
    </row>
    <row r="267" spans="1:3" x14ac:dyDescent="0.25">
      <c r="A267">
        <v>59.077887788778867</v>
      </c>
      <c r="B267">
        <v>0.90429928385511005</v>
      </c>
      <c r="C267">
        <v>0.16516651665166548</v>
      </c>
    </row>
    <row r="268" spans="1:3" x14ac:dyDescent="0.25">
      <c r="A268">
        <v>59.077887788778867</v>
      </c>
      <c r="B268">
        <v>0.87889980732177309</v>
      </c>
      <c r="C268">
        <v>0.36281171369732101</v>
      </c>
    </row>
    <row r="269" spans="1:3" x14ac:dyDescent="0.25">
      <c r="A269">
        <v>59.077887788778867</v>
      </c>
      <c r="B269">
        <v>0.7915892598663713</v>
      </c>
      <c r="C269">
        <v>0.38909960647806041</v>
      </c>
    </row>
    <row r="270" spans="1:3" x14ac:dyDescent="0.25">
      <c r="A270">
        <v>59.077887788778867</v>
      </c>
      <c r="B270">
        <v>0.58275816020908444</v>
      </c>
      <c r="C270">
        <v>5.7191541747047769E-2</v>
      </c>
    </row>
    <row r="271" spans="1:3" x14ac:dyDescent="0.25">
      <c r="A271">
        <v>59.077887788778867</v>
      </c>
      <c r="B271">
        <v>0.48954768309200852</v>
      </c>
      <c r="C271">
        <v>4.6622383757362988E-2</v>
      </c>
    </row>
    <row r="272" spans="1:3" x14ac:dyDescent="0.25">
      <c r="A272">
        <v>59.077887788778867</v>
      </c>
      <c r="B272">
        <v>0.44649840706614008</v>
      </c>
      <c r="C272">
        <v>2.5665177137183293E-2</v>
      </c>
    </row>
    <row r="273" spans="1:3" x14ac:dyDescent="0.25">
      <c r="A273">
        <v>59.077887788778867</v>
      </c>
      <c r="B273">
        <v>0.33744603336249795</v>
      </c>
      <c r="C273">
        <v>2.0389081367873121E-2</v>
      </c>
    </row>
    <row r="274" spans="1:3" x14ac:dyDescent="0.25">
      <c r="A274">
        <v>59.077887788778867</v>
      </c>
      <c r="B274">
        <v>0.2176650466357998</v>
      </c>
      <c r="C274">
        <v>1.8916672689166695E-2</v>
      </c>
    </row>
    <row r="275" spans="1:3" x14ac:dyDescent="0.25">
      <c r="A275">
        <v>59.290669856459331</v>
      </c>
      <c r="B275">
        <v>8.3583955932632653E-2</v>
      </c>
      <c r="C275">
        <v>6.7965083473359889E-2</v>
      </c>
    </row>
    <row r="276" spans="1:3" x14ac:dyDescent="0.25">
      <c r="A276">
        <v>59.290669856459331</v>
      </c>
      <c r="B276">
        <v>5.2516853815328099E-2</v>
      </c>
      <c r="C276">
        <v>5.8734413465302643E-2</v>
      </c>
    </row>
    <row r="277" spans="1:3" x14ac:dyDescent="0.25">
      <c r="A277">
        <v>59.290669856459331</v>
      </c>
      <c r="B277">
        <v>3.6956325429202783E-2</v>
      </c>
      <c r="C277">
        <v>6.4393838329438235E-2</v>
      </c>
    </row>
    <row r="278" spans="1:3" x14ac:dyDescent="0.25">
      <c r="A278">
        <v>59.290669856459331</v>
      </c>
      <c r="B278">
        <v>3.3828439686241253E-2</v>
      </c>
      <c r="C278">
        <v>5.8632389956440323E-2</v>
      </c>
    </row>
    <row r="279" spans="1:3" x14ac:dyDescent="0.25">
      <c r="A279">
        <v>59.290669856459331</v>
      </c>
      <c r="B279">
        <v>5.4050508797964809E-2</v>
      </c>
      <c r="C279">
        <v>4.9500256283758641E-2</v>
      </c>
    </row>
    <row r="280" spans="1:3" x14ac:dyDescent="0.25">
      <c r="A280">
        <v>59.290669856459331</v>
      </c>
      <c r="B280">
        <v>0.11758456569777324</v>
      </c>
      <c r="C280">
        <v>3.6324588559255688E-2</v>
      </c>
    </row>
    <row r="281" spans="1:3" x14ac:dyDescent="0.25">
      <c r="A281">
        <v>59.290669856459331</v>
      </c>
      <c r="B281">
        <v>0.25284282345013476</v>
      </c>
      <c r="C281">
        <v>3.0878586776401637E-2</v>
      </c>
    </row>
    <row r="282" spans="1:3" x14ac:dyDescent="0.25">
      <c r="A282">
        <v>59.290669856459331</v>
      </c>
      <c r="B282">
        <v>0.40807571495050343</v>
      </c>
      <c r="C282">
        <v>2.6454709514491657E-2</v>
      </c>
    </row>
    <row r="283" spans="1:3" x14ac:dyDescent="0.25">
      <c r="A283">
        <v>59.290669856459331</v>
      </c>
      <c r="B283">
        <v>0.44421856043174496</v>
      </c>
      <c r="C283">
        <v>1.9085018871988393E-2</v>
      </c>
    </row>
    <row r="284" spans="1:3" x14ac:dyDescent="0.25">
      <c r="A284">
        <v>59.290669856459331</v>
      </c>
      <c r="B284">
        <v>0.42787254737899005</v>
      </c>
      <c r="C284">
        <v>3.5010267929152683E-2</v>
      </c>
    </row>
    <row r="285" spans="1:3" x14ac:dyDescent="0.25">
      <c r="A285">
        <v>59.290669856459331</v>
      </c>
      <c r="B285">
        <v>0.43827237898061988</v>
      </c>
      <c r="C285">
        <v>2.5432393667596941E-2</v>
      </c>
    </row>
    <row r="286" spans="1:3" x14ac:dyDescent="0.25">
      <c r="A286">
        <v>59.290669856459331</v>
      </c>
      <c r="B286">
        <v>0.47718106530541915</v>
      </c>
      <c r="C286">
        <v>3.5548921115281171E-2</v>
      </c>
    </row>
    <row r="287" spans="1:3" x14ac:dyDescent="0.25">
      <c r="A287">
        <v>59.290669856459331</v>
      </c>
      <c r="B287">
        <v>0.51153009780162717</v>
      </c>
      <c r="C287">
        <v>2.7576110566258673E-2</v>
      </c>
    </row>
    <row r="288" spans="1:3" x14ac:dyDescent="0.25">
      <c r="A288">
        <v>59.290669856459331</v>
      </c>
      <c r="B288">
        <v>0.55048292902066487</v>
      </c>
      <c r="C288">
        <v>2.9177189430465461E-2</v>
      </c>
    </row>
    <row r="289" spans="1:3" x14ac:dyDescent="0.25">
      <c r="A289">
        <v>59.290669856459331</v>
      </c>
      <c r="B289">
        <v>0.64674432687404382</v>
      </c>
      <c r="C289">
        <v>4.18171252487686E-2</v>
      </c>
    </row>
    <row r="290" spans="1:3" x14ac:dyDescent="0.25">
      <c r="A290">
        <v>59.290669856459331</v>
      </c>
      <c r="B290">
        <v>0.8077086638003006</v>
      </c>
      <c r="C290">
        <v>8.9071592308919201E-2</v>
      </c>
    </row>
    <row r="291" spans="1:3" x14ac:dyDescent="0.25">
      <c r="A291">
        <v>59.290669856459331</v>
      </c>
      <c r="B291">
        <v>0.9446973270440252</v>
      </c>
      <c r="C291">
        <v>0.2777492370184288</v>
      </c>
    </row>
    <row r="292" spans="1:3" x14ac:dyDescent="0.25">
      <c r="A292">
        <v>59.290669856459331</v>
      </c>
      <c r="B292">
        <v>0.95579117574359407</v>
      </c>
      <c r="C292">
        <v>0.58066301936708442</v>
      </c>
    </row>
    <row r="293" spans="1:3" x14ac:dyDescent="0.25">
      <c r="A293">
        <v>59.290669856459331</v>
      </c>
      <c r="B293">
        <v>0.76240519792822792</v>
      </c>
      <c r="C293">
        <v>0.45125116562037637</v>
      </c>
    </row>
    <row r="294" spans="1:3" x14ac:dyDescent="0.25">
      <c r="A294">
        <v>59.290669856459331</v>
      </c>
      <c r="B294">
        <v>0.51405675859791089</v>
      </c>
      <c r="C294">
        <v>6.4835835082772436E-2</v>
      </c>
    </row>
    <row r="295" spans="1:3" x14ac:dyDescent="0.25">
      <c r="A295">
        <v>59.290669856459331</v>
      </c>
      <c r="B295">
        <v>0.42856324711566496</v>
      </c>
      <c r="C295">
        <v>3.2842960287189714E-2</v>
      </c>
    </row>
    <row r="296" spans="1:3" x14ac:dyDescent="0.25">
      <c r="A296">
        <v>59.290669856459331</v>
      </c>
      <c r="B296">
        <v>0.39067748289446402</v>
      </c>
      <c r="C296">
        <v>6.6439532581303098E-2</v>
      </c>
    </row>
    <row r="297" spans="1:3" x14ac:dyDescent="0.25">
      <c r="A297">
        <v>59.290669856459331</v>
      </c>
      <c r="B297">
        <v>0.27090074379123419</v>
      </c>
      <c r="C297">
        <v>7.4071346244294775E-2</v>
      </c>
    </row>
    <row r="298" spans="1:3" x14ac:dyDescent="0.25">
      <c r="A298">
        <v>59.290669856459331</v>
      </c>
      <c r="B298">
        <v>0.16316797867466368</v>
      </c>
      <c r="C298">
        <v>8.4243676931804456E-2</v>
      </c>
    </row>
    <row r="299" spans="1:3" x14ac:dyDescent="0.25">
      <c r="A299">
        <v>59.980829420970281</v>
      </c>
      <c r="B299">
        <v>0.1079101524614967</v>
      </c>
      <c r="C299">
        <v>5.1600963077638215E-2</v>
      </c>
    </row>
    <row r="300" spans="1:3" x14ac:dyDescent="0.25">
      <c r="A300">
        <v>59.980829420970281</v>
      </c>
      <c r="B300">
        <v>6.893693739880126E-2</v>
      </c>
      <c r="C300">
        <v>6.2681671455415547E-2</v>
      </c>
    </row>
    <row r="301" spans="1:3" x14ac:dyDescent="0.25">
      <c r="A301">
        <v>59.980829420970281</v>
      </c>
      <c r="B301">
        <v>5.4043009918402683E-2</v>
      </c>
      <c r="C301">
        <v>6.6827678247639508E-2</v>
      </c>
    </row>
    <row r="302" spans="1:3" x14ac:dyDescent="0.25">
      <c r="A302">
        <v>59.980829420970281</v>
      </c>
      <c r="B302">
        <v>6.1802936090048118E-2</v>
      </c>
      <c r="C302">
        <v>4.8794563327163309E-2</v>
      </c>
    </row>
    <row r="303" spans="1:3" x14ac:dyDescent="0.25">
      <c r="A303">
        <v>59.980829420970281</v>
      </c>
      <c r="B303">
        <v>0.13502442884668317</v>
      </c>
      <c r="C303">
        <v>3.6997805468406711E-2</v>
      </c>
    </row>
    <row r="304" spans="1:3" x14ac:dyDescent="0.25">
      <c r="A304">
        <v>59.980829420970281</v>
      </c>
      <c r="B304">
        <v>0.36649291219377955</v>
      </c>
      <c r="C304">
        <v>2.7064655763846732E-2</v>
      </c>
    </row>
    <row r="305" spans="1:3" x14ac:dyDescent="0.25">
      <c r="A305">
        <v>59.980829420970281</v>
      </c>
      <c r="B305">
        <v>0.79410029498525103</v>
      </c>
      <c r="C305">
        <v>4.3075272221929632E-2</v>
      </c>
    </row>
    <row r="306" spans="1:3" x14ac:dyDescent="0.25">
      <c r="A306">
        <v>59.980829420970281</v>
      </c>
      <c r="B306">
        <v>0.99473003639477531</v>
      </c>
      <c r="C306">
        <v>0.31705364940028585</v>
      </c>
    </row>
    <row r="307" spans="1:3" x14ac:dyDescent="0.25">
      <c r="A307">
        <v>59.980829420970281</v>
      </c>
      <c r="B307">
        <v>0.95541129390840374</v>
      </c>
      <c r="C307">
        <v>0.5460153917764804</v>
      </c>
    </row>
    <row r="308" spans="1:3" x14ac:dyDescent="0.25">
      <c r="A308">
        <v>59.980829420970281</v>
      </c>
      <c r="B308">
        <v>0.79314827754134132</v>
      </c>
      <c r="C308">
        <v>4.0119849386500296E-2</v>
      </c>
    </row>
    <row r="309" spans="1:3" x14ac:dyDescent="0.25">
      <c r="A309">
        <v>59.980829420970281</v>
      </c>
      <c r="B309">
        <v>0.70647588930074223</v>
      </c>
      <c r="C309">
        <v>2.456983776069992E-2</v>
      </c>
    </row>
    <row r="310" spans="1:3" x14ac:dyDescent="0.25">
      <c r="A310">
        <v>59.980829420970281</v>
      </c>
      <c r="B310">
        <v>0.74244009794839028</v>
      </c>
      <c r="C310">
        <v>2.6240975447952664E-2</v>
      </c>
    </row>
    <row r="311" spans="1:3" x14ac:dyDescent="0.25">
      <c r="A311">
        <v>59.980829420970281</v>
      </c>
      <c r="B311">
        <v>0.77451217376072901</v>
      </c>
      <c r="C311">
        <v>3.0595567773760761E-2</v>
      </c>
    </row>
    <row r="312" spans="1:3" x14ac:dyDescent="0.25">
      <c r="A312">
        <v>59.980829420970281</v>
      </c>
      <c r="B312">
        <v>0.7811393793226985</v>
      </c>
      <c r="C312">
        <v>3.8570393360587943E-2</v>
      </c>
    </row>
    <row r="313" spans="1:3" x14ac:dyDescent="0.25">
      <c r="A313">
        <v>59.980829420970281</v>
      </c>
      <c r="B313">
        <v>0.80288446767702071</v>
      </c>
      <c r="C313">
        <v>3.2905844445593829E-2</v>
      </c>
    </row>
    <row r="314" spans="1:3" x14ac:dyDescent="0.25">
      <c r="A314">
        <v>59.980829420970281</v>
      </c>
      <c r="B314">
        <v>0.89029839087642504</v>
      </c>
      <c r="C314">
        <v>8.4985093062831016E-2</v>
      </c>
    </row>
    <row r="315" spans="1:3" x14ac:dyDescent="0.25">
      <c r="A315">
        <v>59.980829420970281</v>
      </c>
      <c r="B315">
        <v>0.90889196941560091</v>
      </c>
      <c r="C315">
        <v>0.7105561807208185</v>
      </c>
    </row>
    <row r="316" spans="1:3" x14ac:dyDescent="0.25">
      <c r="A316">
        <v>59.980829420970281</v>
      </c>
      <c r="B316">
        <v>0.96154516879548457</v>
      </c>
      <c r="C316">
        <v>0.9120442913921033</v>
      </c>
    </row>
    <row r="317" spans="1:3" x14ac:dyDescent="0.25">
      <c r="A317">
        <v>59.980829420970281</v>
      </c>
      <c r="B317">
        <v>0.7961311905820575</v>
      </c>
      <c r="C317">
        <v>1.0064228661926118</v>
      </c>
    </row>
    <row r="318" spans="1:3" x14ac:dyDescent="0.25">
      <c r="A318">
        <v>59.980829420970281</v>
      </c>
      <c r="B318">
        <v>0.57443461913086391</v>
      </c>
      <c r="C318">
        <v>6.6431878229907926E-2</v>
      </c>
    </row>
    <row r="319" spans="1:3" x14ac:dyDescent="0.25">
      <c r="A319">
        <v>59.980829420970281</v>
      </c>
      <c r="B319">
        <v>0.47470594041136172</v>
      </c>
      <c r="C319">
        <v>3.0070029423486539E-2</v>
      </c>
    </row>
    <row r="320" spans="1:3" x14ac:dyDescent="0.25">
      <c r="A320">
        <v>59.980829420970281</v>
      </c>
      <c r="B320">
        <v>0.40891921944097825</v>
      </c>
      <c r="C320">
        <v>3.4694611785296148E-2</v>
      </c>
    </row>
    <row r="321" spans="1:3" x14ac:dyDescent="0.25">
      <c r="A321">
        <v>59.980829420970281</v>
      </c>
      <c r="B321">
        <v>0.29795864069587291</v>
      </c>
      <c r="C321">
        <v>2.9735264745267321E-2</v>
      </c>
    </row>
    <row r="322" spans="1:3" x14ac:dyDescent="0.25">
      <c r="A322">
        <v>59.980829420970281</v>
      </c>
      <c r="B322">
        <v>0.19071146329118246</v>
      </c>
      <c r="C322">
        <v>4.4788817023749601E-2</v>
      </c>
    </row>
    <row r="323" spans="1:3" x14ac:dyDescent="0.25">
      <c r="A323">
        <v>61.154601226993904</v>
      </c>
      <c r="B323">
        <v>5.3782290743320249E-2</v>
      </c>
      <c r="C323">
        <v>7.909486617541156E-2</v>
      </c>
    </row>
    <row r="324" spans="1:3" x14ac:dyDescent="0.25">
      <c r="A324">
        <v>61.154601226993904</v>
      </c>
      <c r="B324">
        <v>3.9500777408917095E-2</v>
      </c>
      <c r="C324">
        <v>7.0602581472342232E-2</v>
      </c>
    </row>
    <row r="325" spans="1:3" x14ac:dyDescent="0.25">
      <c r="A325">
        <v>61.154601226993904</v>
      </c>
      <c r="B325">
        <v>3.2749894000423996E-2</v>
      </c>
      <c r="C325">
        <v>7.2696751804517915E-2</v>
      </c>
    </row>
    <row r="326" spans="1:3" x14ac:dyDescent="0.25">
      <c r="A326">
        <v>61.154601226993904</v>
      </c>
      <c r="B326">
        <v>4.8758772114132036E-2</v>
      </c>
      <c r="C326">
        <v>6.1328980100564451E-2</v>
      </c>
    </row>
    <row r="327" spans="1:3" x14ac:dyDescent="0.25">
      <c r="A327">
        <v>61.154601226993904</v>
      </c>
      <c r="B327">
        <v>0.1169842837332437</v>
      </c>
      <c r="C327">
        <v>4.9501404162638415E-2</v>
      </c>
    </row>
    <row r="328" spans="1:3" x14ac:dyDescent="0.25">
      <c r="A328">
        <v>61.154601226993904</v>
      </c>
      <c r="B328">
        <v>0.35719286977762799</v>
      </c>
      <c r="C328">
        <v>2.4432098988354533E-2</v>
      </c>
    </row>
    <row r="329" spans="1:3" x14ac:dyDescent="0.25">
      <c r="A329">
        <v>61.154601226993904</v>
      </c>
      <c r="B329">
        <v>0.80266817290031722</v>
      </c>
      <c r="C329">
        <v>5.9099843719927297E-2</v>
      </c>
    </row>
    <row r="330" spans="1:3" x14ac:dyDescent="0.25">
      <c r="A330">
        <v>61.154601226993904</v>
      </c>
      <c r="B330">
        <v>1.0015212264150943</v>
      </c>
      <c r="C330">
        <v>0.19262056900188021</v>
      </c>
    </row>
    <row r="331" spans="1:3" x14ac:dyDescent="0.25">
      <c r="A331">
        <v>61.154601226993904</v>
      </c>
      <c r="B331">
        <v>0.92330121441575641</v>
      </c>
      <c r="C331">
        <v>0.3100640234214242</v>
      </c>
    </row>
    <row r="332" spans="1:3" x14ac:dyDescent="0.25">
      <c r="A332">
        <v>61.154601226993904</v>
      </c>
      <c r="B332">
        <v>0.70477529545925766</v>
      </c>
      <c r="C332">
        <v>8.0099349508615178E-2</v>
      </c>
    </row>
    <row r="333" spans="1:3" x14ac:dyDescent="0.25">
      <c r="A333">
        <v>61.154601226993904</v>
      </c>
      <c r="B333">
        <v>0.58431074964040952</v>
      </c>
      <c r="C333">
        <v>2.9806582810661186E-2</v>
      </c>
    </row>
    <row r="334" spans="1:3" x14ac:dyDescent="0.25">
      <c r="A334">
        <v>61.154601226993904</v>
      </c>
      <c r="B334">
        <v>0.58387315376077864</v>
      </c>
      <c r="C334">
        <v>3.7672292972328242E-2</v>
      </c>
    </row>
    <row r="335" spans="1:3" x14ac:dyDescent="0.25">
      <c r="A335">
        <v>61.154601226993904</v>
      </c>
      <c r="B335">
        <v>0.58230541109726219</v>
      </c>
      <c r="C335">
        <v>3.6821239997633419E-2</v>
      </c>
    </row>
    <row r="336" spans="1:3" x14ac:dyDescent="0.25">
      <c r="A336">
        <v>61.154601226993904</v>
      </c>
      <c r="B336">
        <v>0.57872726691937471</v>
      </c>
      <c r="C336">
        <v>3.5769034474023437E-2</v>
      </c>
    </row>
    <row r="337" spans="1:3" x14ac:dyDescent="0.25">
      <c r="A337">
        <v>61.154601226993904</v>
      </c>
      <c r="B337">
        <v>0.59602444932980447</v>
      </c>
      <c r="C337">
        <v>5.9241047465684891E-2</v>
      </c>
    </row>
    <row r="338" spans="1:3" x14ac:dyDescent="0.25">
      <c r="A338">
        <v>61.154601226993904</v>
      </c>
      <c r="B338">
        <v>0.65221365708496903</v>
      </c>
      <c r="C338">
        <v>5.5329533762213175E-2</v>
      </c>
    </row>
    <row r="339" spans="1:3" x14ac:dyDescent="0.25">
      <c r="A339">
        <v>61.154601226993904</v>
      </c>
      <c r="B339">
        <v>0.67952290802944415</v>
      </c>
      <c r="C339">
        <v>4.5948702411092168E-2</v>
      </c>
    </row>
    <row r="340" spans="1:3" x14ac:dyDescent="0.25">
      <c r="A340">
        <v>61.154601226993904</v>
      </c>
      <c r="B340">
        <v>0.69641836713490146</v>
      </c>
      <c r="C340">
        <v>4.7722622085931823E-2</v>
      </c>
    </row>
    <row r="341" spans="1:3" x14ac:dyDescent="0.25">
      <c r="A341">
        <v>61.154601226993904</v>
      </c>
      <c r="B341">
        <v>0.5901111859838275</v>
      </c>
      <c r="C341">
        <v>5.4451327327924501E-2</v>
      </c>
    </row>
    <row r="342" spans="1:3" x14ac:dyDescent="0.25">
      <c r="A342">
        <v>61.154601226993904</v>
      </c>
      <c r="B342">
        <v>0.39892722520721396</v>
      </c>
      <c r="C342">
        <v>3.3725972754913611E-2</v>
      </c>
    </row>
    <row r="343" spans="1:3" x14ac:dyDescent="0.25">
      <c r="A343">
        <v>61.154601226993904</v>
      </c>
      <c r="B343">
        <v>0.32445660167247975</v>
      </c>
      <c r="C343">
        <v>3.493959265139799E-2</v>
      </c>
    </row>
    <row r="344" spans="1:3" x14ac:dyDescent="0.25">
      <c r="A344">
        <v>61.154601226993904</v>
      </c>
      <c r="B344">
        <v>0.27173236623018032</v>
      </c>
      <c r="C344">
        <v>5.9353967822408399E-2</v>
      </c>
    </row>
    <row r="345" spans="1:3" x14ac:dyDescent="0.25">
      <c r="A345">
        <v>61.154601226993904</v>
      </c>
      <c r="B345">
        <v>0.19009831460674156</v>
      </c>
      <c r="C345">
        <v>8.2514844677636215E-2</v>
      </c>
    </row>
    <row r="346" spans="1:3" x14ac:dyDescent="0.25">
      <c r="A346">
        <v>61.154601226993904</v>
      </c>
      <c r="B346">
        <v>0.10487912735849056</v>
      </c>
      <c r="C346">
        <v>7.3533707961712255E-2</v>
      </c>
    </row>
    <row r="347" spans="1:3" x14ac:dyDescent="0.25">
      <c r="A347">
        <v>62.149292452830181</v>
      </c>
      <c r="B347">
        <v>7.854581573467824E-2</v>
      </c>
      <c r="C347">
        <v>3.5041794776466448E-2</v>
      </c>
    </row>
    <row r="348" spans="1:3" x14ac:dyDescent="0.25">
      <c r="A348">
        <v>62.149292452830181</v>
      </c>
      <c r="B348">
        <v>4.6843177189409377E-2</v>
      </c>
      <c r="C348">
        <v>4.567151054965933E-2</v>
      </c>
    </row>
    <row r="349" spans="1:3" x14ac:dyDescent="0.25">
      <c r="A349">
        <v>62.149292452830181</v>
      </c>
      <c r="B349">
        <v>3.5050382541171793E-2</v>
      </c>
      <c r="C349">
        <v>4.3931535718020526E-2</v>
      </c>
    </row>
    <row r="350" spans="1:3" x14ac:dyDescent="0.25">
      <c r="A350">
        <v>62.149292452830181</v>
      </c>
      <c r="B350">
        <v>4.1593523814707781E-2</v>
      </c>
      <c r="C350">
        <v>3.3938057875510144E-2</v>
      </c>
    </row>
    <row r="351" spans="1:3" x14ac:dyDescent="0.25">
      <c r="A351">
        <v>62.149292452830181</v>
      </c>
      <c r="B351">
        <v>9.2974203820211487E-2</v>
      </c>
      <c r="C351">
        <v>2.5947014492635354E-2</v>
      </c>
    </row>
    <row r="352" spans="1:3" x14ac:dyDescent="0.25">
      <c r="A352">
        <v>62.149292452830181</v>
      </c>
      <c r="B352">
        <v>0.27067270390844733</v>
      </c>
      <c r="C352">
        <v>3.2322023056779052E-2</v>
      </c>
    </row>
    <row r="353" spans="1:3" x14ac:dyDescent="0.25">
      <c r="A353">
        <v>62.149292452830181</v>
      </c>
      <c r="B353">
        <v>0.69781284357370787</v>
      </c>
      <c r="C353">
        <v>4.5792656955447278E-2</v>
      </c>
    </row>
    <row r="354" spans="1:3" x14ac:dyDescent="0.25">
      <c r="A354">
        <v>62.149292452830181</v>
      </c>
      <c r="B354">
        <v>0.97429131779437228</v>
      </c>
      <c r="C354">
        <v>0.26512183994840044</v>
      </c>
    </row>
    <row r="355" spans="1:3" x14ac:dyDescent="0.25">
      <c r="A355">
        <v>62.149292452830181</v>
      </c>
      <c r="B355">
        <v>0.89440701864327099</v>
      </c>
      <c r="C355">
        <v>0.97377665590568241</v>
      </c>
    </row>
    <row r="356" spans="1:3" x14ac:dyDescent="0.25">
      <c r="A356">
        <v>62.149292452830181</v>
      </c>
      <c r="B356">
        <v>0.73798864135944897</v>
      </c>
      <c r="C356">
        <v>0.14337135220750277</v>
      </c>
    </row>
    <row r="357" spans="1:3" x14ac:dyDescent="0.25">
      <c r="A357">
        <v>62.149292452830181</v>
      </c>
      <c r="B357">
        <v>0.64551980905161732</v>
      </c>
      <c r="C357">
        <v>2.2509182475192378E-2</v>
      </c>
    </row>
    <row r="358" spans="1:3" x14ac:dyDescent="0.25">
      <c r="A358">
        <v>62.149292452830181</v>
      </c>
      <c r="B358">
        <v>0.67392672364354467</v>
      </c>
      <c r="C358">
        <v>2.3057241420906375E-2</v>
      </c>
    </row>
    <row r="359" spans="1:3" x14ac:dyDescent="0.25">
      <c r="A359">
        <v>62.149292452830181</v>
      </c>
      <c r="B359">
        <v>0.69791880765086534</v>
      </c>
      <c r="C359">
        <v>3.3379983510182024E-2</v>
      </c>
    </row>
    <row r="360" spans="1:3" x14ac:dyDescent="0.25">
      <c r="A360">
        <v>62.149292452830181</v>
      </c>
      <c r="B360">
        <v>0.69242279396483641</v>
      </c>
      <c r="C360">
        <v>2.7635453304299475E-2</v>
      </c>
    </row>
    <row r="361" spans="1:3" x14ac:dyDescent="0.25">
      <c r="A361">
        <v>62.149292452830181</v>
      </c>
      <c r="B361">
        <v>0.73857489102487306</v>
      </c>
      <c r="C361">
        <v>3.1017154340251103E-2</v>
      </c>
    </row>
    <row r="362" spans="1:3" x14ac:dyDescent="0.25">
      <c r="A362">
        <v>62.149292452830181</v>
      </c>
      <c r="B362">
        <v>0.85773839831248144</v>
      </c>
      <c r="C362">
        <v>5.3588180112570258E-2</v>
      </c>
    </row>
    <row r="363" spans="1:3" x14ac:dyDescent="0.25">
      <c r="A363">
        <v>62.149292452830181</v>
      </c>
      <c r="B363">
        <v>0.94416690260260239</v>
      </c>
      <c r="C363">
        <v>7.1642929076983344E-2</v>
      </c>
    </row>
    <row r="364" spans="1:3" x14ac:dyDescent="0.25">
      <c r="A364">
        <v>62.149292452830181</v>
      </c>
      <c r="B364">
        <v>0.9998863537806798</v>
      </c>
      <c r="C364">
        <v>0.1687315501296518</v>
      </c>
    </row>
    <row r="365" spans="1:3" x14ac:dyDescent="0.25">
      <c r="A365">
        <v>62.149292452830181</v>
      </c>
      <c r="B365">
        <v>0.81344643136903771</v>
      </c>
      <c r="C365">
        <v>7.345454427651861E-2</v>
      </c>
    </row>
    <row r="366" spans="1:3" x14ac:dyDescent="0.25">
      <c r="A366">
        <v>62.149292452830181</v>
      </c>
      <c r="B366">
        <v>0.52932775237572871</v>
      </c>
      <c r="C366">
        <v>5.144107643015268E-2</v>
      </c>
    </row>
    <row r="367" spans="1:3" x14ac:dyDescent="0.25">
      <c r="A367">
        <v>62.149292452830181</v>
      </c>
      <c r="B367">
        <v>0.41798701799427579</v>
      </c>
      <c r="C367">
        <v>5.1250860562262829E-2</v>
      </c>
    </row>
    <row r="368" spans="1:3" x14ac:dyDescent="0.25">
      <c r="A368">
        <v>62.149292452830181</v>
      </c>
      <c r="B368">
        <v>0.35409021715399919</v>
      </c>
      <c r="C368">
        <v>5.3488245999754623E-2</v>
      </c>
    </row>
    <row r="369" spans="1:3" x14ac:dyDescent="0.25">
      <c r="A369">
        <v>62.149292452830181</v>
      </c>
      <c r="B369">
        <v>0.24985749428843185</v>
      </c>
      <c r="C369">
        <v>4.7770402071974832E-2</v>
      </c>
    </row>
    <row r="370" spans="1:3" x14ac:dyDescent="0.25">
      <c r="A370">
        <v>62.149292452830181</v>
      </c>
      <c r="B370">
        <v>0.14570585476022413</v>
      </c>
      <c r="C370">
        <v>3.5706835447034041E-2</v>
      </c>
    </row>
    <row r="371" spans="1:3" x14ac:dyDescent="0.25">
      <c r="A371">
        <v>62.400681818181816</v>
      </c>
      <c r="B371">
        <v>3.328927655419308E-2</v>
      </c>
      <c r="C371">
        <v>0.13893653516294965</v>
      </c>
    </row>
    <row r="372" spans="1:3" x14ac:dyDescent="0.25">
      <c r="A372">
        <v>62.400681818181816</v>
      </c>
      <c r="B372">
        <v>5.5806650608982974E-2</v>
      </c>
      <c r="C372">
        <v>0.12827218702421228</v>
      </c>
    </row>
    <row r="373" spans="1:3" x14ac:dyDescent="0.25">
      <c r="A373">
        <v>62.400681818181816</v>
      </c>
      <c r="B373">
        <v>4.5068462151295653E-2</v>
      </c>
      <c r="C373">
        <v>0.1844669827396539</v>
      </c>
    </row>
    <row r="374" spans="1:3" x14ac:dyDescent="0.25">
      <c r="A374">
        <v>62.400681818181816</v>
      </c>
      <c r="B374">
        <v>6.6081398196455601E-2</v>
      </c>
      <c r="C374">
        <v>0.118323814976123</v>
      </c>
    </row>
    <row r="375" spans="1:3" x14ac:dyDescent="0.25">
      <c r="A375">
        <v>62.400681818181816</v>
      </c>
      <c r="B375">
        <v>0.14792322409430367</v>
      </c>
      <c r="C375">
        <v>8.8134149448823904E-2</v>
      </c>
    </row>
    <row r="376" spans="1:3" x14ac:dyDescent="0.25">
      <c r="A376">
        <v>62.400681818181816</v>
      </c>
      <c r="B376">
        <v>0.45006480281429384</v>
      </c>
      <c r="C376">
        <v>1.9679202717108133E-2</v>
      </c>
    </row>
    <row r="377" spans="1:3" x14ac:dyDescent="0.25">
      <c r="A377">
        <v>62.400681818181816</v>
      </c>
      <c r="B377">
        <v>0.99630623958526232</v>
      </c>
      <c r="C377">
        <v>2.7670317250307788E-2</v>
      </c>
    </row>
    <row r="378" spans="1:3" x14ac:dyDescent="0.25">
      <c r="A378">
        <v>62.400681818181816</v>
      </c>
      <c r="B378">
        <v>1.3018725437072187</v>
      </c>
      <c r="C378">
        <v>0.12604303908651698</v>
      </c>
    </row>
    <row r="379" spans="1:3" x14ac:dyDescent="0.25">
      <c r="A379">
        <v>62.400681818181816</v>
      </c>
      <c r="B379">
        <v>1.2063256076967412</v>
      </c>
      <c r="C379">
        <v>0.19808360393361099</v>
      </c>
    </row>
    <row r="380" spans="1:3" x14ac:dyDescent="0.25">
      <c r="A380">
        <v>62.400681818181816</v>
      </c>
      <c r="B380">
        <v>0.8931610103355726</v>
      </c>
      <c r="C380">
        <v>3.3719125636587043E-2</v>
      </c>
    </row>
    <row r="381" spans="1:3" x14ac:dyDescent="0.25">
      <c r="A381">
        <v>62.400681818181816</v>
      </c>
      <c r="B381">
        <v>0.73479254941436178</v>
      </c>
      <c r="C381">
        <v>2.1430285941388301E-2</v>
      </c>
    </row>
    <row r="382" spans="1:3" x14ac:dyDescent="0.25">
      <c r="A382">
        <v>62.400681818181816</v>
      </c>
      <c r="B382">
        <v>0.72999440271303839</v>
      </c>
      <c r="C382">
        <v>1.890708599435895E-2</v>
      </c>
    </row>
    <row r="383" spans="1:3" x14ac:dyDescent="0.25">
      <c r="A383">
        <v>62.400681818181816</v>
      </c>
      <c r="B383">
        <v>0.73282767984643138</v>
      </c>
      <c r="C383">
        <v>2.0476113447643402E-2</v>
      </c>
    </row>
    <row r="384" spans="1:3" x14ac:dyDescent="0.25">
      <c r="A384">
        <v>62.400681818181816</v>
      </c>
      <c r="B384">
        <v>0.73468539632386098</v>
      </c>
      <c r="C384">
        <v>2.738044915935979E-2</v>
      </c>
    </row>
    <row r="385" spans="1:3" x14ac:dyDescent="0.25">
      <c r="A385">
        <v>62.400681818181816</v>
      </c>
      <c r="B385">
        <v>0.74431452607746984</v>
      </c>
      <c r="C385">
        <v>2.729174878761223E-2</v>
      </c>
    </row>
    <row r="386" spans="1:3" x14ac:dyDescent="0.25">
      <c r="A386">
        <v>62.400681818181816</v>
      </c>
      <c r="B386">
        <v>0.78855463924409874</v>
      </c>
      <c r="C386">
        <v>4.6483180428134575E-2</v>
      </c>
    </row>
    <row r="387" spans="1:3" x14ac:dyDescent="0.25">
      <c r="A387">
        <v>62.400681818181816</v>
      </c>
      <c r="B387">
        <v>0.82227528462516897</v>
      </c>
      <c r="C387">
        <v>2.3500377862843695E-2</v>
      </c>
    </row>
    <row r="388" spans="1:3" x14ac:dyDescent="0.25">
      <c r="A388">
        <v>62.400681818181816</v>
      </c>
      <c r="B388">
        <v>0.81852862223384881</v>
      </c>
      <c r="C388">
        <v>3.0417370785446218E-2</v>
      </c>
    </row>
    <row r="389" spans="1:3" x14ac:dyDescent="0.25">
      <c r="A389">
        <v>62.400681818181816</v>
      </c>
      <c r="B389">
        <v>0.72873984382507717</v>
      </c>
      <c r="C389">
        <v>3.8568980015871175E-2</v>
      </c>
    </row>
    <row r="390" spans="1:3" x14ac:dyDescent="0.25">
      <c r="A390">
        <v>62.400681818181816</v>
      </c>
      <c r="B390">
        <v>0.52577300499907442</v>
      </c>
      <c r="C390">
        <v>6.8127718093164105E-2</v>
      </c>
    </row>
    <row r="391" spans="1:3" x14ac:dyDescent="0.25">
      <c r="A391">
        <v>62.400681818181816</v>
      </c>
      <c r="B391">
        <v>0.43115795789665756</v>
      </c>
      <c r="C391">
        <v>2.5666241646546312E-2</v>
      </c>
    </row>
    <row r="392" spans="1:3" x14ac:dyDescent="0.25">
      <c r="A392">
        <v>62.400681818181816</v>
      </c>
      <c r="B392">
        <v>0.37737745632470227</v>
      </c>
      <c r="C392">
        <v>6.4509278529469805E-2</v>
      </c>
    </row>
    <row r="393" spans="1:3" x14ac:dyDescent="0.25">
      <c r="A393">
        <v>62.400681818181816</v>
      </c>
      <c r="B393">
        <v>0.29748439104491103</v>
      </c>
      <c r="C393">
        <v>9.8862365101372446E-2</v>
      </c>
    </row>
    <row r="394" spans="1:3" x14ac:dyDescent="0.25">
      <c r="A394">
        <v>62.400681818181816</v>
      </c>
      <c r="B394">
        <v>0.17288718095856279</v>
      </c>
      <c r="C394">
        <v>9.445756165467914E-2</v>
      </c>
    </row>
    <row r="395" spans="1:3" x14ac:dyDescent="0.25">
      <c r="A395">
        <v>64.173904761904751</v>
      </c>
      <c r="B395">
        <v>4.9549797422327256E-2</v>
      </c>
      <c r="C395">
        <v>0.11350337302333288</v>
      </c>
    </row>
    <row r="396" spans="1:3" x14ac:dyDescent="0.25">
      <c r="A396">
        <v>64.173904761904751</v>
      </c>
      <c r="B396">
        <v>3.4241865190770278E-2</v>
      </c>
      <c r="C396">
        <v>0.10271130049702273</v>
      </c>
    </row>
    <row r="397" spans="1:3" x14ac:dyDescent="0.25">
      <c r="A397">
        <v>64.173904761904751</v>
      </c>
      <c r="B397">
        <v>2.8516676355963215E-2</v>
      </c>
      <c r="C397">
        <v>0.11335712633422564</v>
      </c>
    </row>
    <row r="398" spans="1:3" x14ac:dyDescent="0.25">
      <c r="A398">
        <v>64.173904761904751</v>
      </c>
      <c r="B398">
        <v>4.424647364513732E-2</v>
      </c>
      <c r="C398">
        <v>0.10946339799153375</v>
      </c>
    </row>
    <row r="399" spans="1:3" x14ac:dyDescent="0.25">
      <c r="A399">
        <v>64.173904761904751</v>
      </c>
      <c r="B399">
        <v>0.10190081801238568</v>
      </c>
      <c r="C399">
        <v>7.4679301450955235E-2</v>
      </c>
    </row>
    <row r="400" spans="1:3" x14ac:dyDescent="0.25">
      <c r="A400">
        <v>64.173904761904751</v>
      </c>
      <c r="B400">
        <v>0.31396079187969617</v>
      </c>
      <c r="C400">
        <v>2.6481815847842625E-2</v>
      </c>
    </row>
    <row r="401" spans="1:3" x14ac:dyDescent="0.25">
      <c r="A401">
        <v>64.173904761904751</v>
      </c>
      <c r="B401">
        <v>0.73153732872326727</v>
      </c>
      <c r="C401">
        <v>3.2319479792663773E-2</v>
      </c>
    </row>
    <row r="402" spans="1:3" x14ac:dyDescent="0.25">
      <c r="A402">
        <v>64.173904761904751</v>
      </c>
      <c r="B402">
        <v>0.96511389332001241</v>
      </c>
      <c r="C402">
        <v>8.1859047046943828E-2</v>
      </c>
    </row>
    <row r="403" spans="1:3" x14ac:dyDescent="0.25">
      <c r="A403">
        <v>64.173904761904751</v>
      </c>
      <c r="B403">
        <v>0.88947568246838304</v>
      </c>
      <c r="C403">
        <v>0.20282406888448828</v>
      </c>
    </row>
    <row r="404" spans="1:3" x14ac:dyDescent="0.25">
      <c r="A404">
        <v>64.173904761904751</v>
      </c>
      <c r="B404">
        <v>0.64230998533700712</v>
      </c>
      <c r="C404">
        <v>3.6861586234109865E-2</v>
      </c>
    </row>
    <row r="405" spans="1:3" x14ac:dyDescent="0.25">
      <c r="A405">
        <v>64.173904761904751</v>
      </c>
      <c r="B405">
        <v>0.51687983119092173</v>
      </c>
      <c r="C405">
        <v>3.3340398304862476E-2</v>
      </c>
    </row>
    <row r="406" spans="1:3" x14ac:dyDescent="0.25">
      <c r="A406">
        <v>64.173904761904751</v>
      </c>
      <c r="B406">
        <v>0.51355678918434811</v>
      </c>
      <c r="C406">
        <v>3.0074549670055798E-2</v>
      </c>
    </row>
    <row r="407" spans="1:3" x14ac:dyDescent="0.25">
      <c r="A407">
        <v>64.173904761904751</v>
      </c>
      <c r="B407">
        <v>0.51690778369610468</v>
      </c>
      <c r="C407">
        <v>2.6057730429991884E-2</v>
      </c>
    </row>
    <row r="408" spans="1:3" x14ac:dyDescent="0.25">
      <c r="A408">
        <v>64.173904761904751</v>
      </c>
      <c r="B408">
        <v>0.51271644136034777</v>
      </c>
      <c r="C408">
        <v>2.7514220979991569E-2</v>
      </c>
    </row>
    <row r="409" spans="1:3" x14ac:dyDescent="0.25">
      <c r="A409">
        <v>64.173904761904751</v>
      </c>
      <c r="B409">
        <v>0.52215442085252384</v>
      </c>
      <c r="C409">
        <v>3.2745660368492878E-2</v>
      </c>
    </row>
    <row r="410" spans="1:3" x14ac:dyDescent="0.25">
      <c r="A410">
        <v>64.173904761904751</v>
      </c>
      <c r="B410">
        <v>0.54802044649336268</v>
      </c>
      <c r="C410">
        <v>3.6268881454952287E-2</v>
      </c>
    </row>
    <row r="411" spans="1:3" x14ac:dyDescent="0.25">
      <c r="A411">
        <v>64.173904761904751</v>
      </c>
      <c r="B411">
        <v>0.57591240875912375</v>
      </c>
      <c r="C411">
        <v>2.5990102697440134E-2</v>
      </c>
    </row>
    <row r="412" spans="1:3" x14ac:dyDescent="0.25">
      <c r="A412">
        <v>64.173904761904751</v>
      </c>
      <c r="B412">
        <v>0.58292461689503483</v>
      </c>
      <c r="C412">
        <v>3.3439287537181339E-2</v>
      </c>
    </row>
    <row r="413" spans="1:3" x14ac:dyDescent="0.25">
      <c r="A413">
        <v>64.173904761904751</v>
      </c>
      <c r="B413">
        <v>0.50419032170857003</v>
      </c>
      <c r="C413">
        <v>3.113363195950156E-2</v>
      </c>
    </row>
    <row r="414" spans="1:3" x14ac:dyDescent="0.25">
      <c r="A414">
        <v>64.173904761904751</v>
      </c>
      <c r="B414">
        <v>0.3411860121177423</v>
      </c>
      <c r="C414">
        <v>4.0817146876839246E-2</v>
      </c>
    </row>
    <row r="415" spans="1:3" x14ac:dyDescent="0.25">
      <c r="A415">
        <v>64.173904761904751</v>
      </c>
      <c r="B415">
        <v>0.27807045382418266</v>
      </c>
      <c r="C415">
        <v>2.8726925188750047E-2</v>
      </c>
    </row>
    <row r="416" spans="1:3" x14ac:dyDescent="0.25">
      <c r="A416">
        <v>64.173904761904751</v>
      </c>
      <c r="B416">
        <v>0.23611146069301117</v>
      </c>
      <c r="C416">
        <v>8.0342683792537298E-2</v>
      </c>
    </row>
    <row r="417" spans="1:3" x14ac:dyDescent="0.25">
      <c r="A417">
        <v>64.173904761904751</v>
      </c>
      <c r="B417">
        <v>0.17452161625176615</v>
      </c>
      <c r="C417">
        <v>9.4496016113266523E-2</v>
      </c>
    </row>
    <row r="418" spans="1:3" x14ac:dyDescent="0.25">
      <c r="A418">
        <v>64.173904761904751</v>
      </c>
      <c r="B418">
        <v>0.10105079739478745</v>
      </c>
      <c r="C418">
        <v>9.7509188407543704E-2</v>
      </c>
    </row>
    <row r="419" spans="1:3" x14ac:dyDescent="0.25">
      <c r="A419">
        <v>64.84398584905658</v>
      </c>
      <c r="B419">
        <v>8.8038673405576945E-2</v>
      </c>
      <c r="C419">
        <v>0.1237086490786551</v>
      </c>
    </row>
    <row r="420" spans="1:3" x14ac:dyDescent="0.25">
      <c r="A420">
        <v>64.84398584905658</v>
      </c>
      <c r="B420">
        <v>5.4564889947038529E-2</v>
      </c>
      <c r="C420">
        <v>0.12870872153031715</v>
      </c>
    </row>
    <row r="421" spans="1:3" x14ac:dyDescent="0.25">
      <c r="A421">
        <v>64.84398584905658</v>
      </c>
      <c r="B421">
        <v>4.3478104560281665E-2</v>
      </c>
      <c r="C421">
        <v>0.11935725807814435</v>
      </c>
    </row>
    <row r="422" spans="1:3" x14ac:dyDescent="0.25">
      <c r="A422">
        <v>64.84398584905658</v>
      </c>
      <c r="B422">
        <v>5.7201763167511625E-2</v>
      </c>
      <c r="C422">
        <v>0.12239411316699547</v>
      </c>
    </row>
    <row r="423" spans="1:3" x14ac:dyDescent="0.25">
      <c r="A423">
        <v>64.84398584905658</v>
      </c>
      <c r="B423">
        <v>0.11934829938612916</v>
      </c>
      <c r="C423">
        <v>0.14436909764764871</v>
      </c>
    </row>
    <row r="424" spans="1:3" x14ac:dyDescent="0.25">
      <c r="A424">
        <v>64.84398584905658</v>
      </c>
      <c r="B424">
        <v>0.36444056845079026</v>
      </c>
      <c r="C424">
        <v>0.12479557388558855</v>
      </c>
    </row>
    <row r="425" spans="1:3" x14ac:dyDescent="0.25">
      <c r="A425">
        <v>64.84398584905658</v>
      </c>
      <c r="B425">
        <v>0.79130700065744974</v>
      </c>
      <c r="C425">
        <v>0.10001325650203167</v>
      </c>
    </row>
    <row r="426" spans="1:3" x14ac:dyDescent="0.25">
      <c r="A426">
        <v>64.84398584905658</v>
      </c>
      <c r="B426">
        <v>1.1005848190425289</v>
      </c>
      <c r="C426">
        <v>9.1884002228829961E-2</v>
      </c>
    </row>
    <row r="427" spans="1:3" x14ac:dyDescent="0.25">
      <c r="A427">
        <v>64.84398584905658</v>
      </c>
      <c r="B427">
        <v>1.0468088162235087</v>
      </c>
      <c r="C427">
        <v>0.25257005141241717</v>
      </c>
    </row>
    <row r="428" spans="1:3" x14ac:dyDescent="0.25">
      <c r="A428">
        <v>64.84398584905658</v>
      </c>
      <c r="B428">
        <v>0.8866810367612078</v>
      </c>
      <c r="C428">
        <v>0.11787727459496107</v>
      </c>
    </row>
    <row r="429" spans="1:3" x14ac:dyDescent="0.25">
      <c r="A429">
        <v>64.84398584905658</v>
      </c>
      <c r="B429">
        <v>0.77020647050043101</v>
      </c>
      <c r="C429">
        <v>8.6836517652534001E-2</v>
      </c>
    </row>
    <row r="430" spans="1:3" x14ac:dyDescent="0.25">
      <c r="A430">
        <v>64.84398584905658</v>
      </c>
      <c r="B430">
        <v>0.79465599671994314</v>
      </c>
      <c r="C430">
        <v>7.3535457980969443E-2</v>
      </c>
    </row>
    <row r="431" spans="1:3" x14ac:dyDescent="0.25">
      <c r="A431">
        <v>64.84398584905658</v>
      </c>
      <c r="B431">
        <v>0.80008973271419392</v>
      </c>
      <c r="C431">
        <v>7.3188266170722382E-2</v>
      </c>
    </row>
    <row r="432" spans="1:3" x14ac:dyDescent="0.25">
      <c r="A432">
        <v>64.84398584905658</v>
      </c>
      <c r="B432">
        <v>0.81705128158514428</v>
      </c>
      <c r="C432">
        <v>8.288733365914798E-2</v>
      </c>
    </row>
    <row r="433" spans="1:3" x14ac:dyDescent="0.25">
      <c r="A433">
        <v>64.84398584905658</v>
      </c>
      <c r="B433">
        <v>0.84422635559177828</v>
      </c>
      <c r="C433">
        <v>6.6585309093267556E-2</v>
      </c>
    </row>
    <row r="434" spans="1:3" x14ac:dyDescent="0.25">
      <c r="A434">
        <v>64.84398584905658</v>
      </c>
      <c r="B434">
        <v>0.92753707910208449</v>
      </c>
      <c r="C434">
        <v>6.8498951756777934E-2</v>
      </c>
    </row>
    <row r="435" spans="1:3" x14ac:dyDescent="0.25">
      <c r="A435">
        <v>64.84398584905658</v>
      </c>
      <c r="B435">
        <v>0.97868217518748524</v>
      </c>
      <c r="C435">
        <v>0.20696347367564402</v>
      </c>
    </row>
    <row r="436" spans="1:3" x14ac:dyDescent="0.25">
      <c r="A436">
        <v>64.84398584905658</v>
      </c>
      <c r="B436">
        <v>0.98729153765919431</v>
      </c>
      <c r="C436">
        <v>0.41364687753990448</v>
      </c>
    </row>
    <row r="437" spans="1:3" x14ac:dyDescent="0.25">
      <c r="A437">
        <v>64.84398584905658</v>
      </c>
      <c r="B437">
        <v>0.85165598698468825</v>
      </c>
      <c r="C437">
        <v>0.11456603646998383</v>
      </c>
    </row>
    <row r="438" spans="1:3" x14ac:dyDescent="0.25">
      <c r="A438">
        <v>64.84398584905658</v>
      </c>
      <c r="B438">
        <v>0.59336710073469467</v>
      </c>
      <c r="C438">
        <v>8.7768656363550662E-2</v>
      </c>
    </row>
    <row r="439" spans="1:3" x14ac:dyDescent="0.25">
      <c r="A439">
        <v>64.84398584905658</v>
      </c>
      <c r="B439">
        <v>0.48015603294452069</v>
      </c>
      <c r="C439">
        <v>9.0441195072357719E-2</v>
      </c>
    </row>
    <row r="440" spans="1:3" x14ac:dyDescent="0.25">
      <c r="A440">
        <v>64.84398584905658</v>
      </c>
      <c r="B440">
        <v>0.42825017137369142</v>
      </c>
      <c r="C440">
        <v>0.12625972095527083</v>
      </c>
    </row>
    <row r="441" spans="1:3" x14ac:dyDescent="0.25">
      <c r="A441">
        <v>64.84398584905658</v>
      </c>
      <c r="B441">
        <v>0.30504154966378166</v>
      </c>
      <c r="C441">
        <v>0.12808594153496528</v>
      </c>
    </row>
    <row r="442" spans="1:3" x14ac:dyDescent="0.25">
      <c r="A442">
        <v>64.84398584905658</v>
      </c>
      <c r="B442">
        <v>0.17695557734351311</v>
      </c>
      <c r="C442">
        <v>0.12800661299807761</v>
      </c>
    </row>
    <row r="443" spans="1:3" x14ac:dyDescent="0.25">
      <c r="A443">
        <v>65.071507936507928</v>
      </c>
      <c r="B443">
        <v>7.9294352285678105E-2</v>
      </c>
      <c r="C443">
        <v>2.5406245821687042E-2</v>
      </c>
    </row>
    <row r="444" spans="1:3" x14ac:dyDescent="0.25">
      <c r="A444">
        <v>65.071507936507928</v>
      </c>
      <c r="B444">
        <v>4.8647136342718486E-2</v>
      </c>
      <c r="C444">
        <v>1.7594122546759176E-2</v>
      </c>
    </row>
    <row r="445" spans="1:3" x14ac:dyDescent="0.25">
      <c r="A445">
        <v>65.071507936507928</v>
      </c>
      <c r="B445">
        <v>3.8577220691117235E-2</v>
      </c>
      <c r="C445">
        <v>2.0963032247466384E-2</v>
      </c>
    </row>
    <row r="446" spans="1:3" x14ac:dyDescent="0.25">
      <c r="A446">
        <v>65.071507936507928</v>
      </c>
      <c r="B446">
        <v>4.4976782787746354E-2</v>
      </c>
      <c r="C446">
        <v>1.6413828516183369E-2</v>
      </c>
    </row>
    <row r="447" spans="1:3" x14ac:dyDescent="0.25">
      <c r="A447">
        <v>65.071507936507928</v>
      </c>
      <c r="B447">
        <v>0.10179329327226121</v>
      </c>
      <c r="C447">
        <v>2.1058982587384558E-2</v>
      </c>
    </row>
    <row r="448" spans="1:3" x14ac:dyDescent="0.25">
      <c r="A448">
        <v>65.071507936507928</v>
      </c>
      <c r="B448">
        <v>0.26758997009770891</v>
      </c>
      <c r="C448">
        <v>1.7423311132448532E-2</v>
      </c>
    </row>
    <row r="449" spans="1:3" x14ac:dyDescent="0.25">
      <c r="A449">
        <v>65.071507936507928</v>
      </c>
      <c r="B449">
        <v>0.58841469777926192</v>
      </c>
      <c r="C449">
        <v>2.3345820698658093E-2</v>
      </c>
    </row>
    <row r="450" spans="1:3" x14ac:dyDescent="0.25">
      <c r="A450">
        <v>65.071507936507928</v>
      </c>
      <c r="B450">
        <v>0.83455712788259961</v>
      </c>
      <c r="C450">
        <v>0.15748902609708393</v>
      </c>
    </row>
    <row r="451" spans="1:3" x14ac:dyDescent="0.25">
      <c r="A451">
        <v>65.071507936507928</v>
      </c>
      <c r="B451">
        <v>0.83223875181422358</v>
      </c>
      <c r="C451">
        <v>0.54650410855046794</v>
      </c>
    </row>
    <row r="452" spans="1:3" x14ac:dyDescent="0.25">
      <c r="A452">
        <v>65.071507936507928</v>
      </c>
      <c r="B452">
        <v>0.6926650423904912</v>
      </c>
      <c r="C452">
        <v>8.2300002258647587E-2</v>
      </c>
    </row>
    <row r="453" spans="1:3" x14ac:dyDescent="0.25">
      <c r="A453">
        <v>65.071507936507928</v>
      </c>
      <c r="B453">
        <v>0.58381763474067183</v>
      </c>
      <c r="C453">
        <v>2.259661691704154E-2</v>
      </c>
    </row>
    <row r="454" spans="1:3" x14ac:dyDescent="0.25">
      <c r="A454">
        <v>65.071507936507928</v>
      </c>
      <c r="B454">
        <v>0.59656633118859226</v>
      </c>
      <c r="C454">
        <v>1.3943537424034194E-2</v>
      </c>
    </row>
    <row r="455" spans="1:3" x14ac:dyDescent="0.25">
      <c r="A455">
        <v>65.071507936507928</v>
      </c>
      <c r="B455">
        <v>0.61525628206242933</v>
      </c>
      <c r="C455">
        <v>1.6570701783776547E-2</v>
      </c>
    </row>
    <row r="456" spans="1:3" x14ac:dyDescent="0.25">
      <c r="A456">
        <v>65.071507936507928</v>
      </c>
      <c r="B456">
        <v>0.64066845291575758</v>
      </c>
      <c r="C456">
        <v>2.3957584388768771E-2</v>
      </c>
    </row>
    <row r="457" spans="1:3" x14ac:dyDescent="0.25">
      <c r="A457">
        <v>65.071507936507928</v>
      </c>
      <c r="B457">
        <v>0.67119600017075043</v>
      </c>
      <c r="C457">
        <v>1.8614229035576243E-2</v>
      </c>
    </row>
    <row r="458" spans="1:3" x14ac:dyDescent="0.25">
      <c r="A458">
        <v>65.071507936507928</v>
      </c>
      <c r="B458">
        <v>0.76792426507749334</v>
      </c>
      <c r="C458">
        <v>0.112558671512292</v>
      </c>
    </row>
    <row r="459" spans="1:3" x14ac:dyDescent="0.25">
      <c r="A459">
        <v>65.071507936507928</v>
      </c>
      <c r="B459">
        <v>0.83694422116930367</v>
      </c>
      <c r="C459">
        <v>0.28040646152732435</v>
      </c>
    </row>
    <row r="460" spans="1:3" x14ac:dyDescent="0.25">
      <c r="A460">
        <v>65.071507936507928</v>
      </c>
      <c r="B460">
        <v>0.84879555938824702</v>
      </c>
      <c r="C460">
        <v>0.67048122289915413</v>
      </c>
    </row>
    <row r="461" spans="1:3" x14ac:dyDescent="0.25">
      <c r="A461">
        <v>65.071507936507928</v>
      </c>
      <c r="B461">
        <v>0.74098719676549873</v>
      </c>
      <c r="C461">
        <v>0.24411744001233829</v>
      </c>
    </row>
    <row r="462" spans="1:3" x14ac:dyDescent="0.25">
      <c r="A462">
        <v>65.071507936507928</v>
      </c>
      <c r="B462">
        <v>0.52410814694489571</v>
      </c>
      <c r="C462">
        <v>7.0156530372339709E-2</v>
      </c>
    </row>
    <row r="463" spans="1:3" x14ac:dyDescent="0.25">
      <c r="A463">
        <v>65.071507936507928</v>
      </c>
      <c r="B463">
        <v>0.42723478799848724</v>
      </c>
      <c r="C463">
        <v>2.5888068751300501E-2</v>
      </c>
    </row>
    <row r="464" spans="1:3" x14ac:dyDescent="0.25">
      <c r="A464">
        <v>65.071507936507928</v>
      </c>
      <c r="B464">
        <v>0.37901177167317757</v>
      </c>
      <c r="C464">
        <v>2.8337334636985959E-2</v>
      </c>
    </row>
    <row r="465" spans="1:3" x14ac:dyDescent="0.25">
      <c r="A465">
        <v>65.071507936507928</v>
      </c>
      <c r="B465">
        <v>0.27739972475522123</v>
      </c>
      <c r="C465">
        <v>1.9224634788531654E-2</v>
      </c>
    </row>
    <row r="466" spans="1:3" x14ac:dyDescent="0.25">
      <c r="A466">
        <v>65.071507936507928</v>
      </c>
      <c r="B466">
        <v>0.1611947602982215</v>
      </c>
      <c r="C466">
        <v>1.6665368075433278E-2</v>
      </c>
    </row>
    <row r="467" spans="1:3" x14ac:dyDescent="0.25">
      <c r="A467">
        <v>66.120187793427235</v>
      </c>
      <c r="B467">
        <v>9.1939015014282519E-2</v>
      </c>
      <c r="C467">
        <v>2.7362777757955377E-2</v>
      </c>
    </row>
    <row r="468" spans="1:3" x14ac:dyDescent="0.25">
      <c r="A468">
        <v>66.120187793427235</v>
      </c>
      <c r="B468">
        <v>5.5664649256181115E-2</v>
      </c>
      <c r="C468">
        <v>2.2253199211342618E-2</v>
      </c>
    </row>
    <row r="469" spans="1:3" x14ac:dyDescent="0.25">
      <c r="A469">
        <v>66.120187793427235</v>
      </c>
      <c r="B469">
        <v>4.4671682249486498E-2</v>
      </c>
      <c r="C469">
        <v>2.5668323624646147E-2</v>
      </c>
    </row>
    <row r="470" spans="1:3" x14ac:dyDescent="0.25">
      <c r="A470">
        <v>66.120187793427235</v>
      </c>
      <c r="B470">
        <v>5.5653099291852318E-2</v>
      </c>
      <c r="C470">
        <v>3.2731874424170443E-2</v>
      </c>
    </row>
    <row r="471" spans="1:3" x14ac:dyDescent="0.25">
      <c r="A471">
        <v>66.120187793427235</v>
      </c>
      <c r="B471">
        <v>0.11967683991624598</v>
      </c>
      <c r="C471">
        <v>2.6161574894189819E-2</v>
      </c>
    </row>
    <row r="472" spans="1:3" x14ac:dyDescent="0.25">
      <c r="A472">
        <v>66.120187793427235</v>
      </c>
      <c r="B472">
        <v>0.3698676223562648</v>
      </c>
      <c r="C472">
        <v>2.3023721361131545E-2</v>
      </c>
    </row>
    <row r="473" spans="1:3" x14ac:dyDescent="0.25">
      <c r="A473">
        <v>66.120187793427235</v>
      </c>
      <c r="B473">
        <v>0.86497921229005359</v>
      </c>
      <c r="C473">
        <v>2.4072340358606052E-2</v>
      </c>
    </row>
    <row r="474" spans="1:3" x14ac:dyDescent="0.25">
      <c r="A474">
        <v>66.120187793427235</v>
      </c>
      <c r="B474">
        <v>1.1690207256963003</v>
      </c>
      <c r="C474">
        <v>6.7989764232739197E-2</v>
      </c>
    </row>
    <row r="475" spans="1:3" x14ac:dyDescent="0.25">
      <c r="A475">
        <v>66.120187793427235</v>
      </c>
      <c r="B475">
        <v>1.1102789247097105</v>
      </c>
      <c r="C475">
        <v>0.14062821435749207</v>
      </c>
    </row>
    <row r="476" spans="1:3" x14ac:dyDescent="0.25">
      <c r="A476">
        <v>66.120187793427235</v>
      </c>
      <c r="B476">
        <v>0.93386804284755232</v>
      </c>
      <c r="C476">
        <v>7.1861785161790051E-2</v>
      </c>
    </row>
    <row r="477" spans="1:3" x14ac:dyDescent="0.25">
      <c r="A477">
        <v>66.120187793427235</v>
      </c>
      <c r="B477">
        <v>0.79210309293309888</v>
      </c>
      <c r="C477">
        <v>3.0567690404111468E-2</v>
      </c>
    </row>
    <row r="478" spans="1:3" x14ac:dyDescent="0.25">
      <c r="A478">
        <v>66.120187793427235</v>
      </c>
      <c r="B478">
        <v>0.80963101801346671</v>
      </c>
      <c r="C478">
        <v>2.2320481895775769E-2</v>
      </c>
    </row>
    <row r="479" spans="1:3" x14ac:dyDescent="0.25">
      <c r="A479">
        <v>66.120187793427235</v>
      </c>
      <c r="B479">
        <v>0.82489739578991761</v>
      </c>
      <c r="C479">
        <v>4.239300974245467E-2</v>
      </c>
    </row>
    <row r="480" spans="1:3" x14ac:dyDescent="0.25">
      <c r="A480">
        <v>66.120187793427235</v>
      </c>
      <c r="B480">
        <v>0.83419685351425443</v>
      </c>
      <c r="C480">
        <v>5.5204806909198108E-2</v>
      </c>
    </row>
    <row r="481" spans="1:3" x14ac:dyDescent="0.25">
      <c r="A481">
        <v>66.120187793427235</v>
      </c>
      <c r="B481">
        <v>0.87555956477891905</v>
      </c>
      <c r="C481">
        <v>7.3053996930405138E-2</v>
      </c>
    </row>
    <row r="482" spans="1:3" x14ac:dyDescent="0.25">
      <c r="A482">
        <v>66.120187793427235</v>
      </c>
      <c r="B482">
        <v>0.97837171680537527</v>
      </c>
      <c r="C482">
        <v>8.1048974847976865E-2</v>
      </c>
    </row>
    <row r="483" spans="1:3" x14ac:dyDescent="0.25">
      <c r="A483">
        <v>66.120187793427235</v>
      </c>
      <c r="B483">
        <v>1.031036531924332</v>
      </c>
      <c r="C483">
        <v>9.8046331166854919E-2</v>
      </c>
    </row>
    <row r="484" spans="1:3" x14ac:dyDescent="0.25">
      <c r="A484">
        <v>66.120187793427235</v>
      </c>
      <c r="B484">
        <v>1.0400890475304732</v>
      </c>
      <c r="C484">
        <v>0.15011632968215735</v>
      </c>
    </row>
    <row r="485" spans="1:3" x14ac:dyDescent="0.25">
      <c r="A485">
        <v>66.120187793427235</v>
      </c>
      <c r="B485">
        <v>0.9078861277685436</v>
      </c>
      <c r="C485">
        <v>0.13309151881978612</v>
      </c>
    </row>
    <row r="486" spans="1:3" x14ac:dyDescent="0.25">
      <c r="A486">
        <v>66.120187793427235</v>
      </c>
      <c r="B486">
        <v>0.6232834609344674</v>
      </c>
      <c r="C486">
        <v>5.4661243403241681E-2</v>
      </c>
    </row>
    <row r="487" spans="1:3" x14ac:dyDescent="0.25">
      <c r="A487">
        <v>66.120187793427235</v>
      </c>
      <c r="B487">
        <v>0.51665617162195465</v>
      </c>
      <c r="C487">
        <v>2.9174408615651914E-2</v>
      </c>
    </row>
    <row r="488" spans="1:3" x14ac:dyDescent="0.25">
      <c r="A488">
        <v>66.120187793427235</v>
      </c>
      <c r="B488">
        <v>0.46261981507686295</v>
      </c>
      <c r="C488">
        <v>2.8843851441986489E-2</v>
      </c>
    </row>
    <row r="489" spans="1:3" x14ac:dyDescent="0.25">
      <c r="A489">
        <v>66.120187793427235</v>
      </c>
      <c r="B489">
        <v>0.32505514362339732</v>
      </c>
      <c r="C489">
        <v>3.20892468365825E-2</v>
      </c>
    </row>
    <row r="490" spans="1:3" x14ac:dyDescent="0.25">
      <c r="A490">
        <v>66.120187793427235</v>
      </c>
      <c r="B490">
        <v>0.18279113175067813</v>
      </c>
      <c r="C490">
        <v>2.4345113157592083E-2</v>
      </c>
    </row>
    <row r="491" spans="1:3" x14ac:dyDescent="0.25">
      <c r="A491">
        <v>67.751353276353271</v>
      </c>
      <c r="B491">
        <v>6.9357326258496346E-2</v>
      </c>
      <c r="C491">
        <v>1.8154938463421869E-2</v>
      </c>
    </row>
    <row r="492" spans="1:3" x14ac:dyDescent="0.25">
      <c r="A492">
        <v>67.751353276353271</v>
      </c>
      <c r="B492">
        <v>4.3599843129230792E-2</v>
      </c>
      <c r="C492">
        <v>1.6913291281522493E-2</v>
      </c>
    </row>
    <row r="493" spans="1:3" x14ac:dyDescent="0.25">
      <c r="A493">
        <v>67.751353276353271</v>
      </c>
      <c r="B493">
        <v>3.4767525815037441E-2</v>
      </c>
      <c r="C493">
        <v>1.5495129801914975E-2</v>
      </c>
    </row>
    <row r="494" spans="1:3" x14ac:dyDescent="0.25">
      <c r="A494">
        <v>67.751353276353271</v>
      </c>
      <c r="B494">
        <v>4.4943475369584131E-2</v>
      </c>
      <c r="C494">
        <v>1.6714122185737531E-2</v>
      </c>
    </row>
    <row r="495" spans="1:3" x14ac:dyDescent="0.25">
      <c r="A495">
        <v>67.751353276353271</v>
      </c>
      <c r="B495">
        <v>9.0727573447917154E-2</v>
      </c>
      <c r="C495">
        <v>1.4379868554051427E-2</v>
      </c>
    </row>
    <row r="496" spans="1:3" x14ac:dyDescent="0.25">
      <c r="A496">
        <v>67.751353276353271</v>
      </c>
      <c r="B496">
        <v>0.29908467113817488</v>
      </c>
      <c r="C496">
        <v>1.482363301316012E-2</v>
      </c>
    </row>
    <row r="497" spans="1:3" x14ac:dyDescent="0.25">
      <c r="A497">
        <v>67.751353276353271</v>
      </c>
      <c r="B497">
        <v>0.72536299201761611</v>
      </c>
      <c r="C497">
        <v>3.3004137161781182E-2</v>
      </c>
    </row>
    <row r="498" spans="1:3" x14ac:dyDescent="0.25">
      <c r="A498">
        <v>67.751353276353271</v>
      </c>
      <c r="B498">
        <v>1.0519484802721806</v>
      </c>
      <c r="C498">
        <v>8.5052162140638987E-2</v>
      </c>
    </row>
    <row r="499" spans="1:3" x14ac:dyDescent="0.25">
      <c r="A499">
        <v>67.751353276353271</v>
      </c>
      <c r="B499">
        <v>1.0284054019809596</v>
      </c>
      <c r="C499">
        <v>0.11341583034269957</v>
      </c>
    </row>
    <row r="500" spans="1:3" x14ac:dyDescent="0.25">
      <c r="A500">
        <v>67.751353276353271</v>
      </c>
      <c r="B500">
        <v>0.78376199819695602</v>
      </c>
      <c r="C500">
        <v>1.8789104853813011E-2</v>
      </c>
    </row>
    <row r="501" spans="1:3" x14ac:dyDescent="0.25">
      <c r="A501">
        <v>67.751353276353271</v>
      </c>
      <c r="B501">
        <v>0.6417556875030036</v>
      </c>
      <c r="C501">
        <v>2.1174682236884627E-2</v>
      </c>
    </row>
    <row r="502" spans="1:3" x14ac:dyDescent="0.25">
      <c r="A502">
        <v>67.751353276353271</v>
      </c>
      <c r="B502">
        <v>0.63838150289017359</v>
      </c>
      <c r="C502">
        <v>1.1235688841365176E-2</v>
      </c>
    </row>
    <row r="503" spans="1:3" x14ac:dyDescent="0.25">
      <c r="A503">
        <v>67.751353276353271</v>
      </c>
      <c r="B503">
        <v>0.62364734676873368</v>
      </c>
      <c r="C503">
        <v>1.5584941317233904E-2</v>
      </c>
    </row>
    <row r="504" spans="1:3" x14ac:dyDescent="0.25">
      <c r="A504">
        <v>67.751353276353271</v>
      </c>
      <c r="B504">
        <v>0.62159771982632306</v>
      </c>
      <c r="C504">
        <v>1.5006663154811081E-2</v>
      </c>
    </row>
    <row r="505" spans="1:3" x14ac:dyDescent="0.25">
      <c r="A505">
        <v>67.751353276353271</v>
      </c>
      <c r="B505">
        <v>0.63442910574634426</v>
      </c>
      <c r="C505">
        <v>2.3422972374191064E-2</v>
      </c>
    </row>
    <row r="506" spans="1:3" x14ac:dyDescent="0.25">
      <c r="A506">
        <v>67.751353276353271</v>
      </c>
      <c r="B506">
        <v>0.66835160454454834</v>
      </c>
      <c r="C506">
        <v>2.8920380717085133E-2</v>
      </c>
    </row>
    <row r="507" spans="1:3" x14ac:dyDescent="0.25">
      <c r="A507">
        <v>67.751353276353271</v>
      </c>
      <c r="B507">
        <v>0.69184270845566076</v>
      </c>
      <c r="C507">
        <v>1.436351205674702E-2</v>
      </c>
    </row>
    <row r="508" spans="1:3" x14ac:dyDescent="0.25">
      <c r="A508">
        <v>67.751353276353271</v>
      </c>
      <c r="B508">
        <v>0.69621760488812512</v>
      </c>
      <c r="C508">
        <v>1.6921258410620203E-2</v>
      </c>
    </row>
    <row r="509" spans="1:3" x14ac:dyDescent="0.25">
      <c r="A509">
        <v>67.751353276353271</v>
      </c>
      <c r="B509">
        <v>0.60494569584489044</v>
      </c>
      <c r="C509">
        <v>3.4321581196581213E-2</v>
      </c>
    </row>
    <row r="510" spans="1:3" x14ac:dyDescent="0.25">
      <c r="A510">
        <v>67.751353276353271</v>
      </c>
      <c r="B510">
        <v>0.44733519130195465</v>
      </c>
      <c r="C510">
        <v>4.5877059789216537E-2</v>
      </c>
    </row>
    <row r="511" spans="1:3" x14ac:dyDescent="0.25">
      <c r="A511">
        <v>67.751353276353271</v>
      </c>
      <c r="B511">
        <v>0.36326268464996792</v>
      </c>
      <c r="C511">
        <v>2.2236074946918125E-2</v>
      </c>
    </row>
    <row r="512" spans="1:3" x14ac:dyDescent="0.25">
      <c r="A512">
        <v>67.751353276353271</v>
      </c>
      <c r="B512">
        <v>0.32147601090828443</v>
      </c>
      <c r="C512">
        <v>1.6843084263383545E-2</v>
      </c>
    </row>
    <row r="513" spans="1:3" x14ac:dyDescent="0.25">
      <c r="A513">
        <v>67.751353276353271</v>
      </c>
      <c r="B513">
        <v>0.25332620032446523</v>
      </c>
      <c r="C513">
        <v>1.2844988759465121E-2</v>
      </c>
    </row>
    <row r="514" spans="1:3" x14ac:dyDescent="0.25">
      <c r="A514">
        <v>67.751353276353271</v>
      </c>
      <c r="B514">
        <v>0.14716806304258406</v>
      </c>
      <c r="C514">
        <v>1.6179653106543027E-2</v>
      </c>
    </row>
    <row r="515" spans="1:3" x14ac:dyDescent="0.25">
      <c r="A515">
        <v>71.99595352564107</v>
      </c>
      <c r="B515">
        <v>6.1398404262197538E-2</v>
      </c>
      <c r="C515">
        <v>0.18755175000622593</v>
      </c>
    </row>
    <row r="516" spans="1:3" x14ac:dyDescent="0.25">
      <c r="A516">
        <v>71.99595352564107</v>
      </c>
      <c r="B516">
        <v>4.1407835581245986E-2</v>
      </c>
      <c r="C516">
        <v>0.29022006900497765</v>
      </c>
    </row>
    <row r="517" spans="1:3" x14ac:dyDescent="0.25">
      <c r="A517">
        <v>71.99595352564107</v>
      </c>
      <c r="B517">
        <v>3.3425146448384235E-2</v>
      </c>
      <c r="C517">
        <v>0.3025342685387018</v>
      </c>
    </row>
    <row r="518" spans="1:3" x14ac:dyDescent="0.25">
      <c r="A518">
        <v>71.99595352564107</v>
      </c>
      <c r="B518">
        <v>3.9397333401993709E-2</v>
      </c>
      <c r="C518">
        <v>0.30913315506633082</v>
      </c>
    </row>
    <row r="519" spans="1:3" x14ac:dyDescent="0.25">
      <c r="A519">
        <v>71.99595352564107</v>
      </c>
      <c r="B519">
        <v>7.5166061044945304E-2</v>
      </c>
      <c r="C519">
        <v>0.20916558177955016</v>
      </c>
    </row>
    <row r="520" spans="1:3" x14ac:dyDescent="0.25">
      <c r="A520">
        <v>71.99595352564107</v>
      </c>
      <c r="B520">
        <v>0.22885528488852194</v>
      </c>
      <c r="C520">
        <v>0.1266291259385183</v>
      </c>
    </row>
    <row r="521" spans="1:3" x14ac:dyDescent="0.25">
      <c r="A521">
        <v>71.99595352564107</v>
      </c>
      <c r="B521">
        <v>0.53514587276416525</v>
      </c>
      <c r="C521">
        <v>0.11919979924479449</v>
      </c>
    </row>
    <row r="522" spans="1:3" x14ac:dyDescent="0.25">
      <c r="A522">
        <v>71.99595352564107</v>
      </c>
      <c r="B522">
        <v>0.79528152429886556</v>
      </c>
      <c r="C522">
        <v>7.3755733932470785E-2</v>
      </c>
    </row>
    <row r="523" spans="1:3" x14ac:dyDescent="0.25">
      <c r="A523">
        <v>71.99595352564107</v>
      </c>
      <c r="B523">
        <v>0.79264519680704659</v>
      </c>
      <c r="C523">
        <v>9.4740086837137041E-2</v>
      </c>
    </row>
    <row r="524" spans="1:3" x14ac:dyDescent="0.25">
      <c r="A524">
        <v>71.99595352564107</v>
      </c>
      <c r="B524">
        <v>0.61237384668924477</v>
      </c>
      <c r="C524">
        <v>8.530510988437226E-2</v>
      </c>
    </row>
    <row r="525" spans="1:3" x14ac:dyDescent="0.25">
      <c r="A525">
        <v>71.99595352564107</v>
      </c>
      <c r="B525">
        <v>0.52274899124739727</v>
      </c>
      <c r="C525">
        <v>0.11075001129893002</v>
      </c>
    </row>
    <row r="526" spans="1:3" x14ac:dyDescent="0.25">
      <c r="A526">
        <v>71.99595352564107</v>
      </c>
      <c r="B526">
        <v>0.52452418940008239</v>
      </c>
      <c r="C526">
        <v>0.11582962702663623</v>
      </c>
    </row>
    <row r="527" spans="1:3" x14ac:dyDescent="0.25">
      <c r="A527">
        <v>71.99595352564107</v>
      </c>
      <c r="B527">
        <v>0.52117008232615203</v>
      </c>
      <c r="C527">
        <v>0.13143400430405114</v>
      </c>
    </row>
    <row r="528" spans="1:3" x14ac:dyDescent="0.25">
      <c r="A528">
        <v>71.99595352564107</v>
      </c>
      <c r="B528">
        <v>0.51667434746160701</v>
      </c>
      <c r="C528">
        <v>0.13931398142742901</v>
      </c>
    </row>
    <row r="529" spans="1:3" x14ac:dyDescent="0.25">
      <c r="A529">
        <v>71.99595352564107</v>
      </c>
      <c r="B529">
        <v>0.54929234541951266</v>
      </c>
      <c r="C529">
        <v>0.13928460766665632</v>
      </c>
    </row>
    <row r="530" spans="1:3" x14ac:dyDescent="0.25">
      <c r="A530">
        <v>71.99595352564107</v>
      </c>
      <c r="B530">
        <v>0.59894048527326205</v>
      </c>
      <c r="C530">
        <v>0.14335029861940932</v>
      </c>
    </row>
    <row r="531" spans="1:3" x14ac:dyDescent="0.25">
      <c r="A531">
        <v>71.99595352564107</v>
      </c>
      <c r="B531">
        <v>0.6295566672714864</v>
      </c>
      <c r="C531">
        <v>0.13309940897085082</v>
      </c>
    </row>
    <row r="532" spans="1:3" x14ac:dyDescent="0.25">
      <c r="A532">
        <v>71.99595352564107</v>
      </c>
      <c r="B532">
        <v>0.620821184374307</v>
      </c>
      <c r="C532">
        <v>0.23111906157651987</v>
      </c>
    </row>
    <row r="533" spans="1:3" x14ac:dyDescent="0.25">
      <c r="A533">
        <v>71.99595352564107</v>
      </c>
      <c r="B533">
        <v>0.50692921721823436</v>
      </c>
      <c r="C533">
        <v>0.14466549248507116</v>
      </c>
    </row>
    <row r="534" spans="1:3" x14ac:dyDescent="0.25">
      <c r="A534">
        <v>71.99595352564107</v>
      </c>
      <c r="B534">
        <v>0.36896221720323075</v>
      </c>
      <c r="C534">
        <v>0.12749227274584113</v>
      </c>
    </row>
    <row r="535" spans="1:3" x14ac:dyDescent="0.25">
      <c r="A535">
        <v>71.99595352564107</v>
      </c>
      <c r="B535">
        <v>0.30350468392617314</v>
      </c>
      <c r="C535">
        <v>0.13077860875303748</v>
      </c>
    </row>
    <row r="536" spans="1:3" x14ac:dyDescent="0.25">
      <c r="A536">
        <v>71.99595352564107</v>
      </c>
      <c r="B536">
        <v>0.27177582972859188</v>
      </c>
      <c r="C536">
        <v>0.13414585064337464</v>
      </c>
    </row>
    <row r="537" spans="1:3" x14ac:dyDescent="0.25">
      <c r="A537">
        <v>71.99595352564107</v>
      </c>
      <c r="B537">
        <v>0.19456467165312769</v>
      </c>
      <c r="C537">
        <v>0.17425849050505729</v>
      </c>
    </row>
    <row r="538" spans="1:3" x14ac:dyDescent="0.25">
      <c r="A538">
        <v>71.99595352564107</v>
      </c>
      <c r="B538">
        <v>0.11486344515475928</v>
      </c>
      <c r="C538">
        <v>0.19287908594290198</v>
      </c>
    </row>
  </sheetData>
  <sortState ref="L73:N166">
    <sortCondition ref="M73:M166"/>
  </sortState>
  <conditionalFormatting sqref="C347:C538">
    <cfRule type="cellIs" dxfId="0" priority="1" operator="greaterThan">
      <formula>0.4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Export</vt:lpstr>
      <vt:lpstr>Eqtn Simplified</vt:lpstr>
      <vt:lpstr>Data</vt:lpstr>
      <vt:lpstr>Sort by Ave Sp</vt:lpstr>
      <vt:lpstr>export_data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2016-11-25T19:46:44Z</dcterms:modified>
</cp:coreProperties>
</file>