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worthen\Desktop\_synched\ATO\2 - Implement ATO into TDM\develop decay curves\"/>
    </mc:Choice>
  </mc:AlternateContent>
  <xr:revisionPtr revIDLastSave="0" documentId="13_ncr:1_{ECB4B701-2104-4D80-B57A-ED314275BA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ort" sheetId="2" r:id="rId1"/>
    <sheet name="ATODecayCurv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D6" i="2"/>
  <c r="G6" i="2"/>
  <c r="D7" i="2"/>
  <c r="E7" i="2"/>
  <c r="F7" i="2"/>
  <c r="C8" i="2"/>
  <c r="E8" i="2"/>
  <c r="F8" i="2"/>
  <c r="C10" i="2"/>
  <c r="D10" i="2"/>
  <c r="D11" i="2"/>
  <c r="E11" i="2"/>
  <c r="G11" i="2"/>
  <c r="C12" i="2"/>
  <c r="D12" i="2"/>
  <c r="E12" i="2"/>
  <c r="G12" i="2"/>
  <c r="F13" i="2"/>
  <c r="G13" i="2"/>
  <c r="F14" i="2"/>
  <c r="F15" i="2"/>
  <c r="D16" i="2"/>
  <c r="E16" i="2"/>
  <c r="F16" i="2"/>
  <c r="F17" i="2"/>
  <c r="F18" i="2"/>
  <c r="E19" i="2"/>
  <c r="F19" i="2"/>
  <c r="E20" i="2"/>
  <c r="F20" i="2"/>
  <c r="F21" i="2"/>
  <c r="F22" i="2"/>
  <c r="F23" i="2"/>
  <c r="E24" i="2"/>
  <c r="F24" i="2"/>
  <c r="F25" i="2"/>
  <c r="F26" i="2"/>
  <c r="F27" i="2"/>
  <c r="F28" i="2"/>
  <c r="G28" i="2"/>
  <c r="F29" i="2"/>
  <c r="F30" i="2"/>
  <c r="F31" i="2"/>
  <c r="G31" i="2"/>
  <c r="F32" i="2"/>
  <c r="F33" i="2"/>
  <c r="F34" i="2"/>
  <c r="F35" i="2"/>
  <c r="G35" i="2"/>
  <c r="G36" i="2"/>
  <c r="F39" i="2"/>
  <c r="G41" i="2"/>
  <c r="G42" i="2"/>
  <c r="F43" i="2"/>
  <c r="G43" i="2"/>
  <c r="F44" i="2"/>
  <c r="G44" i="2"/>
  <c r="G45" i="2"/>
  <c r="C46" i="2"/>
  <c r="F47" i="2"/>
  <c r="C48" i="2"/>
  <c r="F48" i="2"/>
  <c r="G48" i="2"/>
  <c r="G49" i="2"/>
  <c r="C50" i="2"/>
  <c r="G51" i="2"/>
  <c r="C52" i="2"/>
  <c r="F53" i="2"/>
  <c r="G53" i="2"/>
  <c r="C54" i="2"/>
  <c r="F54" i="2"/>
  <c r="F55" i="2"/>
  <c r="G55" i="2"/>
  <c r="C56" i="2"/>
  <c r="G56" i="2"/>
  <c r="C58" i="2"/>
  <c r="G61" i="2"/>
  <c r="C62" i="2"/>
  <c r="G62" i="2"/>
  <c r="C63" i="2"/>
  <c r="F63" i="2"/>
  <c r="G63" i="2"/>
  <c r="C64" i="2"/>
  <c r="F64" i="2"/>
  <c r="D67" i="2"/>
  <c r="E67" i="2"/>
  <c r="F67" i="2"/>
  <c r="G67" i="2"/>
  <c r="C68" i="2"/>
  <c r="D68" i="2"/>
  <c r="E68" i="2"/>
  <c r="F68" i="2"/>
  <c r="G68" i="2"/>
  <c r="G69" i="2"/>
  <c r="C70" i="2"/>
  <c r="D70" i="2"/>
  <c r="E71" i="2"/>
  <c r="E72" i="2"/>
  <c r="F73" i="2"/>
  <c r="G73" i="2"/>
  <c r="C74" i="2"/>
  <c r="F74" i="2"/>
  <c r="D75" i="2"/>
  <c r="E75" i="2"/>
  <c r="F75" i="2"/>
  <c r="G75" i="2"/>
  <c r="C76" i="2"/>
  <c r="D76" i="2"/>
  <c r="E76" i="2"/>
  <c r="G76" i="2"/>
  <c r="E79" i="2"/>
  <c r="C80" i="2"/>
  <c r="D80" i="2"/>
  <c r="E80" i="2"/>
  <c r="F80" i="2"/>
  <c r="F81" i="2"/>
  <c r="G81" i="2"/>
  <c r="C82" i="2"/>
  <c r="D82" i="2"/>
  <c r="G82" i="2"/>
  <c r="C83" i="2"/>
  <c r="D83" i="2"/>
  <c r="G83" i="2"/>
  <c r="F84" i="2"/>
  <c r="F85" i="2"/>
  <c r="D86" i="2"/>
  <c r="D87" i="2"/>
  <c r="E87" i="2"/>
  <c r="F87" i="2"/>
  <c r="G87" i="2"/>
  <c r="C88" i="2"/>
  <c r="D88" i="2"/>
  <c r="E88" i="2"/>
  <c r="F88" i="2"/>
  <c r="C90" i="2"/>
  <c r="D90" i="2"/>
  <c r="E91" i="2"/>
  <c r="G91" i="2"/>
  <c r="E92" i="2"/>
  <c r="G92" i="2"/>
  <c r="F93" i="2"/>
  <c r="G93" i="2"/>
  <c r="C94" i="2"/>
  <c r="D94" i="2"/>
  <c r="F94" i="2"/>
  <c r="D95" i="2"/>
  <c r="F95" i="2"/>
  <c r="G95" i="2"/>
  <c r="D96" i="2"/>
  <c r="G96" i="2"/>
  <c r="C98" i="2"/>
  <c r="D99" i="2"/>
  <c r="E99" i="2"/>
  <c r="F99" i="2"/>
  <c r="C100" i="2"/>
  <c r="D100" i="2"/>
  <c r="E100" i="2"/>
  <c r="F100" i="2"/>
  <c r="G101" i="2"/>
  <c r="C102" i="2"/>
  <c r="G102" i="2"/>
  <c r="C103" i="2"/>
  <c r="D103" i="2"/>
  <c r="F103" i="2"/>
  <c r="G103" i="2"/>
  <c r="D104" i="2"/>
  <c r="F104" i="2"/>
  <c r="G104" i="2"/>
  <c r="F105" i="2"/>
  <c r="G105" i="2"/>
  <c r="E4" i="2"/>
  <c r="G3" i="2"/>
  <c r="F3" i="2"/>
  <c r="E3" i="2"/>
  <c r="D3" i="2"/>
  <c r="C3" i="2"/>
  <c r="B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4" i="2"/>
  <c r="G110" i="1"/>
  <c r="G109" i="1"/>
  <c r="G108" i="1"/>
  <c r="G107" i="1"/>
  <c r="G106" i="1"/>
  <c r="G105" i="1"/>
  <c r="G100" i="2" s="1"/>
  <c r="G104" i="1"/>
  <c r="G99" i="2" s="1"/>
  <c r="G103" i="1"/>
  <c r="G98" i="2" s="1"/>
  <c r="G102" i="1"/>
  <c r="G97" i="2" s="1"/>
  <c r="G101" i="1"/>
  <c r="G100" i="1"/>
  <c r="G99" i="1"/>
  <c r="G94" i="2" s="1"/>
  <c r="G98" i="1"/>
  <c r="G97" i="1"/>
  <c r="G96" i="1"/>
  <c r="G95" i="1"/>
  <c r="G90" i="2" s="1"/>
  <c r="G94" i="1"/>
  <c r="G89" i="2" s="1"/>
  <c r="G93" i="1"/>
  <c r="G88" i="2" s="1"/>
  <c r="G92" i="1"/>
  <c r="G91" i="1"/>
  <c r="G86" i="2" s="1"/>
  <c r="G90" i="1"/>
  <c r="G85" i="2" s="1"/>
  <c r="G89" i="1"/>
  <c r="G84" i="2" s="1"/>
  <c r="G88" i="1"/>
  <c r="G87" i="1"/>
  <c r="G86" i="1"/>
  <c r="G85" i="1"/>
  <c r="G80" i="2" s="1"/>
  <c r="G84" i="1"/>
  <c r="G79" i="2" s="1"/>
  <c r="G83" i="1"/>
  <c r="G78" i="2" s="1"/>
  <c r="G82" i="1"/>
  <c r="G77" i="2" s="1"/>
  <c r="G81" i="1"/>
  <c r="G80" i="1"/>
  <c r="G79" i="1"/>
  <c r="G74" i="2" s="1"/>
  <c r="G78" i="1"/>
  <c r="G77" i="1"/>
  <c r="G72" i="2" s="1"/>
  <c r="G76" i="1"/>
  <c r="G71" i="2" s="1"/>
  <c r="G75" i="1"/>
  <c r="G70" i="2" s="1"/>
  <c r="G74" i="1"/>
  <c r="G73" i="1"/>
  <c r="G72" i="1"/>
  <c r="G71" i="1"/>
  <c r="G66" i="2" s="1"/>
  <c r="G70" i="1"/>
  <c r="G65" i="2" s="1"/>
  <c r="G69" i="1"/>
  <c r="G64" i="2" s="1"/>
  <c r="G68" i="1"/>
  <c r="G67" i="1"/>
  <c r="G66" i="1"/>
  <c r="G65" i="1"/>
  <c r="G60" i="2" s="1"/>
  <c r="G64" i="1"/>
  <c r="G59" i="2" s="1"/>
  <c r="G63" i="1"/>
  <c r="G58" i="2" s="1"/>
  <c r="G62" i="1"/>
  <c r="G57" i="2" s="1"/>
  <c r="G61" i="1"/>
  <c r="G60" i="1"/>
  <c r="G59" i="1"/>
  <c r="G54" i="2" s="1"/>
  <c r="G58" i="1"/>
  <c r="G57" i="1"/>
  <c r="G52" i="2" s="1"/>
  <c r="G56" i="1"/>
  <c r="G55" i="1"/>
  <c r="G50" i="2" s="1"/>
  <c r="G54" i="1"/>
  <c r="G53" i="1"/>
  <c r="G52" i="1"/>
  <c r="G47" i="2" s="1"/>
  <c r="G51" i="1"/>
  <c r="G46" i="2" s="1"/>
  <c r="G50" i="1"/>
  <c r="G49" i="1"/>
  <c r="G48" i="1"/>
  <c r="G47" i="1"/>
  <c r="G46" i="1"/>
  <c r="G45" i="1"/>
  <c r="G40" i="2" s="1"/>
  <c r="G44" i="1"/>
  <c r="G39" i="2" s="1"/>
  <c r="G43" i="1"/>
  <c r="G38" i="2" s="1"/>
  <c r="G42" i="1"/>
  <c r="G37" i="2" s="1"/>
  <c r="G41" i="1"/>
  <c r="G40" i="1"/>
  <c r="G39" i="1"/>
  <c r="G34" i="2" s="1"/>
  <c r="G38" i="1"/>
  <c r="G33" i="2" s="1"/>
  <c r="G37" i="1"/>
  <c r="G32" i="2" s="1"/>
  <c r="G36" i="1"/>
  <c r="G35" i="1"/>
  <c r="G30" i="2" s="1"/>
  <c r="G34" i="1"/>
  <c r="G29" i="2" s="1"/>
  <c r="G33" i="1"/>
  <c r="G32" i="1"/>
  <c r="G27" i="2" s="1"/>
  <c r="G31" i="1"/>
  <c r="G26" i="2" s="1"/>
  <c r="G30" i="1"/>
  <c r="G25" i="2" s="1"/>
  <c r="G19" i="1"/>
  <c r="G18" i="1"/>
  <c r="G17" i="1"/>
  <c r="G16" i="1"/>
  <c r="G15" i="1"/>
  <c r="G10" i="2" s="1"/>
  <c r="G14" i="1"/>
  <c r="G9" i="2" s="1"/>
  <c r="G13" i="1"/>
  <c r="G8" i="2" s="1"/>
  <c r="G12" i="1"/>
  <c r="G7" i="2" s="1"/>
  <c r="G11" i="1"/>
  <c r="G10" i="1"/>
  <c r="G9" i="1"/>
  <c r="G4" i="2" s="1"/>
  <c r="F110" i="1"/>
  <c r="F109" i="1"/>
  <c r="F108" i="1"/>
  <c r="F107" i="1"/>
  <c r="F102" i="2" s="1"/>
  <c r="F106" i="1"/>
  <c r="F101" i="2" s="1"/>
  <c r="F105" i="1"/>
  <c r="F104" i="1"/>
  <c r="F103" i="1"/>
  <c r="F98" i="2" s="1"/>
  <c r="F102" i="1"/>
  <c r="F97" i="2" s="1"/>
  <c r="F101" i="1"/>
  <c r="F96" i="2" s="1"/>
  <c r="F100" i="1"/>
  <c r="F99" i="1"/>
  <c r="F98" i="1"/>
  <c r="F97" i="1"/>
  <c r="F92" i="2" s="1"/>
  <c r="F96" i="1"/>
  <c r="F91" i="2" s="1"/>
  <c r="F95" i="1"/>
  <c r="F90" i="2" s="1"/>
  <c r="F94" i="1"/>
  <c r="F89" i="2" s="1"/>
  <c r="F93" i="1"/>
  <c r="F92" i="1"/>
  <c r="F91" i="1"/>
  <c r="F86" i="2" s="1"/>
  <c r="F90" i="1"/>
  <c r="F89" i="1"/>
  <c r="F88" i="1"/>
  <c r="F83" i="2" s="1"/>
  <c r="F87" i="1"/>
  <c r="F82" i="2" s="1"/>
  <c r="F86" i="1"/>
  <c r="F85" i="1"/>
  <c r="F84" i="1"/>
  <c r="F79" i="2" s="1"/>
  <c r="F83" i="1"/>
  <c r="F78" i="2" s="1"/>
  <c r="F82" i="1"/>
  <c r="F77" i="2" s="1"/>
  <c r="F81" i="1"/>
  <c r="F76" i="2" s="1"/>
  <c r="F80" i="1"/>
  <c r="F79" i="1"/>
  <c r="F78" i="1"/>
  <c r="F77" i="1"/>
  <c r="F72" i="2" s="1"/>
  <c r="F76" i="1"/>
  <c r="F71" i="2" s="1"/>
  <c r="F75" i="1"/>
  <c r="F70" i="2" s="1"/>
  <c r="F74" i="1"/>
  <c r="F69" i="2" s="1"/>
  <c r="F73" i="1"/>
  <c r="F72" i="1"/>
  <c r="F71" i="1"/>
  <c r="F66" i="2" s="1"/>
  <c r="F70" i="1"/>
  <c r="F65" i="2" s="1"/>
  <c r="F69" i="1"/>
  <c r="F68" i="1"/>
  <c r="F67" i="1"/>
  <c r="F62" i="2" s="1"/>
  <c r="F66" i="1"/>
  <c r="F61" i="2" s="1"/>
  <c r="F65" i="1"/>
  <c r="F60" i="2" s="1"/>
  <c r="F64" i="1"/>
  <c r="F59" i="2" s="1"/>
  <c r="F63" i="1"/>
  <c r="F58" i="2" s="1"/>
  <c r="F62" i="1"/>
  <c r="F57" i="2" s="1"/>
  <c r="F61" i="1"/>
  <c r="F56" i="2" s="1"/>
  <c r="F60" i="1"/>
  <c r="F59" i="1"/>
  <c r="F58" i="1"/>
  <c r="F57" i="1"/>
  <c r="F52" i="2" s="1"/>
  <c r="F56" i="1"/>
  <c r="F51" i="2" s="1"/>
  <c r="F55" i="1"/>
  <c r="F50" i="2" s="1"/>
  <c r="F54" i="1"/>
  <c r="F49" i="2" s="1"/>
  <c r="F53" i="1"/>
  <c r="F52" i="1"/>
  <c r="F51" i="1"/>
  <c r="F46" i="2" s="1"/>
  <c r="F50" i="1"/>
  <c r="F45" i="2" s="1"/>
  <c r="F49" i="1"/>
  <c r="F48" i="1"/>
  <c r="F47" i="1"/>
  <c r="F42" i="2" s="1"/>
  <c r="F46" i="1"/>
  <c r="F41" i="2" s="1"/>
  <c r="F45" i="1"/>
  <c r="F40" i="2" s="1"/>
  <c r="F44" i="1"/>
  <c r="F43" i="1"/>
  <c r="F38" i="2" s="1"/>
  <c r="F42" i="1"/>
  <c r="F37" i="2" s="1"/>
  <c r="F41" i="1"/>
  <c r="F36" i="2" s="1"/>
  <c r="F40" i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18" i="1"/>
  <c r="F17" i="1"/>
  <c r="F12" i="2" s="1"/>
  <c r="F16" i="1"/>
  <c r="F11" i="2" s="1"/>
  <c r="F15" i="1"/>
  <c r="F10" i="2" s="1"/>
  <c r="F14" i="1"/>
  <c r="F9" i="2" s="1"/>
  <c r="F13" i="1"/>
  <c r="F12" i="1"/>
  <c r="F11" i="1"/>
  <c r="F6" i="2" s="1"/>
  <c r="F10" i="1"/>
  <c r="F5" i="2" s="1"/>
  <c r="F9" i="1"/>
  <c r="F4" i="2" s="1"/>
  <c r="D110" i="1"/>
  <c r="D105" i="2" s="1"/>
  <c r="D109" i="1"/>
  <c r="D108" i="1"/>
  <c r="D107" i="1"/>
  <c r="D102" i="2" s="1"/>
  <c r="D106" i="1"/>
  <c r="D101" i="2" s="1"/>
  <c r="D105" i="1"/>
  <c r="D104" i="1"/>
  <c r="D103" i="1"/>
  <c r="D98" i="2" s="1"/>
  <c r="D102" i="1"/>
  <c r="D97" i="2" s="1"/>
  <c r="D101" i="1"/>
  <c r="D100" i="1"/>
  <c r="D99" i="1"/>
  <c r="D98" i="1"/>
  <c r="D93" i="2" s="1"/>
  <c r="D97" i="1"/>
  <c r="D92" i="2" s="1"/>
  <c r="D96" i="1"/>
  <c r="D91" i="2" s="1"/>
  <c r="D95" i="1"/>
  <c r="D94" i="1"/>
  <c r="D89" i="2" s="1"/>
  <c r="D93" i="1"/>
  <c r="D92" i="1"/>
  <c r="D91" i="1"/>
  <c r="D90" i="1"/>
  <c r="D85" i="2" s="1"/>
  <c r="D89" i="1"/>
  <c r="D84" i="2" s="1"/>
  <c r="D88" i="1"/>
  <c r="D87" i="1"/>
  <c r="D86" i="1"/>
  <c r="D81" i="2" s="1"/>
  <c r="D85" i="1"/>
  <c r="D84" i="1"/>
  <c r="D79" i="2" s="1"/>
  <c r="D83" i="1"/>
  <c r="D78" i="2" s="1"/>
  <c r="D82" i="1"/>
  <c r="D77" i="2" s="1"/>
  <c r="D81" i="1"/>
  <c r="D80" i="1"/>
  <c r="D79" i="1"/>
  <c r="D74" i="2" s="1"/>
  <c r="D78" i="1"/>
  <c r="D73" i="2" s="1"/>
  <c r="D77" i="1"/>
  <c r="D72" i="2" s="1"/>
  <c r="D76" i="1"/>
  <c r="D71" i="2" s="1"/>
  <c r="D75" i="1"/>
  <c r="D74" i="1"/>
  <c r="D69" i="2" s="1"/>
  <c r="D73" i="1"/>
  <c r="D72" i="1"/>
  <c r="D71" i="1"/>
  <c r="D66" i="2" s="1"/>
  <c r="D70" i="1"/>
  <c r="D65" i="2" s="1"/>
  <c r="D19" i="1"/>
  <c r="D20" i="1" s="1"/>
  <c r="D21" i="1" s="1"/>
  <c r="D22" i="1" s="1"/>
  <c r="D18" i="1"/>
  <c r="D13" i="2" s="1"/>
  <c r="D17" i="1"/>
  <c r="D16" i="1"/>
  <c r="D15" i="1"/>
  <c r="D14" i="1"/>
  <c r="D9" i="2" s="1"/>
  <c r="D13" i="1"/>
  <c r="D8" i="2" s="1"/>
  <c r="D12" i="1"/>
  <c r="D11" i="1"/>
  <c r="D10" i="1"/>
  <c r="D5" i="2" s="1"/>
  <c r="D9" i="1"/>
  <c r="D4" i="2" s="1"/>
  <c r="C10" i="1"/>
  <c r="C5" i="2" s="1"/>
  <c r="C11" i="1"/>
  <c r="C6" i="2" s="1"/>
  <c r="C12" i="1"/>
  <c r="C7" i="2" s="1"/>
  <c r="C13" i="1"/>
  <c r="C14" i="1"/>
  <c r="C9" i="2" s="1"/>
  <c r="C15" i="1"/>
  <c r="C16" i="1"/>
  <c r="C11" i="2" s="1"/>
  <c r="C17" i="1"/>
  <c r="C18" i="1"/>
  <c r="C13" i="2" s="1"/>
  <c r="C19" i="1"/>
  <c r="C14" i="2" s="1"/>
  <c r="C50" i="1"/>
  <c r="C45" i="2" s="1"/>
  <c r="C51" i="1"/>
  <c r="C52" i="1"/>
  <c r="C47" i="2" s="1"/>
  <c r="C53" i="1"/>
  <c r="C54" i="1"/>
  <c r="C49" i="2" s="1"/>
  <c r="C55" i="1"/>
  <c r="C56" i="1"/>
  <c r="C51" i="2" s="1"/>
  <c r="C57" i="1"/>
  <c r="C58" i="1"/>
  <c r="C53" i="2" s="1"/>
  <c r="C59" i="1"/>
  <c r="C60" i="1"/>
  <c r="C55" i="2" s="1"/>
  <c r="C61" i="1"/>
  <c r="C62" i="1"/>
  <c r="C57" i="2" s="1"/>
  <c r="C63" i="1"/>
  <c r="C64" i="1"/>
  <c r="C59" i="2" s="1"/>
  <c r="C65" i="1"/>
  <c r="C60" i="2" s="1"/>
  <c r="C66" i="1"/>
  <c r="C61" i="2" s="1"/>
  <c r="C67" i="1"/>
  <c r="C68" i="1"/>
  <c r="C69" i="1"/>
  <c r="C70" i="1"/>
  <c r="C65" i="2" s="1"/>
  <c r="C71" i="1"/>
  <c r="C66" i="2" s="1"/>
  <c r="C72" i="1"/>
  <c r="C67" i="2" s="1"/>
  <c r="C73" i="1"/>
  <c r="C74" i="1"/>
  <c r="C69" i="2" s="1"/>
  <c r="C75" i="1"/>
  <c r="C76" i="1"/>
  <c r="C71" i="2" s="1"/>
  <c r="C77" i="1"/>
  <c r="C72" i="2" s="1"/>
  <c r="C78" i="1"/>
  <c r="C73" i="2" s="1"/>
  <c r="C79" i="1"/>
  <c r="C80" i="1"/>
  <c r="C75" i="2" s="1"/>
  <c r="C81" i="1"/>
  <c r="C82" i="1"/>
  <c r="C77" i="2" s="1"/>
  <c r="C83" i="1"/>
  <c r="C78" i="2" s="1"/>
  <c r="C84" i="1"/>
  <c r="C79" i="2" s="1"/>
  <c r="C85" i="1"/>
  <c r="C86" i="1"/>
  <c r="C81" i="2" s="1"/>
  <c r="C87" i="1"/>
  <c r="C88" i="1"/>
  <c r="C89" i="1"/>
  <c r="C84" i="2" s="1"/>
  <c r="C90" i="1"/>
  <c r="C85" i="2" s="1"/>
  <c r="C91" i="1"/>
  <c r="C86" i="2" s="1"/>
  <c r="C92" i="1"/>
  <c r="C87" i="2" s="1"/>
  <c r="C93" i="1"/>
  <c r="C94" i="1"/>
  <c r="C89" i="2" s="1"/>
  <c r="C95" i="1"/>
  <c r="C96" i="1"/>
  <c r="C91" i="2" s="1"/>
  <c r="C97" i="1"/>
  <c r="C92" i="2" s="1"/>
  <c r="C98" i="1"/>
  <c r="C93" i="2" s="1"/>
  <c r="C99" i="1"/>
  <c r="C100" i="1"/>
  <c r="C95" i="2" s="1"/>
  <c r="C101" i="1"/>
  <c r="C96" i="2" s="1"/>
  <c r="C102" i="1"/>
  <c r="C97" i="2" s="1"/>
  <c r="C103" i="1"/>
  <c r="C104" i="1"/>
  <c r="C99" i="2" s="1"/>
  <c r="C105" i="1"/>
  <c r="C106" i="1"/>
  <c r="C101" i="2" s="1"/>
  <c r="C107" i="1"/>
  <c r="C108" i="1"/>
  <c r="C109" i="1"/>
  <c r="C104" i="2" s="1"/>
  <c r="C110" i="1"/>
  <c r="C105" i="2" s="1"/>
  <c r="C9" i="1"/>
  <c r="C4" i="2" s="1"/>
  <c r="E10" i="1"/>
  <c r="E5" i="2" s="1"/>
  <c r="E11" i="1"/>
  <c r="E6" i="2" s="1"/>
  <c r="E12" i="1"/>
  <c r="E13" i="1"/>
  <c r="E14" i="1"/>
  <c r="E9" i="2" s="1"/>
  <c r="E15" i="1"/>
  <c r="E10" i="2" s="1"/>
  <c r="E16" i="1"/>
  <c r="E17" i="1"/>
  <c r="E18" i="1"/>
  <c r="E13" i="2" s="1"/>
  <c r="E19" i="1"/>
  <c r="E14" i="2" s="1"/>
  <c r="E20" i="1"/>
  <c r="E15" i="2" s="1"/>
  <c r="E21" i="1"/>
  <c r="E22" i="1"/>
  <c r="E17" i="2" s="1"/>
  <c r="E23" i="1"/>
  <c r="E18" i="2" s="1"/>
  <c r="E24" i="1"/>
  <c r="E25" i="1"/>
  <c r="E26" i="1"/>
  <c r="E21" i="2" s="1"/>
  <c r="E27" i="1"/>
  <c r="E22" i="2" s="1"/>
  <c r="E28" i="1"/>
  <c r="E23" i="2" s="1"/>
  <c r="E29" i="1"/>
  <c r="E70" i="1"/>
  <c r="E65" i="2" s="1"/>
  <c r="E71" i="1"/>
  <c r="E66" i="2" s="1"/>
  <c r="E72" i="1"/>
  <c r="E73" i="1"/>
  <c r="E74" i="1"/>
  <c r="E69" i="2" s="1"/>
  <c r="E75" i="1"/>
  <c r="E70" i="2" s="1"/>
  <c r="E76" i="1"/>
  <c r="E77" i="1"/>
  <c r="E78" i="1"/>
  <c r="E73" i="2" s="1"/>
  <c r="E79" i="1"/>
  <c r="E74" i="2" s="1"/>
  <c r="E80" i="1"/>
  <c r="E81" i="1"/>
  <c r="E82" i="1"/>
  <c r="E77" i="2" s="1"/>
  <c r="E83" i="1"/>
  <c r="E78" i="2" s="1"/>
  <c r="E84" i="1"/>
  <c r="E85" i="1"/>
  <c r="E86" i="1"/>
  <c r="E81" i="2" s="1"/>
  <c r="E87" i="1"/>
  <c r="E82" i="2" s="1"/>
  <c r="E88" i="1"/>
  <c r="E83" i="2" s="1"/>
  <c r="E89" i="1"/>
  <c r="E84" i="2" s="1"/>
  <c r="E90" i="1"/>
  <c r="E85" i="2" s="1"/>
  <c r="E91" i="1"/>
  <c r="E86" i="2" s="1"/>
  <c r="E92" i="1"/>
  <c r="E93" i="1"/>
  <c r="E94" i="1"/>
  <c r="E89" i="2" s="1"/>
  <c r="E95" i="1"/>
  <c r="E90" i="2" s="1"/>
  <c r="E96" i="1"/>
  <c r="E97" i="1"/>
  <c r="E98" i="1"/>
  <c r="E93" i="2" s="1"/>
  <c r="E99" i="1"/>
  <c r="E94" i="2" s="1"/>
  <c r="E100" i="1"/>
  <c r="E95" i="2" s="1"/>
  <c r="E101" i="1"/>
  <c r="E96" i="2" s="1"/>
  <c r="E102" i="1"/>
  <c r="E97" i="2" s="1"/>
  <c r="E103" i="1"/>
  <c r="E98" i="2" s="1"/>
  <c r="E104" i="1"/>
  <c r="E105" i="1"/>
  <c r="E106" i="1"/>
  <c r="E101" i="2" s="1"/>
  <c r="E107" i="1"/>
  <c r="E102" i="2" s="1"/>
  <c r="E108" i="1"/>
  <c r="E103" i="2" s="1"/>
  <c r="E109" i="1"/>
  <c r="E104" i="2" s="1"/>
  <c r="E110" i="1"/>
  <c r="E105" i="2" s="1"/>
  <c r="E9" i="1"/>
  <c r="E6" i="1"/>
  <c r="G20" i="1" l="1"/>
  <c r="G14" i="2"/>
  <c r="C20" i="1"/>
  <c r="D15" i="2"/>
  <c r="D23" i="1"/>
  <c r="D17" i="2"/>
  <c r="D14" i="2"/>
  <c r="C15" i="2" l="1"/>
  <c r="C21" i="1"/>
  <c r="D24" i="1"/>
  <c r="D18" i="2"/>
  <c r="G21" i="1"/>
  <c r="G15" i="2"/>
  <c r="D25" i="1" l="1"/>
  <c r="D19" i="2"/>
  <c r="G22" i="1"/>
  <c r="G16" i="2"/>
  <c r="C22" i="1"/>
  <c r="C16" i="2"/>
  <c r="C17" i="2" l="1"/>
  <c r="C23" i="1"/>
  <c r="G23" i="1"/>
  <c r="G17" i="2"/>
  <c r="D26" i="1"/>
  <c r="D20" i="2"/>
  <c r="G24" i="1" l="1"/>
  <c r="G18" i="2"/>
  <c r="D27" i="1"/>
  <c r="D21" i="2"/>
  <c r="C18" i="2"/>
  <c r="C24" i="1"/>
  <c r="D28" i="1" l="1"/>
  <c r="D22" i="2"/>
  <c r="C19" i="2"/>
  <c r="C25" i="1"/>
  <c r="G25" i="1"/>
  <c r="G19" i="2"/>
  <c r="G26" i="1" l="1"/>
  <c r="G20" i="2"/>
  <c r="C26" i="1"/>
  <c r="C20" i="2"/>
  <c r="D29" i="1"/>
  <c r="D23" i="2"/>
  <c r="D30" i="1" l="1"/>
  <c r="D24" i="2"/>
  <c r="C21" i="2"/>
  <c r="C27" i="1"/>
  <c r="G27" i="1"/>
  <c r="G21" i="2"/>
  <c r="G28" i="1" l="1"/>
  <c r="G22" i="2"/>
  <c r="C28" i="1"/>
  <c r="C22" i="2"/>
  <c r="D31" i="1"/>
  <c r="D25" i="2"/>
  <c r="E30" i="1"/>
  <c r="E25" i="2" s="1"/>
  <c r="C23" i="2" l="1"/>
  <c r="C29" i="1"/>
  <c r="D32" i="1"/>
  <c r="D26" i="2"/>
  <c r="E31" i="1"/>
  <c r="E26" i="2" s="1"/>
  <c r="G29" i="1"/>
  <c r="G24" i="2" s="1"/>
  <c r="G23" i="2"/>
  <c r="D33" i="1" l="1"/>
  <c r="D27" i="2"/>
  <c r="E32" i="1"/>
  <c r="E27" i="2" s="1"/>
  <c r="C30" i="1"/>
  <c r="C24" i="2"/>
  <c r="C31" i="1" l="1"/>
  <c r="C25" i="2"/>
  <c r="D34" i="1"/>
  <c r="D28" i="2"/>
  <c r="E33" i="1"/>
  <c r="E28" i="2" s="1"/>
  <c r="D35" i="1" l="1"/>
  <c r="D29" i="2"/>
  <c r="E34" i="1"/>
  <c r="E29" i="2" s="1"/>
  <c r="C32" i="1"/>
  <c r="C26" i="2"/>
  <c r="C33" i="1" l="1"/>
  <c r="C27" i="2"/>
  <c r="D36" i="1"/>
  <c r="D30" i="2"/>
  <c r="E35" i="1"/>
  <c r="E30" i="2" s="1"/>
  <c r="D37" i="1" l="1"/>
  <c r="D31" i="2"/>
  <c r="E36" i="1"/>
  <c r="E31" i="2" s="1"/>
  <c r="C34" i="1"/>
  <c r="C28" i="2"/>
  <c r="C35" i="1" l="1"/>
  <c r="C29" i="2"/>
  <c r="D38" i="1"/>
  <c r="D32" i="2"/>
  <c r="E37" i="1"/>
  <c r="E32" i="2" s="1"/>
  <c r="D39" i="1" l="1"/>
  <c r="D33" i="2"/>
  <c r="E38" i="1"/>
  <c r="E33" i="2" s="1"/>
  <c r="C36" i="1"/>
  <c r="C30" i="2"/>
  <c r="C37" i="1" l="1"/>
  <c r="C31" i="2"/>
  <c r="D40" i="1"/>
  <c r="D34" i="2"/>
  <c r="E39" i="1"/>
  <c r="E34" i="2" s="1"/>
  <c r="D41" i="1" l="1"/>
  <c r="D35" i="2"/>
  <c r="E40" i="1"/>
  <c r="E35" i="2" s="1"/>
  <c r="C38" i="1"/>
  <c r="C32" i="2"/>
  <c r="C39" i="1" l="1"/>
  <c r="C33" i="2"/>
  <c r="D42" i="1"/>
  <c r="D36" i="2"/>
  <c r="E41" i="1"/>
  <c r="E36" i="2" s="1"/>
  <c r="D43" i="1" l="1"/>
  <c r="D37" i="2"/>
  <c r="E42" i="1"/>
  <c r="E37" i="2" s="1"/>
  <c r="C40" i="1"/>
  <c r="C34" i="2"/>
  <c r="C41" i="1" l="1"/>
  <c r="C35" i="2"/>
  <c r="D44" i="1"/>
  <c r="D38" i="2"/>
  <c r="E43" i="1"/>
  <c r="E38" i="2" s="1"/>
  <c r="D45" i="1" l="1"/>
  <c r="D39" i="2"/>
  <c r="E44" i="1"/>
  <c r="E39" i="2" s="1"/>
  <c r="C42" i="1"/>
  <c r="C36" i="2"/>
  <c r="C43" i="1" l="1"/>
  <c r="C37" i="2"/>
  <c r="D46" i="1"/>
  <c r="D40" i="2"/>
  <c r="E45" i="1"/>
  <c r="E40" i="2" s="1"/>
  <c r="D47" i="1" l="1"/>
  <c r="D41" i="2"/>
  <c r="E46" i="1"/>
  <c r="E41" i="2" s="1"/>
  <c r="C44" i="1"/>
  <c r="C38" i="2"/>
  <c r="C45" i="1" l="1"/>
  <c r="C39" i="2"/>
  <c r="D48" i="1"/>
  <c r="D42" i="2"/>
  <c r="E47" i="1"/>
  <c r="E42" i="2" s="1"/>
  <c r="D49" i="1" l="1"/>
  <c r="D43" i="2"/>
  <c r="E48" i="1"/>
  <c r="E43" i="2" s="1"/>
  <c r="C46" i="1"/>
  <c r="C40" i="2"/>
  <c r="C47" i="1" l="1"/>
  <c r="C41" i="2"/>
  <c r="D50" i="1"/>
  <c r="D44" i="2"/>
  <c r="E49" i="1"/>
  <c r="E44" i="2" s="1"/>
  <c r="D51" i="1" l="1"/>
  <c r="D45" i="2"/>
  <c r="E50" i="1"/>
  <c r="E45" i="2" s="1"/>
  <c r="C48" i="1"/>
  <c r="C42" i="2"/>
  <c r="C49" i="1" l="1"/>
  <c r="C44" i="2" s="1"/>
  <c r="C43" i="2"/>
  <c r="D52" i="1"/>
  <c r="D46" i="2"/>
  <c r="E51" i="1"/>
  <c r="E46" i="2" s="1"/>
  <c r="D53" i="1" l="1"/>
  <c r="D47" i="2"/>
  <c r="E52" i="1"/>
  <c r="E47" i="2" s="1"/>
  <c r="D54" i="1" l="1"/>
  <c r="D48" i="2"/>
  <c r="E53" i="1"/>
  <c r="E48" i="2" s="1"/>
  <c r="D55" i="1" l="1"/>
  <c r="D49" i="2"/>
  <c r="E54" i="1"/>
  <c r="E49" i="2" s="1"/>
  <c r="D56" i="1" l="1"/>
  <c r="D50" i="2"/>
  <c r="E55" i="1"/>
  <c r="E50" i="2" s="1"/>
  <c r="D57" i="1" l="1"/>
  <c r="D51" i="2"/>
  <c r="E56" i="1"/>
  <c r="E51" i="2" s="1"/>
  <c r="D58" i="1" l="1"/>
  <c r="D52" i="2"/>
  <c r="E57" i="1"/>
  <c r="E52" i="2" s="1"/>
  <c r="D59" i="1" l="1"/>
  <c r="D53" i="2"/>
  <c r="E58" i="1"/>
  <c r="E53" i="2" s="1"/>
  <c r="D60" i="1" l="1"/>
  <c r="D54" i="2"/>
  <c r="E59" i="1"/>
  <c r="E54" i="2" s="1"/>
  <c r="D61" i="1" l="1"/>
  <c r="D55" i="2"/>
  <c r="E60" i="1"/>
  <c r="E55" i="2" s="1"/>
  <c r="D62" i="1" l="1"/>
  <c r="D56" i="2"/>
  <c r="E61" i="1"/>
  <c r="E56" i="2" s="1"/>
  <c r="D63" i="1" l="1"/>
  <c r="D57" i="2"/>
  <c r="E62" i="1"/>
  <c r="E57" i="2" s="1"/>
  <c r="D64" i="1" l="1"/>
  <c r="D58" i="2"/>
  <c r="E63" i="1"/>
  <c r="E58" i="2" s="1"/>
  <c r="D65" i="1" l="1"/>
  <c r="D59" i="2"/>
  <c r="E64" i="1"/>
  <c r="E59" i="2" s="1"/>
  <c r="D66" i="1" l="1"/>
  <c r="D60" i="2"/>
  <c r="E65" i="1"/>
  <c r="E60" i="2" s="1"/>
  <c r="D67" i="1" l="1"/>
  <c r="D61" i="2"/>
  <c r="E66" i="1"/>
  <c r="E61" i="2" s="1"/>
  <c r="D68" i="1" l="1"/>
  <c r="D62" i="2"/>
  <c r="E67" i="1"/>
  <c r="E62" i="2" s="1"/>
  <c r="D69" i="1" l="1"/>
  <c r="D63" i="2"/>
  <c r="E68" i="1"/>
  <c r="E63" i="2" s="1"/>
  <c r="D64" i="2" l="1"/>
  <c r="E69" i="1"/>
  <c r="E64" i="2" s="1"/>
</calcChain>
</file>

<file path=xl/sharedStrings.xml><?xml version="1.0" encoding="utf-8"?>
<sst xmlns="http://schemas.openxmlformats.org/spreadsheetml/2006/main" count="16" uniqueCount="11">
  <si>
    <t>auto</t>
  </si>
  <si>
    <t>w_transit</t>
  </si>
  <si>
    <t>d_transit</t>
  </si>
  <si>
    <t>bike</t>
  </si>
  <si>
    <t>walk</t>
  </si>
  <si>
    <t>parameters:</t>
  </si>
  <si>
    <t>min</t>
  </si>
  <si>
    <t>max</t>
  </si>
  <si>
    <t>Export ATO Decay Curves</t>
  </si>
  <si>
    <t>Calculate ATO Decay Curves</t>
  </si>
  <si>
    <t>;min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</si>
</sst>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/>
    <xf numFmtId="0" fontId="4" fillId="3" borderId="0" xfId="0" applyFont="1" applyFill="1"/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3" borderId="0" xfId="0" applyFont="1" applyFill="1"/>
    <xf numFmtId="0" fontId="5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ATO Weighting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01594245163797"/>
          <c:y val="0.11004728410877342"/>
          <c:w val="0.85898403324584427"/>
          <c:h val="0.74213425766143382"/>
        </c:manualLayout>
      </c:layout>
      <c:scatterChart>
        <c:scatterStyle val="lineMarker"/>
        <c:varyColors val="0"/>
        <c:ser>
          <c:idx val="0"/>
          <c:order val="0"/>
          <c:tx>
            <c:strRef>
              <c:f>ATODecayCurves!$C$8</c:f>
              <c:strCache>
                <c:ptCount val="1"/>
                <c:pt idx="0">
                  <c:v>auto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ATODecayCurves!$B$9:$B$110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19.9999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xVal>
          <c:yVal>
            <c:numRef>
              <c:f>ATODecayCurves!$C$9:$C$110</c:f>
              <c:numCache>
                <c:formatCode>General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0.9667</c:v>
                </c:pt>
                <c:pt idx="12">
                  <c:v>0.93340000000000001</c:v>
                </c:pt>
                <c:pt idx="13">
                  <c:v>0.90010000000000001</c:v>
                </c:pt>
                <c:pt idx="14">
                  <c:v>0.86680000000000001</c:v>
                </c:pt>
                <c:pt idx="15">
                  <c:v>0.83350000000000002</c:v>
                </c:pt>
                <c:pt idx="16">
                  <c:v>0.80020000000000002</c:v>
                </c:pt>
                <c:pt idx="17">
                  <c:v>0.76690000000000003</c:v>
                </c:pt>
                <c:pt idx="18">
                  <c:v>0.73360000000000003</c:v>
                </c:pt>
                <c:pt idx="19">
                  <c:v>0.70030000000000003</c:v>
                </c:pt>
                <c:pt idx="20">
                  <c:v>0.66700000000000004</c:v>
                </c:pt>
                <c:pt idx="21">
                  <c:v>0.66700000000000004</c:v>
                </c:pt>
                <c:pt idx="22">
                  <c:v>0.63370000000000004</c:v>
                </c:pt>
                <c:pt idx="23">
                  <c:v>0.60040000000000004</c:v>
                </c:pt>
                <c:pt idx="24">
                  <c:v>0.56710000000000005</c:v>
                </c:pt>
                <c:pt idx="25">
                  <c:v>0.53380000000000005</c:v>
                </c:pt>
                <c:pt idx="26">
                  <c:v>0.50049999999999994</c:v>
                </c:pt>
                <c:pt idx="27">
                  <c:v>0.4672</c:v>
                </c:pt>
                <c:pt idx="28">
                  <c:v>0.43390000000000001</c:v>
                </c:pt>
                <c:pt idx="29">
                  <c:v>0.40060000000000001</c:v>
                </c:pt>
                <c:pt idx="30">
                  <c:v>0.36730000000000002</c:v>
                </c:pt>
                <c:pt idx="31">
                  <c:v>0.33400000000000002</c:v>
                </c:pt>
                <c:pt idx="32">
                  <c:v>0.30070000000000002</c:v>
                </c:pt>
                <c:pt idx="33">
                  <c:v>0.26740000000000003</c:v>
                </c:pt>
                <c:pt idx="34">
                  <c:v>0.2341</c:v>
                </c:pt>
                <c:pt idx="35">
                  <c:v>0.20080000000000001</c:v>
                </c:pt>
                <c:pt idx="36">
                  <c:v>0.16750000000000001</c:v>
                </c:pt>
                <c:pt idx="37">
                  <c:v>0.13420000000000001</c:v>
                </c:pt>
                <c:pt idx="38">
                  <c:v>0.1009</c:v>
                </c:pt>
                <c:pt idx="39">
                  <c:v>6.7599999999999993E-2</c:v>
                </c:pt>
                <c:pt idx="40">
                  <c:v>3.4299999999999997E-2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4-49B8-A99F-85C3092F2481}"/>
            </c:ext>
          </c:extLst>
        </c:ser>
        <c:ser>
          <c:idx val="1"/>
          <c:order val="1"/>
          <c:tx>
            <c:strRef>
              <c:f>ATODecayCurves!$D$8</c:f>
              <c:strCache>
                <c:ptCount val="1"/>
                <c:pt idx="0">
                  <c:v>w_transit</c:v>
                </c:pt>
              </c:strCache>
            </c:strRef>
          </c:tx>
          <c:spPr>
            <a:ln w="5080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ATODecayCurves!$B$9:$B$110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19.9999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xVal>
          <c:yVal>
            <c:numRef>
              <c:f>ATODecayCurves!$D$9:$D$110</c:f>
              <c:numCache>
                <c:formatCode>General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0.98</c:v>
                </c:pt>
                <c:pt idx="12">
                  <c:v>0.96</c:v>
                </c:pt>
                <c:pt idx="13">
                  <c:v>0.94</c:v>
                </c:pt>
                <c:pt idx="14">
                  <c:v>0.92</c:v>
                </c:pt>
                <c:pt idx="15">
                  <c:v>0.9</c:v>
                </c:pt>
                <c:pt idx="16">
                  <c:v>0.88</c:v>
                </c:pt>
                <c:pt idx="17">
                  <c:v>0.86</c:v>
                </c:pt>
                <c:pt idx="18">
                  <c:v>0.84</c:v>
                </c:pt>
                <c:pt idx="19">
                  <c:v>0.82</c:v>
                </c:pt>
                <c:pt idx="20">
                  <c:v>0.8</c:v>
                </c:pt>
                <c:pt idx="21">
                  <c:v>0.8</c:v>
                </c:pt>
                <c:pt idx="22">
                  <c:v>0.78</c:v>
                </c:pt>
                <c:pt idx="23">
                  <c:v>0.76</c:v>
                </c:pt>
                <c:pt idx="24">
                  <c:v>0.74</c:v>
                </c:pt>
                <c:pt idx="25">
                  <c:v>0.72</c:v>
                </c:pt>
                <c:pt idx="26">
                  <c:v>0.7</c:v>
                </c:pt>
                <c:pt idx="27">
                  <c:v>0.68</c:v>
                </c:pt>
                <c:pt idx="28">
                  <c:v>0.66</c:v>
                </c:pt>
                <c:pt idx="29">
                  <c:v>0.64</c:v>
                </c:pt>
                <c:pt idx="30">
                  <c:v>0.62</c:v>
                </c:pt>
                <c:pt idx="31">
                  <c:v>0.6</c:v>
                </c:pt>
                <c:pt idx="32">
                  <c:v>0.57999999999999996</c:v>
                </c:pt>
                <c:pt idx="33">
                  <c:v>0.56000000000000005</c:v>
                </c:pt>
                <c:pt idx="34">
                  <c:v>0.54</c:v>
                </c:pt>
                <c:pt idx="35">
                  <c:v>0.52</c:v>
                </c:pt>
                <c:pt idx="36">
                  <c:v>0.5</c:v>
                </c:pt>
                <c:pt idx="37">
                  <c:v>0.48</c:v>
                </c:pt>
                <c:pt idx="38">
                  <c:v>0.46</c:v>
                </c:pt>
                <c:pt idx="39">
                  <c:v>0.44</c:v>
                </c:pt>
                <c:pt idx="40">
                  <c:v>0.42</c:v>
                </c:pt>
                <c:pt idx="41">
                  <c:v>0.4</c:v>
                </c:pt>
                <c:pt idx="42">
                  <c:v>0.38</c:v>
                </c:pt>
                <c:pt idx="43">
                  <c:v>0.36</c:v>
                </c:pt>
                <c:pt idx="44">
                  <c:v>0.34</c:v>
                </c:pt>
                <c:pt idx="45">
                  <c:v>0.32</c:v>
                </c:pt>
                <c:pt idx="46">
                  <c:v>0.3</c:v>
                </c:pt>
                <c:pt idx="47">
                  <c:v>0.28000000000000003</c:v>
                </c:pt>
                <c:pt idx="48">
                  <c:v>0.26</c:v>
                </c:pt>
                <c:pt idx="49">
                  <c:v>0.24</c:v>
                </c:pt>
                <c:pt idx="50">
                  <c:v>0.22</c:v>
                </c:pt>
                <c:pt idx="51">
                  <c:v>0.2</c:v>
                </c:pt>
                <c:pt idx="52">
                  <c:v>0.18</c:v>
                </c:pt>
                <c:pt idx="53">
                  <c:v>0.16</c:v>
                </c:pt>
                <c:pt idx="54">
                  <c:v>0.14000000000000001</c:v>
                </c:pt>
                <c:pt idx="55">
                  <c:v>0.12</c:v>
                </c:pt>
                <c:pt idx="56">
                  <c:v>0.1</c:v>
                </c:pt>
                <c:pt idx="57">
                  <c:v>0.08</c:v>
                </c:pt>
                <c:pt idx="58">
                  <c:v>0.06</c:v>
                </c:pt>
                <c:pt idx="59">
                  <c:v>0.04</c:v>
                </c:pt>
                <c:pt idx="60">
                  <c:v>0.02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B4-49B8-A99F-85C3092F2481}"/>
            </c:ext>
          </c:extLst>
        </c:ser>
        <c:ser>
          <c:idx val="2"/>
          <c:order val="2"/>
          <c:tx>
            <c:strRef>
              <c:f>ATODecayCurves!$E$8</c:f>
              <c:strCache>
                <c:ptCount val="1"/>
                <c:pt idx="0">
                  <c:v>d_transit</c:v>
                </c:pt>
              </c:strCache>
            </c:strRef>
          </c:tx>
          <c:spPr>
            <a:ln w="508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ATODecayCurves!$B$9:$B$110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19.9999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xVal>
          <c:yVal>
            <c:numRef>
              <c:f>ATODecayCurves!$E$9:$E$110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0.39</c:v>
                </c:pt>
                <c:pt idx="23">
                  <c:v>0.38</c:v>
                </c:pt>
                <c:pt idx="24">
                  <c:v>0.37</c:v>
                </c:pt>
                <c:pt idx="25">
                  <c:v>0.36</c:v>
                </c:pt>
                <c:pt idx="26">
                  <c:v>0.35</c:v>
                </c:pt>
                <c:pt idx="27">
                  <c:v>0.34</c:v>
                </c:pt>
                <c:pt idx="28">
                  <c:v>0.33</c:v>
                </c:pt>
                <c:pt idx="29">
                  <c:v>0.32</c:v>
                </c:pt>
                <c:pt idx="30">
                  <c:v>0.31</c:v>
                </c:pt>
                <c:pt idx="31">
                  <c:v>0.3</c:v>
                </c:pt>
                <c:pt idx="32">
                  <c:v>0.28999999999999998</c:v>
                </c:pt>
                <c:pt idx="33">
                  <c:v>0.28000000000000003</c:v>
                </c:pt>
                <c:pt idx="34">
                  <c:v>0.27</c:v>
                </c:pt>
                <c:pt idx="35">
                  <c:v>0.26</c:v>
                </c:pt>
                <c:pt idx="36">
                  <c:v>0.25</c:v>
                </c:pt>
                <c:pt idx="37">
                  <c:v>0.24</c:v>
                </c:pt>
                <c:pt idx="38">
                  <c:v>0.23</c:v>
                </c:pt>
                <c:pt idx="39">
                  <c:v>0.22</c:v>
                </c:pt>
                <c:pt idx="40">
                  <c:v>0.21</c:v>
                </c:pt>
                <c:pt idx="41">
                  <c:v>0.2</c:v>
                </c:pt>
                <c:pt idx="42">
                  <c:v>0.19</c:v>
                </c:pt>
                <c:pt idx="43">
                  <c:v>0.18</c:v>
                </c:pt>
                <c:pt idx="44">
                  <c:v>0.17</c:v>
                </c:pt>
                <c:pt idx="45">
                  <c:v>0.16</c:v>
                </c:pt>
                <c:pt idx="46">
                  <c:v>0.15</c:v>
                </c:pt>
                <c:pt idx="47">
                  <c:v>0.14000000000000001</c:v>
                </c:pt>
                <c:pt idx="48">
                  <c:v>0.13</c:v>
                </c:pt>
                <c:pt idx="49">
                  <c:v>0.12</c:v>
                </c:pt>
                <c:pt idx="50">
                  <c:v>0.11</c:v>
                </c:pt>
                <c:pt idx="51">
                  <c:v>0.1</c:v>
                </c:pt>
                <c:pt idx="52">
                  <c:v>0.09</c:v>
                </c:pt>
                <c:pt idx="53">
                  <c:v>0.08</c:v>
                </c:pt>
                <c:pt idx="54">
                  <c:v>7.0000000000000007E-2</c:v>
                </c:pt>
                <c:pt idx="55">
                  <c:v>0.06</c:v>
                </c:pt>
                <c:pt idx="56">
                  <c:v>0.05</c:v>
                </c:pt>
                <c:pt idx="57">
                  <c:v>0.04</c:v>
                </c:pt>
                <c:pt idx="58">
                  <c:v>0.03</c:v>
                </c:pt>
                <c:pt idx="59">
                  <c:v>0.02</c:v>
                </c:pt>
                <c:pt idx="60">
                  <c:v>0.01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4-49B8-A99F-85C3092F2481}"/>
            </c:ext>
          </c:extLst>
        </c:ser>
        <c:ser>
          <c:idx val="3"/>
          <c:order val="3"/>
          <c:tx>
            <c:strRef>
              <c:f>ATODecayCurves!$F$8</c:f>
              <c:strCache>
                <c:ptCount val="1"/>
                <c:pt idx="0">
                  <c:v>bike</c:v>
                </c:pt>
              </c:strCache>
            </c:strRef>
          </c:tx>
          <c:spPr>
            <a:ln w="508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ATODecayCurves!$B$9:$B$110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19.9999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xVal>
          <c:yVal>
            <c:numRef>
              <c:f>ATODecayCurves!$F$9:$F$110</c:f>
              <c:numCache>
                <c:formatCode>General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0.95</c:v>
                </c:pt>
                <c:pt idx="12">
                  <c:v>0.9</c:v>
                </c:pt>
                <c:pt idx="13">
                  <c:v>0.85</c:v>
                </c:pt>
                <c:pt idx="14">
                  <c:v>0.8</c:v>
                </c:pt>
                <c:pt idx="15">
                  <c:v>0.75</c:v>
                </c:pt>
                <c:pt idx="16">
                  <c:v>0.7</c:v>
                </c:pt>
                <c:pt idx="17">
                  <c:v>0.65</c:v>
                </c:pt>
                <c:pt idx="18">
                  <c:v>0.6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</c:v>
                </c:pt>
                <c:pt idx="22">
                  <c:v>0.45</c:v>
                </c:pt>
                <c:pt idx="23">
                  <c:v>0.4</c:v>
                </c:pt>
                <c:pt idx="24">
                  <c:v>0.35</c:v>
                </c:pt>
                <c:pt idx="25">
                  <c:v>0.3</c:v>
                </c:pt>
                <c:pt idx="26">
                  <c:v>0.25</c:v>
                </c:pt>
                <c:pt idx="27">
                  <c:v>0.2</c:v>
                </c:pt>
                <c:pt idx="28">
                  <c:v>0.15</c:v>
                </c:pt>
                <c:pt idx="29">
                  <c:v>0.1</c:v>
                </c:pt>
                <c:pt idx="30">
                  <c:v>0.05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B4-49B8-A99F-85C3092F2481}"/>
            </c:ext>
          </c:extLst>
        </c:ser>
        <c:ser>
          <c:idx val="4"/>
          <c:order val="4"/>
          <c:tx>
            <c:strRef>
              <c:f>ATODecayCurves!$G$8</c:f>
              <c:strCache>
                <c:ptCount val="1"/>
                <c:pt idx="0">
                  <c:v>walk</c:v>
                </c:pt>
              </c:strCache>
            </c:strRef>
          </c:tx>
          <c:spPr>
            <a:ln w="508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ATODecayCurves!$B$9:$B$110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19.9999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xVal>
          <c:yVal>
            <c:numRef>
              <c:f>ATODecayCurves!$G$9:$G$110</c:f>
              <c:numCache>
                <c:formatCode>General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  <c:pt idx="19">
                  <c:v>0.1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B4-49B8-A99F-85C3092F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373039"/>
        <c:axId val="1940373999"/>
      </c:scatterChart>
      <c:valAx>
        <c:axId val="1940373039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Time</a:t>
                </a:r>
                <a:r>
                  <a:rPr lang="en-US" sz="2000" baseline="0"/>
                  <a:t> (Minutes)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73999"/>
        <c:crosses val="autoZero"/>
        <c:crossBetween val="midCat"/>
        <c:majorUnit val="10"/>
        <c:minorUnit val="5"/>
      </c:valAx>
      <c:valAx>
        <c:axId val="1940373999"/>
        <c:scaling>
          <c:orientation val="minMax"/>
          <c:max val="1.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Weight</a:t>
                </a:r>
              </a:p>
            </c:rich>
          </c:tx>
          <c:layout>
            <c:manualLayout>
              <c:xMode val="edge"/>
              <c:yMode val="edge"/>
              <c:x val="9.7883250704773016E-3"/>
              <c:y val="0.41429826480023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7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21</xdr:col>
      <xdr:colOff>335756</xdr:colOff>
      <xdr:row>31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A9F565-D9B9-4AAE-A853-9AC0D7BAD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3</xdr:row>
      <xdr:rowOff>0</xdr:rowOff>
    </xdr:from>
    <xdr:to>
      <xdr:col>33</xdr:col>
      <xdr:colOff>580180</xdr:colOff>
      <xdr:row>31</xdr:row>
      <xdr:rowOff>178594</xdr:rowOff>
    </xdr:to>
    <xdr:pic>
      <xdr:nvPicPr>
        <xdr:cNvPr id="9" name="Google Shape;507;p36">
          <a:extLst>
            <a:ext uri="{FF2B5EF4-FFF2-40B4-BE49-F238E27FC236}">
              <a16:creationId xmlns:a16="http://schemas.microsoft.com/office/drawing/2014/main" id="{BD168E17-BA6A-401A-9768-9F45AA0F3311}"/>
            </a:ext>
          </a:extLst>
        </xdr:cNvPr>
        <xdr:cNvPicPr preferRelativeResize="0"/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13061156" y="678656"/>
          <a:ext cx="7259586" cy="5512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FFE9-BEB3-4174-A99B-39C8E26EA5CB}">
  <sheetPr>
    <tabColor rgb="FFC00000"/>
  </sheetPr>
  <dimension ref="B1:G10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.7109375" style="1" customWidth="1"/>
    <col min="2" max="2" width="9.140625" style="1"/>
    <col min="3" max="7" width="11" style="1" customWidth="1"/>
    <col min="8" max="16384" width="9.140625" style="1"/>
  </cols>
  <sheetData>
    <row r="1" spans="2:7" s="2" customFormat="1" ht="23.25" x14ac:dyDescent="0.35">
      <c r="B1" s="10" t="s">
        <v>8</v>
      </c>
      <c r="C1" s="10"/>
      <c r="D1" s="10"/>
      <c r="E1" s="10"/>
      <c r="F1" s="10"/>
      <c r="G1" s="10"/>
    </row>
    <row r="3" spans="2:7" x14ac:dyDescent="0.25">
      <c r="B3" s="15" t="str">
        <f>ATODecayCurves!B8</f>
        <v>;min</v>
      </c>
      <c r="C3" s="16" t="str">
        <f>ATODecayCurves!C8</f>
        <v>auto</v>
      </c>
      <c r="D3" s="16" t="str">
        <f>ATODecayCurves!D8</f>
        <v>w_transit</v>
      </c>
      <c r="E3" s="16" t="str">
        <f>ATODecayCurves!E8</f>
        <v>d_transit</v>
      </c>
      <c r="F3" s="16" t="str">
        <f>ATODecayCurves!F8</f>
        <v>bike</v>
      </c>
      <c r="G3" s="16" t="str">
        <f>ATODecayCurves!G8</f>
        <v>walk</v>
      </c>
    </row>
    <row r="4" spans="2:7" x14ac:dyDescent="0.25">
      <c r="B4" s="14">
        <f>ATODecayCurves!B9</f>
        <v>0</v>
      </c>
      <c r="C4" s="13">
        <f>ATODecayCurves!C9</f>
        <v>1</v>
      </c>
      <c r="D4" s="13">
        <f>ATODecayCurves!D9</f>
        <v>1</v>
      </c>
      <c r="E4" s="13">
        <f>ATODecayCurves!E9</f>
        <v>0</v>
      </c>
      <c r="F4" s="13">
        <f>ATODecayCurves!F9</f>
        <v>1</v>
      </c>
      <c r="G4" s="13">
        <f>ATODecayCurves!G9</f>
        <v>1</v>
      </c>
    </row>
    <row r="5" spans="2:7" x14ac:dyDescent="0.25">
      <c r="B5" s="14">
        <f>ATODecayCurves!B10</f>
        <v>1</v>
      </c>
      <c r="C5" s="13">
        <f>ATODecayCurves!C10</f>
        <v>1</v>
      </c>
      <c r="D5" s="13">
        <f>ATODecayCurves!D10</f>
        <v>1</v>
      </c>
      <c r="E5" s="13">
        <f>ATODecayCurves!E10</f>
        <v>0</v>
      </c>
      <c r="F5" s="13">
        <f>ATODecayCurves!F10</f>
        <v>1</v>
      </c>
      <c r="G5" s="13">
        <f>ATODecayCurves!G10</f>
        <v>1</v>
      </c>
    </row>
    <row r="6" spans="2:7" x14ac:dyDescent="0.25">
      <c r="B6" s="14">
        <f>ATODecayCurves!B11</f>
        <v>2</v>
      </c>
      <c r="C6" s="13">
        <f>ATODecayCurves!C11</f>
        <v>1</v>
      </c>
      <c r="D6" s="13">
        <f>ATODecayCurves!D11</f>
        <v>1</v>
      </c>
      <c r="E6" s="13">
        <f>ATODecayCurves!E11</f>
        <v>0</v>
      </c>
      <c r="F6" s="13">
        <f>ATODecayCurves!F11</f>
        <v>1</v>
      </c>
      <c r="G6" s="13">
        <f>ATODecayCurves!G11</f>
        <v>1</v>
      </c>
    </row>
    <row r="7" spans="2:7" x14ac:dyDescent="0.25">
      <c r="B7" s="14">
        <f>ATODecayCurves!B12</f>
        <v>3</v>
      </c>
      <c r="C7" s="13">
        <f>ATODecayCurves!C12</f>
        <v>1</v>
      </c>
      <c r="D7" s="13">
        <f>ATODecayCurves!D12</f>
        <v>1</v>
      </c>
      <c r="E7" s="13">
        <f>ATODecayCurves!E12</f>
        <v>0</v>
      </c>
      <c r="F7" s="13">
        <f>ATODecayCurves!F12</f>
        <v>1</v>
      </c>
      <c r="G7" s="13">
        <f>ATODecayCurves!G12</f>
        <v>1</v>
      </c>
    </row>
    <row r="8" spans="2:7" x14ac:dyDescent="0.25">
      <c r="B8" s="14">
        <f>ATODecayCurves!B13</f>
        <v>4</v>
      </c>
      <c r="C8" s="13">
        <f>ATODecayCurves!C13</f>
        <v>1</v>
      </c>
      <c r="D8" s="13">
        <f>ATODecayCurves!D13</f>
        <v>1</v>
      </c>
      <c r="E8" s="13">
        <f>ATODecayCurves!E13</f>
        <v>0</v>
      </c>
      <c r="F8" s="13">
        <f>ATODecayCurves!F13</f>
        <v>1</v>
      </c>
      <c r="G8" s="13">
        <f>ATODecayCurves!G13</f>
        <v>1</v>
      </c>
    </row>
    <row r="9" spans="2:7" x14ac:dyDescent="0.25">
      <c r="B9" s="14">
        <f>ATODecayCurves!B14</f>
        <v>5</v>
      </c>
      <c r="C9" s="13">
        <f>ATODecayCurves!C14</f>
        <v>1</v>
      </c>
      <c r="D9" s="13">
        <f>ATODecayCurves!D14</f>
        <v>1</v>
      </c>
      <c r="E9" s="13">
        <f>ATODecayCurves!E14</f>
        <v>0</v>
      </c>
      <c r="F9" s="13">
        <f>ATODecayCurves!F14</f>
        <v>1</v>
      </c>
      <c r="G9" s="13">
        <f>ATODecayCurves!G14</f>
        <v>1</v>
      </c>
    </row>
    <row r="10" spans="2:7" x14ac:dyDescent="0.25">
      <c r="B10" s="14">
        <f>ATODecayCurves!B15</f>
        <v>6</v>
      </c>
      <c r="C10" s="13">
        <f>ATODecayCurves!C15</f>
        <v>1</v>
      </c>
      <c r="D10" s="13">
        <f>ATODecayCurves!D15</f>
        <v>1</v>
      </c>
      <c r="E10" s="13">
        <f>ATODecayCurves!E15</f>
        <v>0</v>
      </c>
      <c r="F10" s="13">
        <f>ATODecayCurves!F15</f>
        <v>1</v>
      </c>
      <c r="G10" s="13">
        <f>ATODecayCurves!G15</f>
        <v>1</v>
      </c>
    </row>
    <row r="11" spans="2:7" x14ac:dyDescent="0.25">
      <c r="B11" s="14">
        <f>ATODecayCurves!B16</f>
        <v>7</v>
      </c>
      <c r="C11" s="13">
        <f>ATODecayCurves!C16</f>
        <v>1</v>
      </c>
      <c r="D11" s="13">
        <f>ATODecayCurves!D16</f>
        <v>1</v>
      </c>
      <c r="E11" s="13">
        <f>ATODecayCurves!E16</f>
        <v>0</v>
      </c>
      <c r="F11" s="13">
        <f>ATODecayCurves!F16</f>
        <v>1</v>
      </c>
      <c r="G11" s="13">
        <f>ATODecayCurves!G16</f>
        <v>1</v>
      </c>
    </row>
    <row r="12" spans="2:7" x14ac:dyDescent="0.25">
      <c r="B12" s="14">
        <f>ATODecayCurves!B17</f>
        <v>8</v>
      </c>
      <c r="C12" s="13">
        <f>ATODecayCurves!C17</f>
        <v>1</v>
      </c>
      <c r="D12" s="13">
        <f>ATODecayCurves!D17</f>
        <v>1</v>
      </c>
      <c r="E12" s="13">
        <f>ATODecayCurves!E17</f>
        <v>0</v>
      </c>
      <c r="F12" s="13">
        <f>ATODecayCurves!F17</f>
        <v>1</v>
      </c>
      <c r="G12" s="13">
        <f>ATODecayCurves!G17</f>
        <v>1</v>
      </c>
    </row>
    <row r="13" spans="2:7" x14ac:dyDescent="0.25">
      <c r="B13" s="14">
        <f>ATODecayCurves!B18</f>
        <v>9</v>
      </c>
      <c r="C13" s="13">
        <f>ATODecayCurves!C18</f>
        <v>1</v>
      </c>
      <c r="D13" s="13">
        <f>ATODecayCurves!D18</f>
        <v>1</v>
      </c>
      <c r="E13" s="13">
        <f>ATODecayCurves!E18</f>
        <v>0</v>
      </c>
      <c r="F13" s="13">
        <f>ATODecayCurves!F18</f>
        <v>1</v>
      </c>
      <c r="G13" s="13">
        <f>ATODecayCurves!G18</f>
        <v>1</v>
      </c>
    </row>
    <row r="14" spans="2:7" x14ac:dyDescent="0.25">
      <c r="B14" s="14">
        <f>ATODecayCurves!B19</f>
        <v>10</v>
      </c>
      <c r="C14" s="13">
        <f>ATODecayCurves!C19</f>
        <v>1</v>
      </c>
      <c r="D14" s="13">
        <f>ATODecayCurves!D19</f>
        <v>1</v>
      </c>
      <c r="E14" s="13">
        <f>ATODecayCurves!E19</f>
        <v>0</v>
      </c>
      <c r="F14" s="13">
        <f>ATODecayCurves!F19</f>
        <v>1</v>
      </c>
      <c r="G14" s="13">
        <f>ATODecayCurves!G19</f>
        <v>1</v>
      </c>
    </row>
    <row r="15" spans="2:7" x14ac:dyDescent="0.25">
      <c r="B15" s="14">
        <f>ATODecayCurves!B20</f>
        <v>11</v>
      </c>
      <c r="C15" s="13">
        <f>ATODecayCurves!C20</f>
        <v>0.9667</v>
      </c>
      <c r="D15" s="13">
        <f>ATODecayCurves!D20</f>
        <v>0.98</v>
      </c>
      <c r="E15" s="13">
        <f>ATODecayCurves!E20</f>
        <v>0</v>
      </c>
      <c r="F15" s="13">
        <f>ATODecayCurves!F20</f>
        <v>0.95</v>
      </c>
      <c r="G15" s="13">
        <f>ATODecayCurves!G20</f>
        <v>0.9</v>
      </c>
    </row>
    <row r="16" spans="2:7" x14ac:dyDescent="0.25">
      <c r="B16" s="14">
        <f>ATODecayCurves!B21</f>
        <v>12</v>
      </c>
      <c r="C16" s="13">
        <f>ATODecayCurves!C21</f>
        <v>0.93340000000000001</v>
      </c>
      <c r="D16" s="13">
        <f>ATODecayCurves!D21</f>
        <v>0.96</v>
      </c>
      <c r="E16" s="13">
        <f>ATODecayCurves!E21</f>
        <v>0</v>
      </c>
      <c r="F16" s="13">
        <f>ATODecayCurves!F21</f>
        <v>0.9</v>
      </c>
      <c r="G16" s="13">
        <f>ATODecayCurves!G21</f>
        <v>0.8</v>
      </c>
    </row>
    <row r="17" spans="2:7" x14ac:dyDescent="0.25">
      <c r="B17" s="14">
        <f>ATODecayCurves!B22</f>
        <v>13</v>
      </c>
      <c r="C17" s="13">
        <f>ATODecayCurves!C22</f>
        <v>0.90010000000000001</v>
      </c>
      <c r="D17" s="13">
        <f>ATODecayCurves!D22</f>
        <v>0.94</v>
      </c>
      <c r="E17" s="13">
        <f>ATODecayCurves!E22</f>
        <v>0</v>
      </c>
      <c r="F17" s="13">
        <f>ATODecayCurves!F22</f>
        <v>0.85</v>
      </c>
      <c r="G17" s="13">
        <f>ATODecayCurves!G22</f>
        <v>0.7</v>
      </c>
    </row>
    <row r="18" spans="2:7" x14ac:dyDescent="0.25">
      <c r="B18" s="14">
        <f>ATODecayCurves!B23</f>
        <v>14</v>
      </c>
      <c r="C18" s="13">
        <f>ATODecayCurves!C23</f>
        <v>0.86680000000000001</v>
      </c>
      <c r="D18" s="13">
        <f>ATODecayCurves!D23</f>
        <v>0.92</v>
      </c>
      <c r="E18" s="13">
        <f>ATODecayCurves!E23</f>
        <v>0</v>
      </c>
      <c r="F18" s="13">
        <f>ATODecayCurves!F23</f>
        <v>0.8</v>
      </c>
      <c r="G18" s="13">
        <f>ATODecayCurves!G23</f>
        <v>0.6</v>
      </c>
    </row>
    <row r="19" spans="2:7" x14ac:dyDescent="0.25">
      <c r="B19" s="14">
        <f>ATODecayCurves!B24</f>
        <v>15</v>
      </c>
      <c r="C19" s="13">
        <f>ATODecayCurves!C24</f>
        <v>0.83350000000000002</v>
      </c>
      <c r="D19" s="13">
        <f>ATODecayCurves!D24</f>
        <v>0.9</v>
      </c>
      <c r="E19" s="13">
        <f>ATODecayCurves!E24</f>
        <v>0</v>
      </c>
      <c r="F19" s="13">
        <f>ATODecayCurves!F24</f>
        <v>0.75</v>
      </c>
      <c r="G19" s="13">
        <f>ATODecayCurves!G24</f>
        <v>0.5</v>
      </c>
    </row>
    <row r="20" spans="2:7" x14ac:dyDescent="0.25">
      <c r="B20" s="14">
        <f>ATODecayCurves!B25</f>
        <v>16</v>
      </c>
      <c r="C20" s="13">
        <f>ATODecayCurves!C25</f>
        <v>0.80020000000000002</v>
      </c>
      <c r="D20" s="13">
        <f>ATODecayCurves!D25</f>
        <v>0.88</v>
      </c>
      <c r="E20" s="13">
        <f>ATODecayCurves!E25</f>
        <v>0</v>
      </c>
      <c r="F20" s="13">
        <f>ATODecayCurves!F25</f>
        <v>0.7</v>
      </c>
      <c r="G20" s="13">
        <f>ATODecayCurves!G25</f>
        <v>0.4</v>
      </c>
    </row>
    <row r="21" spans="2:7" x14ac:dyDescent="0.25">
      <c r="B21" s="14">
        <f>ATODecayCurves!B26</f>
        <v>17</v>
      </c>
      <c r="C21" s="13">
        <f>ATODecayCurves!C26</f>
        <v>0.76690000000000003</v>
      </c>
      <c r="D21" s="13">
        <f>ATODecayCurves!D26</f>
        <v>0.86</v>
      </c>
      <c r="E21" s="13">
        <f>ATODecayCurves!E26</f>
        <v>0</v>
      </c>
      <c r="F21" s="13">
        <f>ATODecayCurves!F26</f>
        <v>0.65</v>
      </c>
      <c r="G21" s="13">
        <f>ATODecayCurves!G26</f>
        <v>0.3</v>
      </c>
    </row>
    <row r="22" spans="2:7" x14ac:dyDescent="0.25">
      <c r="B22" s="14">
        <f>ATODecayCurves!B27</f>
        <v>18</v>
      </c>
      <c r="C22" s="13">
        <f>ATODecayCurves!C27</f>
        <v>0.73360000000000003</v>
      </c>
      <c r="D22" s="13">
        <f>ATODecayCurves!D27</f>
        <v>0.84</v>
      </c>
      <c r="E22" s="13">
        <f>ATODecayCurves!E27</f>
        <v>0</v>
      </c>
      <c r="F22" s="13">
        <f>ATODecayCurves!F27</f>
        <v>0.6</v>
      </c>
      <c r="G22" s="13">
        <f>ATODecayCurves!G27</f>
        <v>0.2</v>
      </c>
    </row>
    <row r="23" spans="2:7" x14ac:dyDescent="0.25">
      <c r="B23" s="14">
        <f>ATODecayCurves!B28</f>
        <v>19</v>
      </c>
      <c r="C23" s="13">
        <f>ATODecayCurves!C28</f>
        <v>0.70030000000000003</v>
      </c>
      <c r="D23" s="13">
        <f>ATODecayCurves!D28</f>
        <v>0.82</v>
      </c>
      <c r="E23" s="13">
        <f>ATODecayCurves!E28</f>
        <v>0</v>
      </c>
      <c r="F23" s="13">
        <f>ATODecayCurves!F28</f>
        <v>0.55000000000000004</v>
      </c>
      <c r="G23" s="13">
        <f>ATODecayCurves!G28</f>
        <v>0.1</v>
      </c>
    </row>
    <row r="24" spans="2:7" x14ac:dyDescent="0.25">
      <c r="B24" s="14">
        <f>ATODecayCurves!B29</f>
        <v>19.9999</v>
      </c>
      <c r="C24" s="13">
        <f>ATODecayCurves!C29</f>
        <v>0.66700000000000004</v>
      </c>
      <c r="D24" s="13">
        <f>ATODecayCurves!D29</f>
        <v>0.8</v>
      </c>
      <c r="E24" s="13">
        <f>ATODecayCurves!E29</f>
        <v>0</v>
      </c>
      <c r="F24" s="13">
        <f>ATODecayCurves!F29</f>
        <v>0.5</v>
      </c>
      <c r="G24" s="13">
        <f>ATODecayCurves!G29</f>
        <v>0</v>
      </c>
    </row>
    <row r="25" spans="2:7" x14ac:dyDescent="0.25">
      <c r="B25" s="14">
        <f>ATODecayCurves!B30</f>
        <v>20</v>
      </c>
      <c r="C25" s="13">
        <f>ATODecayCurves!C30</f>
        <v>0.66700000000000004</v>
      </c>
      <c r="D25" s="13">
        <f>ATODecayCurves!D30</f>
        <v>0.8</v>
      </c>
      <c r="E25" s="13">
        <f>ATODecayCurves!E30</f>
        <v>0.4</v>
      </c>
      <c r="F25" s="13">
        <f>ATODecayCurves!F30</f>
        <v>0.5</v>
      </c>
      <c r="G25" s="13">
        <f>ATODecayCurves!G30</f>
        <v>0</v>
      </c>
    </row>
    <row r="26" spans="2:7" x14ac:dyDescent="0.25">
      <c r="B26" s="14">
        <f>ATODecayCurves!B31</f>
        <v>21</v>
      </c>
      <c r="C26" s="13">
        <f>ATODecayCurves!C31</f>
        <v>0.63370000000000004</v>
      </c>
      <c r="D26" s="13">
        <f>ATODecayCurves!D31</f>
        <v>0.78</v>
      </c>
      <c r="E26" s="13">
        <f>ATODecayCurves!E31</f>
        <v>0.39</v>
      </c>
      <c r="F26" s="13">
        <f>ATODecayCurves!F31</f>
        <v>0.45</v>
      </c>
      <c r="G26" s="13">
        <f>ATODecayCurves!G31</f>
        <v>0</v>
      </c>
    </row>
    <row r="27" spans="2:7" x14ac:dyDescent="0.25">
      <c r="B27" s="14">
        <f>ATODecayCurves!B32</f>
        <v>22</v>
      </c>
      <c r="C27" s="13">
        <f>ATODecayCurves!C32</f>
        <v>0.60040000000000004</v>
      </c>
      <c r="D27" s="13">
        <f>ATODecayCurves!D32</f>
        <v>0.76</v>
      </c>
      <c r="E27" s="13">
        <f>ATODecayCurves!E32</f>
        <v>0.38</v>
      </c>
      <c r="F27" s="13">
        <f>ATODecayCurves!F32</f>
        <v>0.4</v>
      </c>
      <c r="G27" s="13">
        <f>ATODecayCurves!G32</f>
        <v>0</v>
      </c>
    </row>
    <row r="28" spans="2:7" x14ac:dyDescent="0.25">
      <c r="B28" s="14">
        <f>ATODecayCurves!B33</f>
        <v>23</v>
      </c>
      <c r="C28" s="13">
        <f>ATODecayCurves!C33</f>
        <v>0.56710000000000005</v>
      </c>
      <c r="D28" s="13">
        <f>ATODecayCurves!D33</f>
        <v>0.74</v>
      </c>
      <c r="E28" s="13">
        <f>ATODecayCurves!E33</f>
        <v>0.37</v>
      </c>
      <c r="F28" s="13">
        <f>ATODecayCurves!F33</f>
        <v>0.35</v>
      </c>
      <c r="G28" s="13">
        <f>ATODecayCurves!G33</f>
        <v>0</v>
      </c>
    </row>
    <row r="29" spans="2:7" x14ac:dyDescent="0.25">
      <c r="B29" s="14">
        <f>ATODecayCurves!B34</f>
        <v>24</v>
      </c>
      <c r="C29" s="13">
        <f>ATODecayCurves!C34</f>
        <v>0.53380000000000005</v>
      </c>
      <c r="D29" s="13">
        <f>ATODecayCurves!D34</f>
        <v>0.72</v>
      </c>
      <c r="E29" s="13">
        <f>ATODecayCurves!E34</f>
        <v>0.36</v>
      </c>
      <c r="F29" s="13">
        <f>ATODecayCurves!F34</f>
        <v>0.3</v>
      </c>
      <c r="G29" s="13">
        <f>ATODecayCurves!G34</f>
        <v>0</v>
      </c>
    </row>
    <row r="30" spans="2:7" x14ac:dyDescent="0.25">
      <c r="B30" s="14">
        <f>ATODecayCurves!B35</f>
        <v>25</v>
      </c>
      <c r="C30" s="13">
        <f>ATODecayCurves!C35</f>
        <v>0.50049999999999994</v>
      </c>
      <c r="D30" s="13">
        <f>ATODecayCurves!D35</f>
        <v>0.7</v>
      </c>
      <c r="E30" s="13">
        <f>ATODecayCurves!E35</f>
        <v>0.35</v>
      </c>
      <c r="F30" s="13">
        <f>ATODecayCurves!F35</f>
        <v>0.25</v>
      </c>
      <c r="G30" s="13">
        <f>ATODecayCurves!G35</f>
        <v>0</v>
      </c>
    </row>
    <row r="31" spans="2:7" x14ac:dyDescent="0.25">
      <c r="B31" s="14">
        <f>ATODecayCurves!B36</f>
        <v>26</v>
      </c>
      <c r="C31" s="13">
        <f>ATODecayCurves!C36</f>
        <v>0.4672</v>
      </c>
      <c r="D31" s="13">
        <f>ATODecayCurves!D36</f>
        <v>0.68</v>
      </c>
      <c r="E31" s="13">
        <f>ATODecayCurves!E36</f>
        <v>0.34</v>
      </c>
      <c r="F31" s="13">
        <f>ATODecayCurves!F36</f>
        <v>0.2</v>
      </c>
      <c r="G31" s="13">
        <f>ATODecayCurves!G36</f>
        <v>0</v>
      </c>
    </row>
    <row r="32" spans="2:7" x14ac:dyDescent="0.25">
      <c r="B32" s="14">
        <f>ATODecayCurves!B37</f>
        <v>27</v>
      </c>
      <c r="C32" s="13">
        <f>ATODecayCurves!C37</f>
        <v>0.43390000000000001</v>
      </c>
      <c r="D32" s="13">
        <f>ATODecayCurves!D37</f>
        <v>0.66</v>
      </c>
      <c r="E32" s="13">
        <f>ATODecayCurves!E37</f>
        <v>0.33</v>
      </c>
      <c r="F32" s="13">
        <f>ATODecayCurves!F37</f>
        <v>0.15</v>
      </c>
      <c r="G32" s="13">
        <f>ATODecayCurves!G37</f>
        <v>0</v>
      </c>
    </row>
    <row r="33" spans="2:7" x14ac:dyDescent="0.25">
      <c r="B33" s="14">
        <f>ATODecayCurves!B38</f>
        <v>28</v>
      </c>
      <c r="C33" s="13">
        <f>ATODecayCurves!C38</f>
        <v>0.40060000000000001</v>
      </c>
      <c r="D33" s="13">
        <f>ATODecayCurves!D38</f>
        <v>0.64</v>
      </c>
      <c r="E33" s="13">
        <f>ATODecayCurves!E38</f>
        <v>0.32</v>
      </c>
      <c r="F33" s="13">
        <f>ATODecayCurves!F38</f>
        <v>0.1</v>
      </c>
      <c r="G33" s="13">
        <f>ATODecayCurves!G38</f>
        <v>0</v>
      </c>
    </row>
    <row r="34" spans="2:7" x14ac:dyDescent="0.25">
      <c r="B34" s="14">
        <f>ATODecayCurves!B39</f>
        <v>29</v>
      </c>
      <c r="C34" s="13">
        <f>ATODecayCurves!C39</f>
        <v>0.36730000000000002</v>
      </c>
      <c r="D34" s="13">
        <f>ATODecayCurves!D39</f>
        <v>0.62</v>
      </c>
      <c r="E34" s="13">
        <f>ATODecayCurves!E39</f>
        <v>0.31</v>
      </c>
      <c r="F34" s="13">
        <f>ATODecayCurves!F39</f>
        <v>0.05</v>
      </c>
      <c r="G34" s="13">
        <f>ATODecayCurves!G39</f>
        <v>0</v>
      </c>
    </row>
    <row r="35" spans="2:7" x14ac:dyDescent="0.25">
      <c r="B35" s="14">
        <f>ATODecayCurves!B40</f>
        <v>30</v>
      </c>
      <c r="C35" s="13">
        <f>ATODecayCurves!C40</f>
        <v>0.33400000000000002</v>
      </c>
      <c r="D35" s="13">
        <f>ATODecayCurves!D40</f>
        <v>0.6</v>
      </c>
      <c r="E35" s="13">
        <f>ATODecayCurves!E40</f>
        <v>0.3</v>
      </c>
      <c r="F35" s="13">
        <f>ATODecayCurves!F40</f>
        <v>0</v>
      </c>
      <c r="G35" s="13">
        <f>ATODecayCurves!G40</f>
        <v>0</v>
      </c>
    </row>
    <row r="36" spans="2:7" x14ac:dyDescent="0.25">
      <c r="B36" s="14">
        <f>ATODecayCurves!B41</f>
        <v>31</v>
      </c>
      <c r="C36" s="13">
        <f>ATODecayCurves!C41</f>
        <v>0.30070000000000002</v>
      </c>
      <c r="D36" s="13">
        <f>ATODecayCurves!D41</f>
        <v>0.57999999999999996</v>
      </c>
      <c r="E36" s="13">
        <f>ATODecayCurves!E41</f>
        <v>0.28999999999999998</v>
      </c>
      <c r="F36" s="13">
        <f>ATODecayCurves!F41</f>
        <v>0</v>
      </c>
      <c r="G36" s="13">
        <f>ATODecayCurves!G41</f>
        <v>0</v>
      </c>
    </row>
    <row r="37" spans="2:7" x14ac:dyDescent="0.25">
      <c r="B37" s="14">
        <f>ATODecayCurves!B42</f>
        <v>32</v>
      </c>
      <c r="C37" s="13">
        <f>ATODecayCurves!C42</f>
        <v>0.26740000000000003</v>
      </c>
      <c r="D37" s="13">
        <f>ATODecayCurves!D42</f>
        <v>0.56000000000000005</v>
      </c>
      <c r="E37" s="13">
        <f>ATODecayCurves!E42</f>
        <v>0.28000000000000003</v>
      </c>
      <c r="F37" s="13">
        <f>ATODecayCurves!F42</f>
        <v>0</v>
      </c>
      <c r="G37" s="13">
        <f>ATODecayCurves!G42</f>
        <v>0</v>
      </c>
    </row>
    <row r="38" spans="2:7" x14ac:dyDescent="0.25">
      <c r="B38" s="14">
        <f>ATODecayCurves!B43</f>
        <v>33</v>
      </c>
      <c r="C38" s="13">
        <f>ATODecayCurves!C43</f>
        <v>0.2341</v>
      </c>
      <c r="D38" s="13">
        <f>ATODecayCurves!D43</f>
        <v>0.54</v>
      </c>
      <c r="E38" s="13">
        <f>ATODecayCurves!E43</f>
        <v>0.27</v>
      </c>
      <c r="F38" s="13">
        <f>ATODecayCurves!F43</f>
        <v>0</v>
      </c>
      <c r="G38" s="13">
        <f>ATODecayCurves!G43</f>
        <v>0</v>
      </c>
    </row>
    <row r="39" spans="2:7" x14ac:dyDescent="0.25">
      <c r="B39" s="14">
        <f>ATODecayCurves!B44</f>
        <v>34</v>
      </c>
      <c r="C39" s="13">
        <f>ATODecayCurves!C44</f>
        <v>0.20080000000000001</v>
      </c>
      <c r="D39" s="13">
        <f>ATODecayCurves!D44</f>
        <v>0.52</v>
      </c>
      <c r="E39" s="13">
        <f>ATODecayCurves!E44</f>
        <v>0.26</v>
      </c>
      <c r="F39" s="13">
        <f>ATODecayCurves!F44</f>
        <v>0</v>
      </c>
      <c r="G39" s="13">
        <f>ATODecayCurves!G44</f>
        <v>0</v>
      </c>
    </row>
    <row r="40" spans="2:7" x14ac:dyDescent="0.25">
      <c r="B40" s="14">
        <f>ATODecayCurves!B45</f>
        <v>35</v>
      </c>
      <c r="C40" s="13">
        <f>ATODecayCurves!C45</f>
        <v>0.16750000000000001</v>
      </c>
      <c r="D40" s="13">
        <f>ATODecayCurves!D45</f>
        <v>0.5</v>
      </c>
      <c r="E40" s="13">
        <f>ATODecayCurves!E45</f>
        <v>0.25</v>
      </c>
      <c r="F40" s="13">
        <f>ATODecayCurves!F45</f>
        <v>0</v>
      </c>
      <c r="G40" s="13">
        <f>ATODecayCurves!G45</f>
        <v>0</v>
      </c>
    </row>
    <row r="41" spans="2:7" x14ac:dyDescent="0.25">
      <c r="B41" s="14">
        <f>ATODecayCurves!B46</f>
        <v>36</v>
      </c>
      <c r="C41" s="13">
        <f>ATODecayCurves!C46</f>
        <v>0.13420000000000001</v>
      </c>
      <c r="D41" s="13">
        <f>ATODecayCurves!D46</f>
        <v>0.48</v>
      </c>
      <c r="E41" s="13">
        <f>ATODecayCurves!E46</f>
        <v>0.24</v>
      </c>
      <c r="F41" s="13">
        <f>ATODecayCurves!F46</f>
        <v>0</v>
      </c>
      <c r="G41" s="13">
        <f>ATODecayCurves!G46</f>
        <v>0</v>
      </c>
    </row>
    <row r="42" spans="2:7" x14ac:dyDescent="0.25">
      <c r="B42" s="14">
        <f>ATODecayCurves!B47</f>
        <v>37</v>
      </c>
      <c r="C42" s="13">
        <f>ATODecayCurves!C47</f>
        <v>0.1009</v>
      </c>
      <c r="D42" s="13">
        <f>ATODecayCurves!D47</f>
        <v>0.46</v>
      </c>
      <c r="E42" s="13">
        <f>ATODecayCurves!E47</f>
        <v>0.23</v>
      </c>
      <c r="F42" s="13">
        <f>ATODecayCurves!F47</f>
        <v>0</v>
      </c>
      <c r="G42" s="13">
        <f>ATODecayCurves!G47</f>
        <v>0</v>
      </c>
    </row>
    <row r="43" spans="2:7" x14ac:dyDescent="0.25">
      <c r="B43" s="14">
        <f>ATODecayCurves!B48</f>
        <v>38</v>
      </c>
      <c r="C43" s="13">
        <f>ATODecayCurves!C48</f>
        <v>6.7599999999999993E-2</v>
      </c>
      <c r="D43" s="13">
        <f>ATODecayCurves!D48</f>
        <v>0.44</v>
      </c>
      <c r="E43" s="13">
        <f>ATODecayCurves!E48</f>
        <v>0.22</v>
      </c>
      <c r="F43" s="13">
        <f>ATODecayCurves!F48</f>
        <v>0</v>
      </c>
      <c r="G43" s="13">
        <f>ATODecayCurves!G48</f>
        <v>0</v>
      </c>
    </row>
    <row r="44" spans="2:7" x14ac:dyDescent="0.25">
      <c r="B44" s="14">
        <f>ATODecayCurves!B49</f>
        <v>39</v>
      </c>
      <c r="C44" s="13">
        <f>ATODecayCurves!C49</f>
        <v>3.4299999999999997E-2</v>
      </c>
      <c r="D44" s="13">
        <f>ATODecayCurves!D49</f>
        <v>0.42</v>
      </c>
      <c r="E44" s="13">
        <f>ATODecayCurves!E49</f>
        <v>0.21</v>
      </c>
      <c r="F44" s="13">
        <f>ATODecayCurves!F49</f>
        <v>0</v>
      </c>
      <c r="G44" s="13">
        <f>ATODecayCurves!G49</f>
        <v>0</v>
      </c>
    </row>
    <row r="45" spans="2:7" x14ac:dyDescent="0.25">
      <c r="B45" s="14">
        <f>ATODecayCurves!B50</f>
        <v>40</v>
      </c>
      <c r="C45" s="13">
        <f>ATODecayCurves!C50</f>
        <v>0</v>
      </c>
      <c r="D45" s="13">
        <f>ATODecayCurves!D50</f>
        <v>0.4</v>
      </c>
      <c r="E45" s="13">
        <f>ATODecayCurves!E50</f>
        <v>0.2</v>
      </c>
      <c r="F45" s="13">
        <f>ATODecayCurves!F50</f>
        <v>0</v>
      </c>
      <c r="G45" s="13">
        <f>ATODecayCurves!G50</f>
        <v>0</v>
      </c>
    </row>
    <row r="46" spans="2:7" x14ac:dyDescent="0.25">
      <c r="B46" s="14">
        <f>ATODecayCurves!B51</f>
        <v>41</v>
      </c>
      <c r="C46" s="13">
        <f>ATODecayCurves!C51</f>
        <v>0</v>
      </c>
      <c r="D46" s="13">
        <f>ATODecayCurves!D51</f>
        <v>0.38</v>
      </c>
      <c r="E46" s="13">
        <f>ATODecayCurves!E51</f>
        <v>0.19</v>
      </c>
      <c r="F46" s="13">
        <f>ATODecayCurves!F51</f>
        <v>0</v>
      </c>
      <c r="G46" s="13">
        <f>ATODecayCurves!G51</f>
        <v>0</v>
      </c>
    </row>
    <row r="47" spans="2:7" x14ac:dyDescent="0.25">
      <c r="B47" s="14">
        <f>ATODecayCurves!B52</f>
        <v>42</v>
      </c>
      <c r="C47" s="13">
        <f>ATODecayCurves!C52</f>
        <v>0</v>
      </c>
      <c r="D47" s="13">
        <f>ATODecayCurves!D52</f>
        <v>0.36</v>
      </c>
      <c r="E47" s="13">
        <f>ATODecayCurves!E52</f>
        <v>0.18</v>
      </c>
      <c r="F47" s="13">
        <f>ATODecayCurves!F52</f>
        <v>0</v>
      </c>
      <c r="G47" s="13">
        <f>ATODecayCurves!G52</f>
        <v>0</v>
      </c>
    </row>
    <row r="48" spans="2:7" x14ac:dyDescent="0.25">
      <c r="B48" s="14">
        <f>ATODecayCurves!B53</f>
        <v>43</v>
      </c>
      <c r="C48" s="13">
        <f>ATODecayCurves!C53</f>
        <v>0</v>
      </c>
      <c r="D48" s="13">
        <f>ATODecayCurves!D53</f>
        <v>0.34</v>
      </c>
      <c r="E48" s="13">
        <f>ATODecayCurves!E53</f>
        <v>0.17</v>
      </c>
      <c r="F48" s="13">
        <f>ATODecayCurves!F53</f>
        <v>0</v>
      </c>
      <c r="G48" s="13">
        <f>ATODecayCurves!G53</f>
        <v>0</v>
      </c>
    </row>
    <row r="49" spans="2:7" x14ac:dyDescent="0.25">
      <c r="B49" s="14">
        <f>ATODecayCurves!B54</f>
        <v>44</v>
      </c>
      <c r="C49" s="13">
        <f>ATODecayCurves!C54</f>
        <v>0</v>
      </c>
      <c r="D49" s="13">
        <f>ATODecayCurves!D54</f>
        <v>0.32</v>
      </c>
      <c r="E49" s="13">
        <f>ATODecayCurves!E54</f>
        <v>0.16</v>
      </c>
      <c r="F49" s="13">
        <f>ATODecayCurves!F54</f>
        <v>0</v>
      </c>
      <c r="G49" s="13">
        <f>ATODecayCurves!G54</f>
        <v>0</v>
      </c>
    </row>
    <row r="50" spans="2:7" x14ac:dyDescent="0.25">
      <c r="B50" s="14">
        <f>ATODecayCurves!B55</f>
        <v>45</v>
      </c>
      <c r="C50" s="13">
        <f>ATODecayCurves!C55</f>
        <v>0</v>
      </c>
      <c r="D50" s="13">
        <f>ATODecayCurves!D55</f>
        <v>0.3</v>
      </c>
      <c r="E50" s="13">
        <f>ATODecayCurves!E55</f>
        <v>0.15</v>
      </c>
      <c r="F50" s="13">
        <f>ATODecayCurves!F55</f>
        <v>0</v>
      </c>
      <c r="G50" s="13">
        <f>ATODecayCurves!G55</f>
        <v>0</v>
      </c>
    </row>
    <row r="51" spans="2:7" x14ac:dyDescent="0.25">
      <c r="B51" s="14">
        <f>ATODecayCurves!B56</f>
        <v>46</v>
      </c>
      <c r="C51" s="13">
        <f>ATODecayCurves!C56</f>
        <v>0</v>
      </c>
      <c r="D51" s="13">
        <f>ATODecayCurves!D56</f>
        <v>0.28000000000000003</v>
      </c>
      <c r="E51" s="13">
        <f>ATODecayCurves!E56</f>
        <v>0.14000000000000001</v>
      </c>
      <c r="F51" s="13">
        <f>ATODecayCurves!F56</f>
        <v>0</v>
      </c>
      <c r="G51" s="13">
        <f>ATODecayCurves!G56</f>
        <v>0</v>
      </c>
    </row>
    <row r="52" spans="2:7" x14ac:dyDescent="0.25">
      <c r="B52" s="14">
        <f>ATODecayCurves!B57</f>
        <v>47</v>
      </c>
      <c r="C52" s="13">
        <f>ATODecayCurves!C57</f>
        <v>0</v>
      </c>
      <c r="D52" s="13">
        <f>ATODecayCurves!D57</f>
        <v>0.26</v>
      </c>
      <c r="E52" s="13">
        <f>ATODecayCurves!E57</f>
        <v>0.13</v>
      </c>
      <c r="F52" s="13">
        <f>ATODecayCurves!F57</f>
        <v>0</v>
      </c>
      <c r="G52" s="13">
        <f>ATODecayCurves!G57</f>
        <v>0</v>
      </c>
    </row>
    <row r="53" spans="2:7" x14ac:dyDescent="0.25">
      <c r="B53" s="14">
        <f>ATODecayCurves!B58</f>
        <v>48</v>
      </c>
      <c r="C53" s="13">
        <f>ATODecayCurves!C58</f>
        <v>0</v>
      </c>
      <c r="D53" s="13">
        <f>ATODecayCurves!D58</f>
        <v>0.24</v>
      </c>
      <c r="E53" s="13">
        <f>ATODecayCurves!E58</f>
        <v>0.12</v>
      </c>
      <c r="F53" s="13">
        <f>ATODecayCurves!F58</f>
        <v>0</v>
      </c>
      <c r="G53" s="13">
        <f>ATODecayCurves!G58</f>
        <v>0</v>
      </c>
    </row>
    <row r="54" spans="2:7" x14ac:dyDescent="0.25">
      <c r="B54" s="14">
        <f>ATODecayCurves!B59</f>
        <v>49</v>
      </c>
      <c r="C54" s="13">
        <f>ATODecayCurves!C59</f>
        <v>0</v>
      </c>
      <c r="D54" s="13">
        <f>ATODecayCurves!D59</f>
        <v>0.22</v>
      </c>
      <c r="E54" s="13">
        <f>ATODecayCurves!E59</f>
        <v>0.11</v>
      </c>
      <c r="F54" s="13">
        <f>ATODecayCurves!F59</f>
        <v>0</v>
      </c>
      <c r="G54" s="13">
        <f>ATODecayCurves!G59</f>
        <v>0</v>
      </c>
    </row>
    <row r="55" spans="2:7" x14ac:dyDescent="0.25">
      <c r="B55" s="14">
        <f>ATODecayCurves!B60</f>
        <v>50</v>
      </c>
      <c r="C55" s="13">
        <f>ATODecayCurves!C60</f>
        <v>0</v>
      </c>
      <c r="D55" s="13">
        <f>ATODecayCurves!D60</f>
        <v>0.2</v>
      </c>
      <c r="E55" s="13">
        <f>ATODecayCurves!E60</f>
        <v>0.1</v>
      </c>
      <c r="F55" s="13">
        <f>ATODecayCurves!F60</f>
        <v>0</v>
      </c>
      <c r="G55" s="13">
        <f>ATODecayCurves!G60</f>
        <v>0</v>
      </c>
    </row>
    <row r="56" spans="2:7" x14ac:dyDescent="0.25">
      <c r="B56" s="14">
        <f>ATODecayCurves!B61</f>
        <v>51</v>
      </c>
      <c r="C56" s="13">
        <f>ATODecayCurves!C61</f>
        <v>0</v>
      </c>
      <c r="D56" s="13">
        <f>ATODecayCurves!D61</f>
        <v>0.18</v>
      </c>
      <c r="E56" s="13">
        <f>ATODecayCurves!E61</f>
        <v>0.09</v>
      </c>
      <c r="F56" s="13">
        <f>ATODecayCurves!F61</f>
        <v>0</v>
      </c>
      <c r="G56" s="13">
        <f>ATODecayCurves!G61</f>
        <v>0</v>
      </c>
    </row>
    <row r="57" spans="2:7" x14ac:dyDescent="0.25">
      <c r="B57" s="14">
        <f>ATODecayCurves!B62</f>
        <v>52</v>
      </c>
      <c r="C57" s="13">
        <f>ATODecayCurves!C62</f>
        <v>0</v>
      </c>
      <c r="D57" s="13">
        <f>ATODecayCurves!D62</f>
        <v>0.16</v>
      </c>
      <c r="E57" s="13">
        <f>ATODecayCurves!E62</f>
        <v>0.08</v>
      </c>
      <c r="F57" s="13">
        <f>ATODecayCurves!F62</f>
        <v>0</v>
      </c>
      <c r="G57" s="13">
        <f>ATODecayCurves!G62</f>
        <v>0</v>
      </c>
    </row>
    <row r="58" spans="2:7" x14ac:dyDescent="0.25">
      <c r="B58" s="14">
        <f>ATODecayCurves!B63</f>
        <v>53</v>
      </c>
      <c r="C58" s="13">
        <f>ATODecayCurves!C63</f>
        <v>0</v>
      </c>
      <c r="D58" s="13">
        <f>ATODecayCurves!D63</f>
        <v>0.14000000000000001</v>
      </c>
      <c r="E58" s="13">
        <f>ATODecayCurves!E63</f>
        <v>7.0000000000000007E-2</v>
      </c>
      <c r="F58" s="13">
        <f>ATODecayCurves!F63</f>
        <v>0</v>
      </c>
      <c r="G58" s="13">
        <f>ATODecayCurves!G63</f>
        <v>0</v>
      </c>
    </row>
    <row r="59" spans="2:7" x14ac:dyDescent="0.25">
      <c r="B59" s="14">
        <f>ATODecayCurves!B64</f>
        <v>54</v>
      </c>
      <c r="C59" s="13">
        <f>ATODecayCurves!C64</f>
        <v>0</v>
      </c>
      <c r="D59" s="13">
        <f>ATODecayCurves!D64</f>
        <v>0.12</v>
      </c>
      <c r="E59" s="13">
        <f>ATODecayCurves!E64</f>
        <v>0.06</v>
      </c>
      <c r="F59" s="13">
        <f>ATODecayCurves!F64</f>
        <v>0</v>
      </c>
      <c r="G59" s="13">
        <f>ATODecayCurves!G64</f>
        <v>0</v>
      </c>
    </row>
    <row r="60" spans="2:7" x14ac:dyDescent="0.25">
      <c r="B60" s="14">
        <f>ATODecayCurves!B65</f>
        <v>55</v>
      </c>
      <c r="C60" s="13">
        <f>ATODecayCurves!C65</f>
        <v>0</v>
      </c>
      <c r="D60" s="13">
        <f>ATODecayCurves!D65</f>
        <v>0.1</v>
      </c>
      <c r="E60" s="13">
        <f>ATODecayCurves!E65</f>
        <v>0.05</v>
      </c>
      <c r="F60" s="13">
        <f>ATODecayCurves!F65</f>
        <v>0</v>
      </c>
      <c r="G60" s="13">
        <f>ATODecayCurves!G65</f>
        <v>0</v>
      </c>
    </row>
    <row r="61" spans="2:7" x14ac:dyDescent="0.25">
      <c r="B61" s="14">
        <f>ATODecayCurves!B66</f>
        <v>56</v>
      </c>
      <c r="C61" s="13">
        <f>ATODecayCurves!C66</f>
        <v>0</v>
      </c>
      <c r="D61" s="13">
        <f>ATODecayCurves!D66</f>
        <v>0.08</v>
      </c>
      <c r="E61" s="13">
        <f>ATODecayCurves!E66</f>
        <v>0.04</v>
      </c>
      <c r="F61" s="13">
        <f>ATODecayCurves!F66</f>
        <v>0</v>
      </c>
      <c r="G61" s="13">
        <f>ATODecayCurves!G66</f>
        <v>0</v>
      </c>
    </row>
    <row r="62" spans="2:7" x14ac:dyDescent="0.25">
      <c r="B62" s="14">
        <f>ATODecayCurves!B67</f>
        <v>57</v>
      </c>
      <c r="C62" s="13">
        <f>ATODecayCurves!C67</f>
        <v>0</v>
      </c>
      <c r="D62" s="13">
        <f>ATODecayCurves!D67</f>
        <v>0.06</v>
      </c>
      <c r="E62" s="13">
        <f>ATODecayCurves!E67</f>
        <v>0.03</v>
      </c>
      <c r="F62" s="13">
        <f>ATODecayCurves!F67</f>
        <v>0</v>
      </c>
      <c r="G62" s="13">
        <f>ATODecayCurves!G67</f>
        <v>0</v>
      </c>
    </row>
    <row r="63" spans="2:7" x14ac:dyDescent="0.25">
      <c r="B63" s="14">
        <f>ATODecayCurves!B68</f>
        <v>58</v>
      </c>
      <c r="C63" s="13">
        <f>ATODecayCurves!C68</f>
        <v>0</v>
      </c>
      <c r="D63" s="13">
        <f>ATODecayCurves!D68</f>
        <v>0.04</v>
      </c>
      <c r="E63" s="13">
        <f>ATODecayCurves!E68</f>
        <v>0.02</v>
      </c>
      <c r="F63" s="13">
        <f>ATODecayCurves!F68</f>
        <v>0</v>
      </c>
      <c r="G63" s="13">
        <f>ATODecayCurves!G68</f>
        <v>0</v>
      </c>
    </row>
    <row r="64" spans="2:7" x14ac:dyDescent="0.25">
      <c r="B64" s="14">
        <f>ATODecayCurves!B69</f>
        <v>59</v>
      </c>
      <c r="C64" s="13">
        <f>ATODecayCurves!C69</f>
        <v>0</v>
      </c>
      <c r="D64" s="13">
        <f>ATODecayCurves!D69</f>
        <v>0.02</v>
      </c>
      <c r="E64" s="13">
        <f>ATODecayCurves!E69</f>
        <v>0.01</v>
      </c>
      <c r="F64" s="13">
        <f>ATODecayCurves!F69</f>
        <v>0</v>
      </c>
      <c r="G64" s="13">
        <f>ATODecayCurves!G69</f>
        <v>0</v>
      </c>
    </row>
    <row r="65" spans="2:7" x14ac:dyDescent="0.25">
      <c r="B65" s="14">
        <f>ATODecayCurves!B70</f>
        <v>60</v>
      </c>
      <c r="C65" s="13">
        <f>ATODecayCurves!C70</f>
        <v>0</v>
      </c>
      <c r="D65" s="13">
        <f>ATODecayCurves!D70</f>
        <v>0</v>
      </c>
      <c r="E65" s="13">
        <f>ATODecayCurves!E70</f>
        <v>0</v>
      </c>
      <c r="F65" s="13">
        <f>ATODecayCurves!F70</f>
        <v>0</v>
      </c>
      <c r="G65" s="13">
        <f>ATODecayCurves!G70</f>
        <v>0</v>
      </c>
    </row>
    <row r="66" spans="2:7" x14ac:dyDescent="0.25">
      <c r="B66" s="14">
        <f>ATODecayCurves!B71</f>
        <v>61</v>
      </c>
      <c r="C66" s="13">
        <f>ATODecayCurves!C71</f>
        <v>0</v>
      </c>
      <c r="D66" s="13">
        <f>ATODecayCurves!D71</f>
        <v>0</v>
      </c>
      <c r="E66" s="13">
        <f>ATODecayCurves!E71</f>
        <v>0</v>
      </c>
      <c r="F66" s="13">
        <f>ATODecayCurves!F71</f>
        <v>0</v>
      </c>
      <c r="G66" s="13">
        <f>ATODecayCurves!G71</f>
        <v>0</v>
      </c>
    </row>
    <row r="67" spans="2:7" x14ac:dyDescent="0.25">
      <c r="B67" s="14">
        <f>ATODecayCurves!B72</f>
        <v>62</v>
      </c>
      <c r="C67" s="13">
        <f>ATODecayCurves!C72</f>
        <v>0</v>
      </c>
      <c r="D67" s="13">
        <f>ATODecayCurves!D72</f>
        <v>0</v>
      </c>
      <c r="E67" s="13">
        <f>ATODecayCurves!E72</f>
        <v>0</v>
      </c>
      <c r="F67" s="13">
        <f>ATODecayCurves!F72</f>
        <v>0</v>
      </c>
      <c r="G67" s="13">
        <f>ATODecayCurves!G72</f>
        <v>0</v>
      </c>
    </row>
    <row r="68" spans="2:7" x14ac:dyDescent="0.25">
      <c r="B68" s="14">
        <f>ATODecayCurves!B73</f>
        <v>63</v>
      </c>
      <c r="C68" s="13">
        <f>ATODecayCurves!C73</f>
        <v>0</v>
      </c>
      <c r="D68" s="13">
        <f>ATODecayCurves!D73</f>
        <v>0</v>
      </c>
      <c r="E68" s="13">
        <f>ATODecayCurves!E73</f>
        <v>0</v>
      </c>
      <c r="F68" s="13">
        <f>ATODecayCurves!F73</f>
        <v>0</v>
      </c>
      <c r="G68" s="13">
        <f>ATODecayCurves!G73</f>
        <v>0</v>
      </c>
    </row>
    <row r="69" spans="2:7" x14ac:dyDescent="0.25">
      <c r="B69" s="14">
        <f>ATODecayCurves!B74</f>
        <v>64</v>
      </c>
      <c r="C69" s="13">
        <f>ATODecayCurves!C74</f>
        <v>0</v>
      </c>
      <c r="D69" s="13">
        <f>ATODecayCurves!D74</f>
        <v>0</v>
      </c>
      <c r="E69" s="13">
        <f>ATODecayCurves!E74</f>
        <v>0</v>
      </c>
      <c r="F69" s="13">
        <f>ATODecayCurves!F74</f>
        <v>0</v>
      </c>
      <c r="G69" s="13">
        <f>ATODecayCurves!G74</f>
        <v>0</v>
      </c>
    </row>
    <row r="70" spans="2:7" x14ac:dyDescent="0.25">
      <c r="B70" s="14">
        <f>ATODecayCurves!B75</f>
        <v>65</v>
      </c>
      <c r="C70" s="13">
        <f>ATODecayCurves!C75</f>
        <v>0</v>
      </c>
      <c r="D70" s="13">
        <f>ATODecayCurves!D75</f>
        <v>0</v>
      </c>
      <c r="E70" s="13">
        <f>ATODecayCurves!E75</f>
        <v>0</v>
      </c>
      <c r="F70" s="13">
        <f>ATODecayCurves!F75</f>
        <v>0</v>
      </c>
      <c r="G70" s="13">
        <f>ATODecayCurves!G75</f>
        <v>0</v>
      </c>
    </row>
    <row r="71" spans="2:7" x14ac:dyDescent="0.25">
      <c r="B71" s="14">
        <f>ATODecayCurves!B76</f>
        <v>66</v>
      </c>
      <c r="C71" s="13">
        <f>ATODecayCurves!C76</f>
        <v>0</v>
      </c>
      <c r="D71" s="13">
        <f>ATODecayCurves!D76</f>
        <v>0</v>
      </c>
      <c r="E71" s="13">
        <f>ATODecayCurves!E76</f>
        <v>0</v>
      </c>
      <c r="F71" s="13">
        <f>ATODecayCurves!F76</f>
        <v>0</v>
      </c>
      <c r="G71" s="13">
        <f>ATODecayCurves!G76</f>
        <v>0</v>
      </c>
    </row>
    <row r="72" spans="2:7" x14ac:dyDescent="0.25">
      <c r="B72" s="14">
        <f>ATODecayCurves!B77</f>
        <v>67</v>
      </c>
      <c r="C72" s="13">
        <f>ATODecayCurves!C77</f>
        <v>0</v>
      </c>
      <c r="D72" s="13">
        <f>ATODecayCurves!D77</f>
        <v>0</v>
      </c>
      <c r="E72" s="13">
        <f>ATODecayCurves!E77</f>
        <v>0</v>
      </c>
      <c r="F72" s="13">
        <f>ATODecayCurves!F77</f>
        <v>0</v>
      </c>
      <c r="G72" s="13">
        <f>ATODecayCurves!G77</f>
        <v>0</v>
      </c>
    </row>
    <row r="73" spans="2:7" x14ac:dyDescent="0.25">
      <c r="B73" s="14">
        <f>ATODecayCurves!B78</f>
        <v>68</v>
      </c>
      <c r="C73" s="13">
        <f>ATODecayCurves!C78</f>
        <v>0</v>
      </c>
      <c r="D73" s="13">
        <f>ATODecayCurves!D78</f>
        <v>0</v>
      </c>
      <c r="E73" s="13">
        <f>ATODecayCurves!E78</f>
        <v>0</v>
      </c>
      <c r="F73" s="13">
        <f>ATODecayCurves!F78</f>
        <v>0</v>
      </c>
      <c r="G73" s="13">
        <f>ATODecayCurves!G78</f>
        <v>0</v>
      </c>
    </row>
    <row r="74" spans="2:7" x14ac:dyDescent="0.25">
      <c r="B74" s="14">
        <f>ATODecayCurves!B79</f>
        <v>69</v>
      </c>
      <c r="C74" s="13">
        <f>ATODecayCurves!C79</f>
        <v>0</v>
      </c>
      <c r="D74" s="13">
        <f>ATODecayCurves!D79</f>
        <v>0</v>
      </c>
      <c r="E74" s="13">
        <f>ATODecayCurves!E79</f>
        <v>0</v>
      </c>
      <c r="F74" s="13">
        <f>ATODecayCurves!F79</f>
        <v>0</v>
      </c>
      <c r="G74" s="13">
        <f>ATODecayCurves!G79</f>
        <v>0</v>
      </c>
    </row>
    <row r="75" spans="2:7" x14ac:dyDescent="0.25">
      <c r="B75" s="14">
        <f>ATODecayCurves!B80</f>
        <v>70</v>
      </c>
      <c r="C75" s="13">
        <f>ATODecayCurves!C80</f>
        <v>0</v>
      </c>
      <c r="D75" s="13">
        <f>ATODecayCurves!D80</f>
        <v>0</v>
      </c>
      <c r="E75" s="13">
        <f>ATODecayCurves!E80</f>
        <v>0</v>
      </c>
      <c r="F75" s="13">
        <f>ATODecayCurves!F80</f>
        <v>0</v>
      </c>
      <c r="G75" s="13">
        <f>ATODecayCurves!G80</f>
        <v>0</v>
      </c>
    </row>
    <row r="76" spans="2:7" x14ac:dyDescent="0.25">
      <c r="B76" s="14">
        <f>ATODecayCurves!B81</f>
        <v>71</v>
      </c>
      <c r="C76" s="13">
        <f>ATODecayCurves!C81</f>
        <v>0</v>
      </c>
      <c r="D76" s="13">
        <f>ATODecayCurves!D81</f>
        <v>0</v>
      </c>
      <c r="E76" s="13">
        <f>ATODecayCurves!E81</f>
        <v>0</v>
      </c>
      <c r="F76" s="13">
        <f>ATODecayCurves!F81</f>
        <v>0</v>
      </c>
      <c r="G76" s="13">
        <f>ATODecayCurves!G81</f>
        <v>0</v>
      </c>
    </row>
    <row r="77" spans="2:7" x14ac:dyDescent="0.25">
      <c r="B77" s="14">
        <f>ATODecayCurves!B82</f>
        <v>72</v>
      </c>
      <c r="C77" s="13">
        <f>ATODecayCurves!C82</f>
        <v>0</v>
      </c>
      <c r="D77" s="13">
        <f>ATODecayCurves!D82</f>
        <v>0</v>
      </c>
      <c r="E77" s="13">
        <f>ATODecayCurves!E82</f>
        <v>0</v>
      </c>
      <c r="F77" s="13">
        <f>ATODecayCurves!F82</f>
        <v>0</v>
      </c>
      <c r="G77" s="13">
        <f>ATODecayCurves!G82</f>
        <v>0</v>
      </c>
    </row>
    <row r="78" spans="2:7" x14ac:dyDescent="0.25">
      <c r="B78" s="14">
        <f>ATODecayCurves!B83</f>
        <v>73</v>
      </c>
      <c r="C78" s="13">
        <f>ATODecayCurves!C83</f>
        <v>0</v>
      </c>
      <c r="D78" s="13">
        <f>ATODecayCurves!D83</f>
        <v>0</v>
      </c>
      <c r="E78" s="13">
        <f>ATODecayCurves!E83</f>
        <v>0</v>
      </c>
      <c r="F78" s="13">
        <f>ATODecayCurves!F83</f>
        <v>0</v>
      </c>
      <c r="G78" s="13">
        <f>ATODecayCurves!G83</f>
        <v>0</v>
      </c>
    </row>
    <row r="79" spans="2:7" x14ac:dyDescent="0.25">
      <c r="B79" s="14">
        <f>ATODecayCurves!B84</f>
        <v>74</v>
      </c>
      <c r="C79" s="13">
        <f>ATODecayCurves!C84</f>
        <v>0</v>
      </c>
      <c r="D79" s="13">
        <f>ATODecayCurves!D84</f>
        <v>0</v>
      </c>
      <c r="E79" s="13">
        <f>ATODecayCurves!E84</f>
        <v>0</v>
      </c>
      <c r="F79" s="13">
        <f>ATODecayCurves!F84</f>
        <v>0</v>
      </c>
      <c r="G79" s="13">
        <f>ATODecayCurves!G84</f>
        <v>0</v>
      </c>
    </row>
    <row r="80" spans="2:7" x14ac:dyDescent="0.25">
      <c r="B80" s="14">
        <f>ATODecayCurves!B85</f>
        <v>75</v>
      </c>
      <c r="C80" s="13">
        <f>ATODecayCurves!C85</f>
        <v>0</v>
      </c>
      <c r="D80" s="13">
        <f>ATODecayCurves!D85</f>
        <v>0</v>
      </c>
      <c r="E80" s="13">
        <f>ATODecayCurves!E85</f>
        <v>0</v>
      </c>
      <c r="F80" s="13">
        <f>ATODecayCurves!F85</f>
        <v>0</v>
      </c>
      <c r="G80" s="13">
        <f>ATODecayCurves!G85</f>
        <v>0</v>
      </c>
    </row>
    <row r="81" spans="2:7" x14ac:dyDescent="0.25">
      <c r="B81" s="14">
        <f>ATODecayCurves!B86</f>
        <v>76</v>
      </c>
      <c r="C81" s="13">
        <f>ATODecayCurves!C86</f>
        <v>0</v>
      </c>
      <c r="D81" s="13">
        <f>ATODecayCurves!D86</f>
        <v>0</v>
      </c>
      <c r="E81" s="13">
        <f>ATODecayCurves!E86</f>
        <v>0</v>
      </c>
      <c r="F81" s="13">
        <f>ATODecayCurves!F86</f>
        <v>0</v>
      </c>
      <c r="G81" s="13">
        <f>ATODecayCurves!G86</f>
        <v>0</v>
      </c>
    </row>
    <row r="82" spans="2:7" x14ac:dyDescent="0.25">
      <c r="B82" s="14">
        <f>ATODecayCurves!B87</f>
        <v>77</v>
      </c>
      <c r="C82" s="13">
        <f>ATODecayCurves!C87</f>
        <v>0</v>
      </c>
      <c r="D82" s="13">
        <f>ATODecayCurves!D87</f>
        <v>0</v>
      </c>
      <c r="E82" s="13">
        <f>ATODecayCurves!E87</f>
        <v>0</v>
      </c>
      <c r="F82" s="13">
        <f>ATODecayCurves!F87</f>
        <v>0</v>
      </c>
      <c r="G82" s="13">
        <f>ATODecayCurves!G87</f>
        <v>0</v>
      </c>
    </row>
    <row r="83" spans="2:7" x14ac:dyDescent="0.25">
      <c r="B83" s="14">
        <f>ATODecayCurves!B88</f>
        <v>78</v>
      </c>
      <c r="C83" s="13">
        <f>ATODecayCurves!C88</f>
        <v>0</v>
      </c>
      <c r="D83" s="13">
        <f>ATODecayCurves!D88</f>
        <v>0</v>
      </c>
      <c r="E83" s="13">
        <f>ATODecayCurves!E88</f>
        <v>0</v>
      </c>
      <c r="F83" s="13">
        <f>ATODecayCurves!F88</f>
        <v>0</v>
      </c>
      <c r="G83" s="13">
        <f>ATODecayCurves!G88</f>
        <v>0</v>
      </c>
    </row>
    <row r="84" spans="2:7" x14ac:dyDescent="0.25">
      <c r="B84" s="14">
        <f>ATODecayCurves!B89</f>
        <v>79</v>
      </c>
      <c r="C84" s="13">
        <f>ATODecayCurves!C89</f>
        <v>0</v>
      </c>
      <c r="D84" s="13">
        <f>ATODecayCurves!D89</f>
        <v>0</v>
      </c>
      <c r="E84" s="13">
        <f>ATODecayCurves!E89</f>
        <v>0</v>
      </c>
      <c r="F84" s="13">
        <f>ATODecayCurves!F89</f>
        <v>0</v>
      </c>
      <c r="G84" s="13">
        <f>ATODecayCurves!G89</f>
        <v>0</v>
      </c>
    </row>
    <row r="85" spans="2:7" x14ac:dyDescent="0.25">
      <c r="B85" s="14">
        <f>ATODecayCurves!B90</f>
        <v>80</v>
      </c>
      <c r="C85" s="13">
        <f>ATODecayCurves!C90</f>
        <v>0</v>
      </c>
      <c r="D85" s="13">
        <f>ATODecayCurves!D90</f>
        <v>0</v>
      </c>
      <c r="E85" s="13">
        <f>ATODecayCurves!E90</f>
        <v>0</v>
      </c>
      <c r="F85" s="13">
        <f>ATODecayCurves!F90</f>
        <v>0</v>
      </c>
      <c r="G85" s="13">
        <f>ATODecayCurves!G90</f>
        <v>0</v>
      </c>
    </row>
    <row r="86" spans="2:7" x14ac:dyDescent="0.25">
      <c r="B86" s="14">
        <f>ATODecayCurves!B91</f>
        <v>81</v>
      </c>
      <c r="C86" s="13">
        <f>ATODecayCurves!C91</f>
        <v>0</v>
      </c>
      <c r="D86" s="13">
        <f>ATODecayCurves!D91</f>
        <v>0</v>
      </c>
      <c r="E86" s="13">
        <f>ATODecayCurves!E91</f>
        <v>0</v>
      </c>
      <c r="F86" s="13">
        <f>ATODecayCurves!F91</f>
        <v>0</v>
      </c>
      <c r="G86" s="13">
        <f>ATODecayCurves!G91</f>
        <v>0</v>
      </c>
    </row>
    <row r="87" spans="2:7" x14ac:dyDescent="0.25">
      <c r="B87" s="14">
        <f>ATODecayCurves!B92</f>
        <v>82</v>
      </c>
      <c r="C87" s="13">
        <f>ATODecayCurves!C92</f>
        <v>0</v>
      </c>
      <c r="D87" s="13">
        <f>ATODecayCurves!D92</f>
        <v>0</v>
      </c>
      <c r="E87" s="13">
        <f>ATODecayCurves!E92</f>
        <v>0</v>
      </c>
      <c r="F87" s="13">
        <f>ATODecayCurves!F92</f>
        <v>0</v>
      </c>
      <c r="G87" s="13">
        <f>ATODecayCurves!G92</f>
        <v>0</v>
      </c>
    </row>
    <row r="88" spans="2:7" x14ac:dyDescent="0.25">
      <c r="B88" s="14">
        <f>ATODecayCurves!B93</f>
        <v>83</v>
      </c>
      <c r="C88" s="13">
        <f>ATODecayCurves!C93</f>
        <v>0</v>
      </c>
      <c r="D88" s="13">
        <f>ATODecayCurves!D93</f>
        <v>0</v>
      </c>
      <c r="E88" s="13">
        <f>ATODecayCurves!E93</f>
        <v>0</v>
      </c>
      <c r="F88" s="13">
        <f>ATODecayCurves!F93</f>
        <v>0</v>
      </c>
      <c r="G88" s="13">
        <f>ATODecayCurves!G93</f>
        <v>0</v>
      </c>
    </row>
    <row r="89" spans="2:7" x14ac:dyDescent="0.25">
      <c r="B89" s="14">
        <f>ATODecayCurves!B94</f>
        <v>84</v>
      </c>
      <c r="C89" s="13">
        <f>ATODecayCurves!C94</f>
        <v>0</v>
      </c>
      <c r="D89" s="13">
        <f>ATODecayCurves!D94</f>
        <v>0</v>
      </c>
      <c r="E89" s="13">
        <f>ATODecayCurves!E94</f>
        <v>0</v>
      </c>
      <c r="F89" s="13">
        <f>ATODecayCurves!F94</f>
        <v>0</v>
      </c>
      <c r="G89" s="13">
        <f>ATODecayCurves!G94</f>
        <v>0</v>
      </c>
    </row>
    <row r="90" spans="2:7" x14ac:dyDescent="0.25">
      <c r="B90" s="14">
        <f>ATODecayCurves!B95</f>
        <v>85</v>
      </c>
      <c r="C90" s="13">
        <f>ATODecayCurves!C95</f>
        <v>0</v>
      </c>
      <c r="D90" s="13">
        <f>ATODecayCurves!D95</f>
        <v>0</v>
      </c>
      <c r="E90" s="13">
        <f>ATODecayCurves!E95</f>
        <v>0</v>
      </c>
      <c r="F90" s="13">
        <f>ATODecayCurves!F95</f>
        <v>0</v>
      </c>
      <c r="G90" s="13">
        <f>ATODecayCurves!G95</f>
        <v>0</v>
      </c>
    </row>
    <row r="91" spans="2:7" x14ac:dyDescent="0.25">
      <c r="B91" s="14">
        <f>ATODecayCurves!B96</f>
        <v>86</v>
      </c>
      <c r="C91" s="13">
        <f>ATODecayCurves!C96</f>
        <v>0</v>
      </c>
      <c r="D91" s="13">
        <f>ATODecayCurves!D96</f>
        <v>0</v>
      </c>
      <c r="E91" s="13">
        <f>ATODecayCurves!E96</f>
        <v>0</v>
      </c>
      <c r="F91" s="13">
        <f>ATODecayCurves!F96</f>
        <v>0</v>
      </c>
      <c r="G91" s="13">
        <f>ATODecayCurves!G96</f>
        <v>0</v>
      </c>
    </row>
    <row r="92" spans="2:7" x14ac:dyDescent="0.25">
      <c r="B92" s="14">
        <f>ATODecayCurves!B97</f>
        <v>87</v>
      </c>
      <c r="C92" s="13">
        <f>ATODecayCurves!C97</f>
        <v>0</v>
      </c>
      <c r="D92" s="13">
        <f>ATODecayCurves!D97</f>
        <v>0</v>
      </c>
      <c r="E92" s="13">
        <f>ATODecayCurves!E97</f>
        <v>0</v>
      </c>
      <c r="F92" s="13">
        <f>ATODecayCurves!F97</f>
        <v>0</v>
      </c>
      <c r="G92" s="13">
        <f>ATODecayCurves!G97</f>
        <v>0</v>
      </c>
    </row>
    <row r="93" spans="2:7" x14ac:dyDescent="0.25">
      <c r="B93" s="14">
        <f>ATODecayCurves!B98</f>
        <v>88</v>
      </c>
      <c r="C93" s="13">
        <f>ATODecayCurves!C98</f>
        <v>0</v>
      </c>
      <c r="D93" s="13">
        <f>ATODecayCurves!D98</f>
        <v>0</v>
      </c>
      <c r="E93" s="13">
        <f>ATODecayCurves!E98</f>
        <v>0</v>
      </c>
      <c r="F93" s="13">
        <f>ATODecayCurves!F98</f>
        <v>0</v>
      </c>
      <c r="G93" s="13">
        <f>ATODecayCurves!G98</f>
        <v>0</v>
      </c>
    </row>
    <row r="94" spans="2:7" x14ac:dyDescent="0.25">
      <c r="B94" s="14">
        <f>ATODecayCurves!B99</f>
        <v>89</v>
      </c>
      <c r="C94" s="13">
        <f>ATODecayCurves!C99</f>
        <v>0</v>
      </c>
      <c r="D94" s="13">
        <f>ATODecayCurves!D99</f>
        <v>0</v>
      </c>
      <c r="E94" s="13">
        <f>ATODecayCurves!E99</f>
        <v>0</v>
      </c>
      <c r="F94" s="13">
        <f>ATODecayCurves!F99</f>
        <v>0</v>
      </c>
      <c r="G94" s="13">
        <f>ATODecayCurves!G99</f>
        <v>0</v>
      </c>
    </row>
    <row r="95" spans="2:7" x14ac:dyDescent="0.25">
      <c r="B95" s="14">
        <f>ATODecayCurves!B100</f>
        <v>90</v>
      </c>
      <c r="C95" s="13">
        <f>ATODecayCurves!C100</f>
        <v>0</v>
      </c>
      <c r="D95" s="13">
        <f>ATODecayCurves!D100</f>
        <v>0</v>
      </c>
      <c r="E95" s="13">
        <f>ATODecayCurves!E100</f>
        <v>0</v>
      </c>
      <c r="F95" s="13">
        <f>ATODecayCurves!F100</f>
        <v>0</v>
      </c>
      <c r="G95" s="13">
        <f>ATODecayCurves!G100</f>
        <v>0</v>
      </c>
    </row>
    <row r="96" spans="2:7" x14ac:dyDescent="0.25">
      <c r="B96" s="14">
        <f>ATODecayCurves!B101</f>
        <v>91</v>
      </c>
      <c r="C96" s="13">
        <f>ATODecayCurves!C101</f>
        <v>0</v>
      </c>
      <c r="D96" s="13">
        <f>ATODecayCurves!D101</f>
        <v>0</v>
      </c>
      <c r="E96" s="13">
        <f>ATODecayCurves!E101</f>
        <v>0</v>
      </c>
      <c r="F96" s="13">
        <f>ATODecayCurves!F101</f>
        <v>0</v>
      </c>
      <c r="G96" s="13">
        <f>ATODecayCurves!G101</f>
        <v>0</v>
      </c>
    </row>
    <row r="97" spans="2:7" x14ac:dyDescent="0.25">
      <c r="B97" s="14">
        <f>ATODecayCurves!B102</f>
        <v>92</v>
      </c>
      <c r="C97" s="13">
        <f>ATODecayCurves!C102</f>
        <v>0</v>
      </c>
      <c r="D97" s="13">
        <f>ATODecayCurves!D102</f>
        <v>0</v>
      </c>
      <c r="E97" s="13">
        <f>ATODecayCurves!E102</f>
        <v>0</v>
      </c>
      <c r="F97" s="13">
        <f>ATODecayCurves!F102</f>
        <v>0</v>
      </c>
      <c r="G97" s="13">
        <f>ATODecayCurves!G102</f>
        <v>0</v>
      </c>
    </row>
    <row r="98" spans="2:7" x14ac:dyDescent="0.25">
      <c r="B98" s="14">
        <f>ATODecayCurves!B103</f>
        <v>93</v>
      </c>
      <c r="C98" s="13">
        <f>ATODecayCurves!C103</f>
        <v>0</v>
      </c>
      <c r="D98" s="13">
        <f>ATODecayCurves!D103</f>
        <v>0</v>
      </c>
      <c r="E98" s="13">
        <f>ATODecayCurves!E103</f>
        <v>0</v>
      </c>
      <c r="F98" s="13">
        <f>ATODecayCurves!F103</f>
        <v>0</v>
      </c>
      <c r="G98" s="13">
        <f>ATODecayCurves!G103</f>
        <v>0</v>
      </c>
    </row>
    <row r="99" spans="2:7" x14ac:dyDescent="0.25">
      <c r="B99" s="14">
        <f>ATODecayCurves!B104</f>
        <v>94</v>
      </c>
      <c r="C99" s="13">
        <f>ATODecayCurves!C104</f>
        <v>0</v>
      </c>
      <c r="D99" s="13">
        <f>ATODecayCurves!D104</f>
        <v>0</v>
      </c>
      <c r="E99" s="13">
        <f>ATODecayCurves!E104</f>
        <v>0</v>
      </c>
      <c r="F99" s="13">
        <f>ATODecayCurves!F104</f>
        <v>0</v>
      </c>
      <c r="G99" s="13">
        <f>ATODecayCurves!G104</f>
        <v>0</v>
      </c>
    </row>
    <row r="100" spans="2:7" x14ac:dyDescent="0.25">
      <c r="B100" s="14">
        <f>ATODecayCurves!B105</f>
        <v>95</v>
      </c>
      <c r="C100" s="13">
        <f>ATODecayCurves!C105</f>
        <v>0</v>
      </c>
      <c r="D100" s="13">
        <f>ATODecayCurves!D105</f>
        <v>0</v>
      </c>
      <c r="E100" s="13">
        <f>ATODecayCurves!E105</f>
        <v>0</v>
      </c>
      <c r="F100" s="13">
        <f>ATODecayCurves!F105</f>
        <v>0</v>
      </c>
      <c r="G100" s="13">
        <f>ATODecayCurves!G105</f>
        <v>0</v>
      </c>
    </row>
    <row r="101" spans="2:7" x14ac:dyDescent="0.25">
      <c r="B101" s="14">
        <f>ATODecayCurves!B106</f>
        <v>96</v>
      </c>
      <c r="C101" s="13">
        <f>ATODecayCurves!C106</f>
        <v>0</v>
      </c>
      <c r="D101" s="13">
        <f>ATODecayCurves!D106</f>
        <v>0</v>
      </c>
      <c r="E101" s="13">
        <f>ATODecayCurves!E106</f>
        <v>0</v>
      </c>
      <c r="F101" s="13">
        <f>ATODecayCurves!F106</f>
        <v>0</v>
      </c>
      <c r="G101" s="13">
        <f>ATODecayCurves!G106</f>
        <v>0</v>
      </c>
    </row>
    <row r="102" spans="2:7" x14ac:dyDescent="0.25">
      <c r="B102" s="14">
        <f>ATODecayCurves!B107</f>
        <v>97</v>
      </c>
      <c r="C102" s="13">
        <f>ATODecayCurves!C107</f>
        <v>0</v>
      </c>
      <c r="D102" s="13">
        <f>ATODecayCurves!D107</f>
        <v>0</v>
      </c>
      <c r="E102" s="13">
        <f>ATODecayCurves!E107</f>
        <v>0</v>
      </c>
      <c r="F102" s="13">
        <f>ATODecayCurves!F107</f>
        <v>0</v>
      </c>
      <c r="G102" s="13">
        <f>ATODecayCurves!G107</f>
        <v>0</v>
      </c>
    </row>
    <row r="103" spans="2:7" x14ac:dyDescent="0.25">
      <c r="B103" s="14">
        <f>ATODecayCurves!B108</f>
        <v>98</v>
      </c>
      <c r="C103" s="13">
        <f>ATODecayCurves!C108</f>
        <v>0</v>
      </c>
      <c r="D103" s="13">
        <f>ATODecayCurves!D108</f>
        <v>0</v>
      </c>
      <c r="E103" s="13">
        <f>ATODecayCurves!E108</f>
        <v>0</v>
      </c>
      <c r="F103" s="13">
        <f>ATODecayCurves!F108</f>
        <v>0</v>
      </c>
      <c r="G103" s="13">
        <f>ATODecayCurves!G108</f>
        <v>0</v>
      </c>
    </row>
    <row r="104" spans="2:7" x14ac:dyDescent="0.25">
      <c r="B104" s="14">
        <f>ATODecayCurves!B109</f>
        <v>99</v>
      </c>
      <c r="C104" s="13">
        <f>ATODecayCurves!C109</f>
        <v>0</v>
      </c>
      <c r="D104" s="13">
        <f>ATODecayCurves!D109</f>
        <v>0</v>
      </c>
      <c r="E104" s="13">
        <f>ATODecayCurves!E109</f>
        <v>0</v>
      </c>
      <c r="F104" s="13">
        <f>ATODecayCurves!F109</f>
        <v>0</v>
      </c>
      <c r="G104" s="13">
        <f>ATODecayCurves!G109</f>
        <v>0</v>
      </c>
    </row>
    <row r="105" spans="2:7" x14ac:dyDescent="0.25">
      <c r="B105" s="14">
        <f>ATODecayCurves!B110</f>
        <v>100</v>
      </c>
      <c r="C105" s="13">
        <f>ATODecayCurves!C110</f>
        <v>0</v>
      </c>
      <c r="D105" s="13">
        <f>ATODecayCurves!D110</f>
        <v>0</v>
      </c>
      <c r="E105" s="13">
        <f>ATODecayCurves!E110</f>
        <v>0</v>
      </c>
      <c r="F105" s="13">
        <f>ATODecayCurves!F110</f>
        <v>0</v>
      </c>
      <c r="G105" s="13">
        <f>ATODecayCurves!G110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G110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.7109375" style="1" customWidth="1"/>
    <col min="2" max="2" width="9.140625" style="1"/>
    <col min="3" max="7" width="9.7109375" style="1" customWidth="1"/>
    <col min="8" max="16384" width="9.140625" style="1"/>
  </cols>
  <sheetData>
    <row r="1" spans="2:7" s="2" customFormat="1" ht="23.25" x14ac:dyDescent="0.35">
      <c r="B1" s="10" t="s">
        <v>9</v>
      </c>
      <c r="C1" s="10"/>
      <c r="D1" s="10"/>
      <c r="E1" s="10"/>
      <c r="F1" s="10"/>
      <c r="G1" s="10"/>
    </row>
    <row r="3" spans="2:7" x14ac:dyDescent="0.25">
      <c r="B3" s="6" t="s">
        <v>5</v>
      </c>
      <c r="C3" s="3"/>
      <c r="D3" s="3"/>
      <c r="E3" s="3"/>
      <c r="F3" s="3"/>
      <c r="G3" s="3"/>
    </row>
    <row r="4" spans="2:7" x14ac:dyDescent="0.25">
      <c r="B4" s="5"/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</row>
    <row r="5" spans="2:7" x14ac:dyDescent="0.25">
      <c r="B5" s="3" t="s">
        <v>6</v>
      </c>
      <c r="C5" s="7">
        <v>10</v>
      </c>
      <c r="D5" s="7">
        <v>10</v>
      </c>
      <c r="E5" s="12">
        <v>20</v>
      </c>
      <c r="F5" s="7">
        <v>10</v>
      </c>
      <c r="G5" s="7">
        <v>10</v>
      </c>
    </row>
    <row r="6" spans="2:7" x14ac:dyDescent="0.25">
      <c r="B6" s="3" t="s">
        <v>7</v>
      </c>
      <c r="C6" s="7">
        <v>40</v>
      </c>
      <c r="D6" s="7">
        <v>60</v>
      </c>
      <c r="E6" s="11">
        <f>D6</f>
        <v>60</v>
      </c>
      <c r="F6" s="7">
        <v>30</v>
      </c>
      <c r="G6" s="7">
        <v>20</v>
      </c>
    </row>
    <row r="8" spans="2:7" x14ac:dyDescent="0.25">
      <c r="B8" s="5" t="s">
        <v>10</v>
      </c>
      <c r="C8" s="8" t="s">
        <v>0</v>
      </c>
      <c r="D8" s="8" t="s">
        <v>1</v>
      </c>
      <c r="E8" s="8" t="s">
        <v>2</v>
      </c>
      <c r="F8" s="8" t="s">
        <v>3</v>
      </c>
      <c r="G8" s="8" t="s">
        <v>4</v>
      </c>
    </row>
    <row r="9" spans="2:7" x14ac:dyDescent="0.25">
      <c r="B9" s="4">
        <v>0</v>
      </c>
      <c r="C9" s="9">
        <f>ROUND(IF($B9&lt;=C$5, 1,  IF($B9&gt;=C$6, 0,  (0-1)/(C$6-C$5)*($B9-$B8)+C8)),  4)</f>
        <v>1</v>
      </c>
      <c r="D9" s="9">
        <f>ROUND(IF($B9&lt;=D$5, 1,  IF($B9&gt;=D$6, 0,  (0-1)/(D$6-D$5)*($B9-$B8)+D8)),  4)</f>
        <v>1</v>
      </c>
      <c r="E9" s="11">
        <f>ROUND(IF($B9&lt;E$5, 0,  IF($B9&gt;=E$6, 0, D9/2)),  4)</f>
        <v>0</v>
      </c>
      <c r="F9" s="9">
        <f>ROUND(IF($B9&lt;=F$5, 1,  IF($B9&gt;=F$6, 0,  (0-1)/(F$6-F$5)*($B9-$B8)+F8)),  4)</f>
        <v>1</v>
      </c>
      <c r="G9" s="9">
        <f>ROUND(IF($B9&lt;=G$5, 1,  IF($B9&gt;=G$6, 0,  (0-1)/(G$6-G$5)*($B9-$B8)+G8)),  4)</f>
        <v>1</v>
      </c>
    </row>
    <row r="10" spans="2:7" x14ac:dyDescent="0.25">
      <c r="B10" s="4">
        <v>1</v>
      </c>
      <c r="C10" s="9">
        <f t="shared" ref="C10:G73" si="0">ROUND(IF($B10&lt;=C$5, 1,  IF($B10&gt;=C$6, 0,  (0-1)/(C$6-C$5)*($B10-$B9)+C9)),  4)</f>
        <v>1</v>
      </c>
      <c r="D10" s="9">
        <f t="shared" si="0"/>
        <v>1</v>
      </c>
      <c r="E10" s="11">
        <f t="shared" ref="E10:E73" si="1">ROUND(IF($B10&lt;E$5, 0,  IF($B10&gt;=E$6, 0, D10/2)),  4)</f>
        <v>0</v>
      </c>
      <c r="F10" s="9">
        <f t="shared" si="0"/>
        <v>1</v>
      </c>
      <c r="G10" s="9">
        <f t="shared" si="0"/>
        <v>1</v>
      </c>
    </row>
    <row r="11" spans="2:7" x14ac:dyDescent="0.25">
      <c r="B11" s="4">
        <v>2</v>
      </c>
      <c r="C11" s="9">
        <f t="shared" si="0"/>
        <v>1</v>
      </c>
      <c r="D11" s="9">
        <f t="shared" si="0"/>
        <v>1</v>
      </c>
      <c r="E11" s="11">
        <f t="shared" si="1"/>
        <v>0</v>
      </c>
      <c r="F11" s="9">
        <f t="shared" si="0"/>
        <v>1</v>
      </c>
      <c r="G11" s="9">
        <f t="shared" si="0"/>
        <v>1</v>
      </c>
    </row>
    <row r="12" spans="2:7" x14ac:dyDescent="0.25">
      <c r="B12" s="4">
        <v>3</v>
      </c>
      <c r="C12" s="9">
        <f t="shared" si="0"/>
        <v>1</v>
      </c>
      <c r="D12" s="9">
        <f t="shared" si="0"/>
        <v>1</v>
      </c>
      <c r="E12" s="11">
        <f t="shared" si="1"/>
        <v>0</v>
      </c>
      <c r="F12" s="9">
        <f t="shared" si="0"/>
        <v>1</v>
      </c>
      <c r="G12" s="9">
        <f t="shared" si="0"/>
        <v>1</v>
      </c>
    </row>
    <row r="13" spans="2:7" x14ac:dyDescent="0.25">
      <c r="B13" s="4">
        <v>4</v>
      </c>
      <c r="C13" s="9">
        <f t="shared" si="0"/>
        <v>1</v>
      </c>
      <c r="D13" s="9">
        <f t="shared" si="0"/>
        <v>1</v>
      </c>
      <c r="E13" s="11">
        <f t="shared" si="1"/>
        <v>0</v>
      </c>
      <c r="F13" s="9">
        <f t="shared" si="0"/>
        <v>1</v>
      </c>
      <c r="G13" s="9">
        <f t="shared" si="0"/>
        <v>1</v>
      </c>
    </row>
    <row r="14" spans="2:7" x14ac:dyDescent="0.25">
      <c r="B14" s="4">
        <v>5</v>
      </c>
      <c r="C14" s="9">
        <f t="shared" si="0"/>
        <v>1</v>
      </c>
      <c r="D14" s="9">
        <f t="shared" si="0"/>
        <v>1</v>
      </c>
      <c r="E14" s="11">
        <f t="shared" si="1"/>
        <v>0</v>
      </c>
      <c r="F14" s="9">
        <f t="shared" si="0"/>
        <v>1</v>
      </c>
      <c r="G14" s="9">
        <f t="shared" si="0"/>
        <v>1</v>
      </c>
    </row>
    <row r="15" spans="2:7" x14ac:dyDescent="0.25">
      <c r="B15" s="4">
        <v>6</v>
      </c>
      <c r="C15" s="9">
        <f t="shared" si="0"/>
        <v>1</v>
      </c>
      <c r="D15" s="9">
        <f t="shared" si="0"/>
        <v>1</v>
      </c>
      <c r="E15" s="11">
        <f t="shared" si="1"/>
        <v>0</v>
      </c>
      <c r="F15" s="9">
        <f t="shared" si="0"/>
        <v>1</v>
      </c>
      <c r="G15" s="9">
        <f t="shared" si="0"/>
        <v>1</v>
      </c>
    </row>
    <row r="16" spans="2:7" x14ac:dyDescent="0.25">
      <c r="B16" s="4">
        <v>7</v>
      </c>
      <c r="C16" s="9">
        <f t="shared" si="0"/>
        <v>1</v>
      </c>
      <c r="D16" s="9">
        <f t="shared" si="0"/>
        <v>1</v>
      </c>
      <c r="E16" s="11">
        <f t="shared" si="1"/>
        <v>0</v>
      </c>
      <c r="F16" s="9">
        <f t="shared" si="0"/>
        <v>1</v>
      </c>
      <c r="G16" s="9">
        <f t="shared" si="0"/>
        <v>1</v>
      </c>
    </row>
    <row r="17" spans="2:7" x14ac:dyDescent="0.25">
      <c r="B17" s="4">
        <v>8</v>
      </c>
      <c r="C17" s="9">
        <f t="shared" si="0"/>
        <v>1</v>
      </c>
      <c r="D17" s="9">
        <f t="shared" si="0"/>
        <v>1</v>
      </c>
      <c r="E17" s="11">
        <f t="shared" si="1"/>
        <v>0</v>
      </c>
      <c r="F17" s="9">
        <f t="shared" si="0"/>
        <v>1</v>
      </c>
      <c r="G17" s="9">
        <f t="shared" si="0"/>
        <v>1</v>
      </c>
    </row>
    <row r="18" spans="2:7" x14ac:dyDescent="0.25">
      <c r="B18" s="4">
        <v>9</v>
      </c>
      <c r="C18" s="9">
        <f t="shared" si="0"/>
        <v>1</v>
      </c>
      <c r="D18" s="9">
        <f t="shared" si="0"/>
        <v>1</v>
      </c>
      <c r="E18" s="11">
        <f t="shared" si="1"/>
        <v>0</v>
      </c>
      <c r="F18" s="9">
        <f t="shared" si="0"/>
        <v>1</v>
      </c>
      <c r="G18" s="9">
        <f t="shared" si="0"/>
        <v>1</v>
      </c>
    </row>
    <row r="19" spans="2:7" x14ac:dyDescent="0.25">
      <c r="B19" s="4">
        <v>10</v>
      </c>
      <c r="C19" s="9">
        <f t="shared" si="0"/>
        <v>1</v>
      </c>
      <c r="D19" s="9">
        <f t="shared" si="0"/>
        <v>1</v>
      </c>
      <c r="E19" s="11">
        <f t="shared" si="1"/>
        <v>0</v>
      </c>
      <c r="F19" s="9">
        <f t="shared" si="0"/>
        <v>1</v>
      </c>
      <c r="G19" s="9">
        <f t="shared" si="0"/>
        <v>1</v>
      </c>
    </row>
    <row r="20" spans="2:7" x14ac:dyDescent="0.25">
      <c r="B20" s="4">
        <v>11</v>
      </c>
      <c r="C20" s="9">
        <f t="shared" si="0"/>
        <v>0.9667</v>
      </c>
      <c r="D20" s="9">
        <f t="shared" si="0"/>
        <v>0.98</v>
      </c>
      <c r="E20" s="11">
        <f t="shared" si="1"/>
        <v>0</v>
      </c>
      <c r="F20" s="9">
        <f t="shared" si="0"/>
        <v>0.95</v>
      </c>
      <c r="G20" s="9">
        <f t="shared" si="0"/>
        <v>0.9</v>
      </c>
    </row>
    <row r="21" spans="2:7" x14ac:dyDescent="0.25">
      <c r="B21" s="4">
        <v>12</v>
      </c>
      <c r="C21" s="9">
        <f t="shared" si="0"/>
        <v>0.93340000000000001</v>
      </c>
      <c r="D21" s="9">
        <f t="shared" si="0"/>
        <v>0.96</v>
      </c>
      <c r="E21" s="11">
        <f t="shared" si="1"/>
        <v>0</v>
      </c>
      <c r="F21" s="9">
        <f t="shared" si="0"/>
        <v>0.9</v>
      </c>
      <c r="G21" s="9">
        <f t="shared" si="0"/>
        <v>0.8</v>
      </c>
    </row>
    <row r="22" spans="2:7" x14ac:dyDescent="0.25">
      <c r="B22" s="4">
        <v>13</v>
      </c>
      <c r="C22" s="9">
        <f t="shared" si="0"/>
        <v>0.90010000000000001</v>
      </c>
      <c r="D22" s="9">
        <f t="shared" si="0"/>
        <v>0.94</v>
      </c>
      <c r="E22" s="11">
        <f t="shared" si="1"/>
        <v>0</v>
      </c>
      <c r="F22" s="9">
        <f t="shared" si="0"/>
        <v>0.85</v>
      </c>
      <c r="G22" s="9">
        <f t="shared" si="0"/>
        <v>0.7</v>
      </c>
    </row>
    <row r="23" spans="2:7" x14ac:dyDescent="0.25">
      <c r="B23" s="4">
        <v>14</v>
      </c>
      <c r="C23" s="9">
        <f t="shared" si="0"/>
        <v>0.86680000000000001</v>
      </c>
      <c r="D23" s="9">
        <f t="shared" si="0"/>
        <v>0.92</v>
      </c>
      <c r="E23" s="11">
        <f t="shared" si="1"/>
        <v>0</v>
      </c>
      <c r="F23" s="9">
        <f t="shared" si="0"/>
        <v>0.8</v>
      </c>
      <c r="G23" s="9">
        <f t="shared" si="0"/>
        <v>0.6</v>
      </c>
    </row>
    <row r="24" spans="2:7" x14ac:dyDescent="0.25">
      <c r="B24" s="4">
        <v>15</v>
      </c>
      <c r="C24" s="9">
        <f t="shared" si="0"/>
        <v>0.83350000000000002</v>
      </c>
      <c r="D24" s="9">
        <f t="shared" si="0"/>
        <v>0.9</v>
      </c>
      <c r="E24" s="11">
        <f t="shared" si="1"/>
        <v>0</v>
      </c>
      <c r="F24" s="9">
        <f t="shared" si="0"/>
        <v>0.75</v>
      </c>
      <c r="G24" s="9">
        <f t="shared" si="0"/>
        <v>0.5</v>
      </c>
    </row>
    <row r="25" spans="2:7" x14ac:dyDescent="0.25">
      <c r="B25" s="4">
        <v>16</v>
      </c>
      <c r="C25" s="9">
        <f t="shared" si="0"/>
        <v>0.80020000000000002</v>
      </c>
      <c r="D25" s="9">
        <f t="shared" si="0"/>
        <v>0.88</v>
      </c>
      <c r="E25" s="11">
        <f t="shared" si="1"/>
        <v>0</v>
      </c>
      <c r="F25" s="9">
        <f t="shared" si="0"/>
        <v>0.7</v>
      </c>
      <c r="G25" s="9">
        <f t="shared" si="0"/>
        <v>0.4</v>
      </c>
    </row>
    <row r="26" spans="2:7" x14ac:dyDescent="0.25">
      <c r="B26" s="4">
        <v>17</v>
      </c>
      <c r="C26" s="9">
        <f t="shared" si="0"/>
        <v>0.76690000000000003</v>
      </c>
      <c r="D26" s="9">
        <f t="shared" si="0"/>
        <v>0.86</v>
      </c>
      <c r="E26" s="11">
        <f t="shared" si="1"/>
        <v>0</v>
      </c>
      <c r="F26" s="9">
        <f t="shared" si="0"/>
        <v>0.65</v>
      </c>
      <c r="G26" s="9">
        <f t="shared" si="0"/>
        <v>0.3</v>
      </c>
    </row>
    <row r="27" spans="2:7" x14ac:dyDescent="0.25">
      <c r="B27" s="4">
        <v>18</v>
      </c>
      <c r="C27" s="9">
        <f t="shared" si="0"/>
        <v>0.73360000000000003</v>
      </c>
      <c r="D27" s="9">
        <f t="shared" si="0"/>
        <v>0.84</v>
      </c>
      <c r="E27" s="11">
        <f t="shared" si="1"/>
        <v>0</v>
      </c>
      <c r="F27" s="9">
        <f t="shared" si="0"/>
        <v>0.6</v>
      </c>
      <c r="G27" s="9">
        <f t="shared" si="0"/>
        <v>0.2</v>
      </c>
    </row>
    <row r="28" spans="2:7" x14ac:dyDescent="0.25">
      <c r="B28" s="4">
        <v>19</v>
      </c>
      <c r="C28" s="9">
        <f t="shared" si="0"/>
        <v>0.70030000000000003</v>
      </c>
      <c r="D28" s="9">
        <f t="shared" si="0"/>
        <v>0.82</v>
      </c>
      <c r="E28" s="11">
        <f t="shared" si="1"/>
        <v>0</v>
      </c>
      <c r="F28" s="9">
        <f t="shared" si="0"/>
        <v>0.55000000000000004</v>
      </c>
      <c r="G28" s="9">
        <f t="shared" si="0"/>
        <v>0.1</v>
      </c>
    </row>
    <row r="29" spans="2:7" x14ac:dyDescent="0.25">
      <c r="B29" s="4">
        <v>19.9999</v>
      </c>
      <c r="C29" s="9">
        <f t="shared" si="0"/>
        <v>0.66700000000000004</v>
      </c>
      <c r="D29" s="9">
        <f t="shared" si="0"/>
        <v>0.8</v>
      </c>
      <c r="E29" s="11">
        <f t="shared" si="1"/>
        <v>0</v>
      </c>
      <c r="F29" s="9">
        <f t="shared" si="0"/>
        <v>0.5</v>
      </c>
      <c r="G29" s="9">
        <f t="shared" si="0"/>
        <v>0</v>
      </c>
    </row>
    <row r="30" spans="2:7" x14ac:dyDescent="0.25">
      <c r="B30" s="4">
        <v>20</v>
      </c>
      <c r="C30" s="9">
        <f t="shared" si="0"/>
        <v>0.66700000000000004</v>
      </c>
      <c r="D30" s="9">
        <f t="shared" si="0"/>
        <v>0.8</v>
      </c>
      <c r="E30" s="11">
        <f t="shared" si="1"/>
        <v>0.4</v>
      </c>
      <c r="F30" s="9">
        <f t="shared" si="0"/>
        <v>0.5</v>
      </c>
      <c r="G30" s="9">
        <f t="shared" si="0"/>
        <v>0</v>
      </c>
    </row>
    <row r="31" spans="2:7" x14ac:dyDescent="0.25">
      <c r="B31" s="4">
        <v>21</v>
      </c>
      <c r="C31" s="9">
        <f t="shared" si="0"/>
        <v>0.63370000000000004</v>
      </c>
      <c r="D31" s="9">
        <f t="shared" si="0"/>
        <v>0.78</v>
      </c>
      <c r="E31" s="11">
        <f t="shared" si="1"/>
        <v>0.39</v>
      </c>
      <c r="F31" s="9">
        <f t="shared" si="0"/>
        <v>0.45</v>
      </c>
      <c r="G31" s="9">
        <f t="shared" si="0"/>
        <v>0</v>
      </c>
    </row>
    <row r="32" spans="2:7" x14ac:dyDescent="0.25">
      <c r="B32" s="4">
        <v>22</v>
      </c>
      <c r="C32" s="9">
        <f t="shared" si="0"/>
        <v>0.60040000000000004</v>
      </c>
      <c r="D32" s="9">
        <f t="shared" si="0"/>
        <v>0.76</v>
      </c>
      <c r="E32" s="11">
        <f t="shared" si="1"/>
        <v>0.38</v>
      </c>
      <c r="F32" s="9">
        <f t="shared" si="0"/>
        <v>0.4</v>
      </c>
      <c r="G32" s="9">
        <f t="shared" si="0"/>
        <v>0</v>
      </c>
    </row>
    <row r="33" spans="2:7" x14ac:dyDescent="0.25">
      <c r="B33" s="4">
        <v>23</v>
      </c>
      <c r="C33" s="9">
        <f t="shared" si="0"/>
        <v>0.56710000000000005</v>
      </c>
      <c r="D33" s="9">
        <f t="shared" si="0"/>
        <v>0.74</v>
      </c>
      <c r="E33" s="11">
        <f t="shared" si="1"/>
        <v>0.37</v>
      </c>
      <c r="F33" s="9">
        <f t="shared" si="0"/>
        <v>0.35</v>
      </c>
      <c r="G33" s="9">
        <f t="shared" si="0"/>
        <v>0</v>
      </c>
    </row>
    <row r="34" spans="2:7" x14ac:dyDescent="0.25">
      <c r="B34" s="4">
        <v>24</v>
      </c>
      <c r="C34" s="9">
        <f t="shared" si="0"/>
        <v>0.53380000000000005</v>
      </c>
      <c r="D34" s="9">
        <f t="shared" si="0"/>
        <v>0.72</v>
      </c>
      <c r="E34" s="11">
        <f t="shared" si="1"/>
        <v>0.36</v>
      </c>
      <c r="F34" s="9">
        <f t="shared" si="0"/>
        <v>0.3</v>
      </c>
      <c r="G34" s="9">
        <f t="shared" si="0"/>
        <v>0</v>
      </c>
    </row>
    <row r="35" spans="2:7" x14ac:dyDescent="0.25">
      <c r="B35" s="4">
        <v>25</v>
      </c>
      <c r="C35" s="9">
        <f t="shared" si="0"/>
        <v>0.50049999999999994</v>
      </c>
      <c r="D35" s="9">
        <f t="shared" si="0"/>
        <v>0.7</v>
      </c>
      <c r="E35" s="11">
        <f t="shared" si="1"/>
        <v>0.35</v>
      </c>
      <c r="F35" s="9">
        <f t="shared" si="0"/>
        <v>0.25</v>
      </c>
      <c r="G35" s="9">
        <f t="shared" si="0"/>
        <v>0</v>
      </c>
    </row>
    <row r="36" spans="2:7" x14ac:dyDescent="0.25">
      <c r="B36" s="4">
        <v>26</v>
      </c>
      <c r="C36" s="9">
        <f t="shared" si="0"/>
        <v>0.4672</v>
      </c>
      <c r="D36" s="9">
        <f t="shared" si="0"/>
        <v>0.68</v>
      </c>
      <c r="E36" s="11">
        <f t="shared" si="1"/>
        <v>0.34</v>
      </c>
      <c r="F36" s="9">
        <f t="shared" si="0"/>
        <v>0.2</v>
      </c>
      <c r="G36" s="9">
        <f t="shared" si="0"/>
        <v>0</v>
      </c>
    </row>
    <row r="37" spans="2:7" x14ac:dyDescent="0.25">
      <c r="B37" s="4">
        <v>27</v>
      </c>
      <c r="C37" s="9">
        <f t="shared" si="0"/>
        <v>0.43390000000000001</v>
      </c>
      <c r="D37" s="9">
        <f t="shared" si="0"/>
        <v>0.66</v>
      </c>
      <c r="E37" s="11">
        <f t="shared" si="1"/>
        <v>0.33</v>
      </c>
      <c r="F37" s="9">
        <f t="shared" si="0"/>
        <v>0.15</v>
      </c>
      <c r="G37" s="9">
        <f t="shared" si="0"/>
        <v>0</v>
      </c>
    </row>
    <row r="38" spans="2:7" x14ac:dyDescent="0.25">
      <c r="B38" s="4">
        <v>28</v>
      </c>
      <c r="C38" s="9">
        <f t="shared" si="0"/>
        <v>0.40060000000000001</v>
      </c>
      <c r="D38" s="9">
        <f t="shared" si="0"/>
        <v>0.64</v>
      </c>
      <c r="E38" s="11">
        <f t="shared" si="1"/>
        <v>0.32</v>
      </c>
      <c r="F38" s="9">
        <f t="shared" si="0"/>
        <v>0.1</v>
      </c>
      <c r="G38" s="9">
        <f t="shared" si="0"/>
        <v>0</v>
      </c>
    </row>
    <row r="39" spans="2:7" x14ac:dyDescent="0.25">
      <c r="B39" s="4">
        <v>29</v>
      </c>
      <c r="C39" s="9">
        <f t="shared" si="0"/>
        <v>0.36730000000000002</v>
      </c>
      <c r="D39" s="9">
        <f t="shared" si="0"/>
        <v>0.62</v>
      </c>
      <c r="E39" s="11">
        <f t="shared" si="1"/>
        <v>0.31</v>
      </c>
      <c r="F39" s="9">
        <f t="shared" si="0"/>
        <v>0.05</v>
      </c>
      <c r="G39" s="9">
        <f t="shared" si="0"/>
        <v>0</v>
      </c>
    </row>
    <row r="40" spans="2:7" x14ac:dyDescent="0.25">
      <c r="B40" s="4">
        <v>30</v>
      </c>
      <c r="C40" s="9">
        <f t="shared" si="0"/>
        <v>0.33400000000000002</v>
      </c>
      <c r="D40" s="9">
        <f t="shared" si="0"/>
        <v>0.6</v>
      </c>
      <c r="E40" s="11">
        <f t="shared" si="1"/>
        <v>0.3</v>
      </c>
      <c r="F40" s="9">
        <f t="shared" si="0"/>
        <v>0</v>
      </c>
      <c r="G40" s="9">
        <f t="shared" si="0"/>
        <v>0</v>
      </c>
    </row>
    <row r="41" spans="2:7" x14ac:dyDescent="0.25">
      <c r="B41" s="4">
        <v>31</v>
      </c>
      <c r="C41" s="9">
        <f t="shared" si="0"/>
        <v>0.30070000000000002</v>
      </c>
      <c r="D41" s="9">
        <f t="shared" si="0"/>
        <v>0.57999999999999996</v>
      </c>
      <c r="E41" s="11">
        <f t="shared" si="1"/>
        <v>0.28999999999999998</v>
      </c>
      <c r="F41" s="9">
        <f t="shared" si="0"/>
        <v>0</v>
      </c>
      <c r="G41" s="9">
        <f t="shared" si="0"/>
        <v>0</v>
      </c>
    </row>
    <row r="42" spans="2:7" x14ac:dyDescent="0.25">
      <c r="B42" s="4">
        <v>32</v>
      </c>
      <c r="C42" s="9">
        <f t="shared" si="0"/>
        <v>0.26740000000000003</v>
      </c>
      <c r="D42" s="9">
        <f t="shared" si="0"/>
        <v>0.56000000000000005</v>
      </c>
      <c r="E42" s="11">
        <f t="shared" si="1"/>
        <v>0.28000000000000003</v>
      </c>
      <c r="F42" s="9">
        <f t="shared" si="0"/>
        <v>0</v>
      </c>
      <c r="G42" s="9">
        <f t="shared" si="0"/>
        <v>0</v>
      </c>
    </row>
    <row r="43" spans="2:7" x14ac:dyDescent="0.25">
      <c r="B43" s="4">
        <v>33</v>
      </c>
      <c r="C43" s="9">
        <f t="shared" si="0"/>
        <v>0.2341</v>
      </c>
      <c r="D43" s="9">
        <f t="shared" si="0"/>
        <v>0.54</v>
      </c>
      <c r="E43" s="11">
        <f t="shared" si="1"/>
        <v>0.27</v>
      </c>
      <c r="F43" s="9">
        <f t="shared" si="0"/>
        <v>0</v>
      </c>
      <c r="G43" s="9">
        <f t="shared" si="0"/>
        <v>0</v>
      </c>
    </row>
    <row r="44" spans="2:7" x14ac:dyDescent="0.25">
      <c r="B44" s="4">
        <v>34</v>
      </c>
      <c r="C44" s="9">
        <f t="shared" si="0"/>
        <v>0.20080000000000001</v>
      </c>
      <c r="D44" s="9">
        <f t="shared" si="0"/>
        <v>0.52</v>
      </c>
      <c r="E44" s="11">
        <f t="shared" si="1"/>
        <v>0.26</v>
      </c>
      <c r="F44" s="9">
        <f t="shared" si="0"/>
        <v>0</v>
      </c>
      <c r="G44" s="9">
        <f t="shared" si="0"/>
        <v>0</v>
      </c>
    </row>
    <row r="45" spans="2:7" x14ac:dyDescent="0.25">
      <c r="B45" s="4">
        <v>35</v>
      </c>
      <c r="C45" s="9">
        <f t="shared" si="0"/>
        <v>0.16750000000000001</v>
      </c>
      <c r="D45" s="9">
        <f t="shared" si="0"/>
        <v>0.5</v>
      </c>
      <c r="E45" s="11">
        <f t="shared" si="1"/>
        <v>0.25</v>
      </c>
      <c r="F45" s="9">
        <f t="shared" si="0"/>
        <v>0</v>
      </c>
      <c r="G45" s="9">
        <f t="shared" si="0"/>
        <v>0</v>
      </c>
    </row>
    <row r="46" spans="2:7" x14ac:dyDescent="0.25">
      <c r="B46" s="4">
        <v>36</v>
      </c>
      <c r="C46" s="9">
        <f t="shared" si="0"/>
        <v>0.13420000000000001</v>
      </c>
      <c r="D46" s="9">
        <f t="shared" si="0"/>
        <v>0.48</v>
      </c>
      <c r="E46" s="11">
        <f t="shared" si="1"/>
        <v>0.24</v>
      </c>
      <c r="F46" s="9">
        <f t="shared" si="0"/>
        <v>0</v>
      </c>
      <c r="G46" s="9">
        <f t="shared" si="0"/>
        <v>0</v>
      </c>
    </row>
    <row r="47" spans="2:7" x14ac:dyDescent="0.25">
      <c r="B47" s="4">
        <v>37</v>
      </c>
      <c r="C47" s="9">
        <f t="shared" si="0"/>
        <v>0.1009</v>
      </c>
      <c r="D47" s="9">
        <f t="shared" si="0"/>
        <v>0.46</v>
      </c>
      <c r="E47" s="11">
        <f t="shared" si="1"/>
        <v>0.23</v>
      </c>
      <c r="F47" s="9">
        <f t="shared" si="0"/>
        <v>0</v>
      </c>
      <c r="G47" s="9">
        <f t="shared" si="0"/>
        <v>0</v>
      </c>
    </row>
    <row r="48" spans="2:7" x14ac:dyDescent="0.25">
      <c r="B48" s="4">
        <v>38</v>
      </c>
      <c r="C48" s="9">
        <f t="shared" si="0"/>
        <v>6.7599999999999993E-2</v>
      </c>
      <c r="D48" s="9">
        <f t="shared" si="0"/>
        <v>0.44</v>
      </c>
      <c r="E48" s="11">
        <f t="shared" si="1"/>
        <v>0.22</v>
      </c>
      <c r="F48" s="9">
        <f t="shared" si="0"/>
        <v>0</v>
      </c>
      <c r="G48" s="9">
        <f t="shared" si="0"/>
        <v>0</v>
      </c>
    </row>
    <row r="49" spans="2:7" x14ac:dyDescent="0.25">
      <c r="B49" s="4">
        <v>39</v>
      </c>
      <c r="C49" s="9">
        <f t="shared" si="0"/>
        <v>3.4299999999999997E-2</v>
      </c>
      <c r="D49" s="9">
        <f t="shared" si="0"/>
        <v>0.42</v>
      </c>
      <c r="E49" s="11">
        <f t="shared" si="1"/>
        <v>0.21</v>
      </c>
      <c r="F49" s="9">
        <f t="shared" si="0"/>
        <v>0</v>
      </c>
      <c r="G49" s="9">
        <f t="shared" si="0"/>
        <v>0</v>
      </c>
    </row>
    <row r="50" spans="2:7" x14ac:dyDescent="0.25">
      <c r="B50" s="4">
        <v>40</v>
      </c>
      <c r="C50" s="9">
        <f t="shared" si="0"/>
        <v>0</v>
      </c>
      <c r="D50" s="9">
        <f t="shared" si="0"/>
        <v>0.4</v>
      </c>
      <c r="E50" s="11">
        <f t="shared" si="1"/>
        <v>0.2</v>
      </c>
      <c r="F50" s="9">
        <f t="shared" si="0"/>
        <v>0</v>
      </c>
      <c r="G50" s="9">
        <f t="shared" si="0"/>
        <v>0</v>
      </c>
    </row>
    <row r="51" spans="2:7" x14ac:dyDescent="0.25">
      <c r="B51" s="4">
        <v>41</v>
      </c>
      <c r="C51" s="9">
        <f t="shared" si="0"/>
        <v>0</v>
      </c>
      <c r="D51" s="9">
        <f t="shared" si="0"/>
        <v>0.38</v>
      </c>
      <c r="E51" s="11">
        <f t="shared" si="1"/>
        <v>0.19</v>
      </c>
      <c r="F51" s="9">
        <f t="shared" si="0"/>
        <v>0</v>
      </c>
      <c r="G51" s="9">
        <f t="shared" si="0"/>
        <v>0</v>
      </c>
    </row>
    <row r="52" spans="2:7" x14ac:dyDescent="0.25">
      <c r="B52" s="4">
        <v>42</v>
      </c>
      <c r="C52" s="9">
        <f t="shared" si="0"/>
        <v>0</v>
      </c>
      <c r="D52" s="9">
        <f t="shared" si="0"/>
        <v>0.36</v>
      </c>
      <c r="E52" s="11">
        <f t="shared" si="1"/>
        <v>0.18</v>
      </c>
      <c r="F52" s="9">
        <f t="shared" si="0"/>
        <v>0</v>
      </c>
      <c r="G52" s="9">
        <f t="shared" si="0"/>
        <v>0</v>
      </c>
    </row>
    <row r="53" spans="2:7" x14ac:dyDescent="0.25">
      <c r="B53" s="4">
        <v>43</v>
      </c>
      <c r="C53" s="9">
        <f t="shared" si="0"/>
        <v>0</v>
      </c>
      <c r="D53" s="9">
        <f t="shared" si="0"/>
        <v>0.34</v>
      </c>
      <c r="E53" s="11">
        <f t="shared" si="1"/>
        <v>0.17</v>
      </c>
      <c r="F53" s="9">
        <f t="shared" si="0"/>
        <v>0</v>
      </c>
      <c r="G53" s="9">
        <f t="shared" si="0"/>
        <v>0</v>
      </c>
    </row>
    <row r="54" spans="2:7" x14ac:dyDescent="0.25">
      <c r="B54" s="4">
        <v>44</v>
      </c>
      <c r="C54" s="9">
        <f t="shared" si="0"/>
        <v>0</v>
      </c>
      <c r="D54" s="9">
        <f t="shared" si="0"/>
        <v>0.32</v>
      </c>
      <c r="E54" s="11">
        <f t="shared" si="1"/>
        <v>0.16</v>
      </c>
      <c r="F54" s="9">
        <f t="shared" si="0"/>
        <v>0</v>
      </c>
      <c r="G54" s="9">
        <f t="shared" si="0"/>
        <v>0</v>
      </c>
    </row>
    <row r="55" spans="2:7" x14ac:dyDescent="0.25">
      <c r="B55" s="4">
        <v>45</v>
      </c>
      <c r="C55" s="9">
        <f t="shared" si="0"/>
        <v>0</v>
      </c>
      <c r="D55" s="9">
        <f t="shared" si="0"/>
        <v>0.3</v>
      </c>
      <c r="E55" s="11">
        <f t="shared" si="1"/>
        <v>0.15</v>
      </c>
      <c r="F55" s="9">
        <f t="shared" si="0"/>
        <v>0</v>
      </c>
      <c r="G55" s="9">
        <f t="shared" si="0"/>
        <v>0</v>
      </c>
    </row>
    <row r="56" spans="2:7" x14ac:dyDescent="0.25">
      <c r="B56" s="4">
        <v>46</v>
      </c>
      <c r="C56" s="9">
        <f t="shared" si="0"/>
        <v>0</v>
      </c>
      <c r="D56" s="9">
        <f t="shared" si="0"/>
        <v>0.28000000000000003</v>
      </c>
      <c r="E56" s="11">
        <f t="shared" si="1"/>
        <v>0.14000000000000001</v>
      </c>
      <c r="F56" s="9">
        <f t="shared" si="0"/>
        <v>0</v>
      </c>
      <c r="G56" s="9">
        <f t="shared" si="0"/>
        <v>0</v>
      </c>
    </row>
    <row r="57" spans="2:7" x14ac:dyDescent="0.25">
      <c r="B57" s="4">
        <v>47</v>
      </c>
      <c r="C57" s="9">
        <f t="shared" si="0"/>
        <v>0</v>
      </c>
      <c r="D57" s="9">
        <f t="shared" si="0"/>
        <v>0.26</v>
      </c>
      <c r="E57" s="11">
        <f t="shared" si="1"/>
        <v>0.13</v>
      </c>
      <c r="F57" s="9">
        <f t="shared" si="0"/>
        <v>0</v>
      </c>
      <c r="G57" s="9">
        <f t="shared" si="0"/>
        <v>0</v>
      </c>
    </row>
    <row r="58" spans="2:7" x14ac:dyDescent="0.25">
      <c r="B58" s="4">
        <v>48</v>
      </c>
      <c r="C58" s="9">
        <f t="shared" si="0"/>
        <v>0</v>
      </c>
      <c r="D58" s="9">
        <f t="shared" si="0"/>
        <v>0.24</v>
      </c>
      <c r="E58" s="11">
        <f t="shared" si="1"/>
        <v>0.12</v>
      </c>
      <c r="F58" s="9">
        <f t="shared" si="0"/>
        <v>0</v>
      </c>
      <c r="G58" s="9">
        <f t="shared" si="0"/>
        <v>0</v>
      </c>
    </row>
    <row r="59" spans="2:7" x14ac:dyDescent="0.25">
      <c r="B59" s="4">
        <v>49</v>
      </c>
      <c r="C59" s="9">
        <f t="shared" si="0"/>
        <v>0</v>
      </c>
      <c r="D59" s="9">
        <f t="shared" si="0"/>
        <v>0.22</v>
      </c>
      <c r="E59" s="11">
        <f t="shared" si="1"/>
        <v>0.11</v>
      </c>
      <c r="F59" s="9">
        <f t="shared" si="0"/>
        <v>0</v>
      </c>
      <c r="G59" s="9">
        <f t="shared" si="0"/>
        <v>0</v>
      </c>
    </row>
    <row r="60" spans="2:7" x14ac:dyDescent="0.25">
      <c r="B60" s="4">
        <v>50</v>
      </c>
      <c r="C60" s="9">
        <f t="shared" si="0"/>
        <v>0</v>
      </c>
      <c r="D60" s="9">
        <f t="shared" si="0"/>
        <v>0.2</v>
      </c>
      <c r="E60" s="11">
        <f t="shared" si="1"/>
        <v>0.1</v>
      </c>
      <c r="F60" s="9">
        <f t="shared" si="0"/>
        <v>0</v>
      </c>
      <c r="G60" s="9">
        <f t="shared" si="0"/>
        <v>0</v>
      </c>
    </row>
    <row r="61" spans="2:7" x14ac:dyDescent="0.25">
      <c r="B61" s="4">
        <v>51</v>
      </c>
      <c r="C61" s="9">
        <f t="shared" si="0"/>
        <v>0</v>
      </c>
      <c r="D61" s="9">
        <f t="shared" si="0"/>
        <v>0.18</v>
      </c>
      <c r="E61" s="11">
        <f t="shared" si="1"/>
        <v>0.09</v>
      </c>
      <c r="F61" s="9">
        <f t="shared" si="0"/>
        <v>0</v>
      </c>
      <c r="G61" s="9">
        <f t="shared" si="0"/>
        <v>0</v>
      </c>
    </row>
    <row r="62" spans="2:7" x14ac:dyDescent="0.25">
      <c r="B62" s="4">
        <v>52</v>
      </c>
      <c r="C62" s="9">
        <f t="shared" si="0"/>
        <v>0</v>
      </c>
      <c r="D62" s="9">
        <f t="shared" si="0"/>
        <v>0.16</v>
      </c>
      <c r="E62" s="11">
        <f t="shared" si="1"/>
        <v>0.08</v>
      </c>
      <c r="F62" s="9">
        <f t="shared" si="0"/>
        <v>0</v>
      </c>
      <c r="G62" s="9">
        <f t="shared" si="0"/>
        <v>0</v>
      </c>
    </row>
    <row r="63" spans="2:7" x14ac:dyDescent="0.25">
      <c r="B63" s="4">
        <v>53</v>
      </c>
      <c r="C63" s="9">
        <f t="shared" si="0"/>
        <v>0</v>
      </c>
      <c r="D63" s="9">
        <f t="shared" si="0"/>
        <v>0.14000000000000001</v>
      </c>
      <c r="E63" s="11">
        <f t="shared" si="1"/>
        <v>7.0000000000000007E-2</v>
      </c>
      <c r="F63" s="9">
        <f t="shared" si="0"/>
        <v>0</v>
      </c>
      <c r="G63" s="9">
        <f t="shared" si="0"/>
        <v>0</v>
      </c>
    </row>
    <row r="64" spans="2:7" x14ac:dyDescent="0.25">
      <c r="B64" s="4">
        <v>54</v>
      </c>
      <c r="C64" s="9">
        <f t="shared" si="0"/>
        <v>0</v>
      </c>
      <c r="D64" s="9">
        <f t="shared" si="0"/>
        <v>0.12</v>
      </c>
      <c r="E64" s="11">
        <f t="shared" si="1"/>
        <v>0.06</v>
      </c>
      <c r="F64" s="9">
        <f t="shared" si="0"/>
        <v>0</v>
      </c>
      <c r="G64" s="9">
        <f t="shared" si="0"/>
        <v>0</v>
      </c>
    </row>
    <row r="65" spans="2:7" x14ac:dyDescent="0.25">
      <c r="B65" s="4">
        <v>55</v>
      </c>
      <c r="C65" s="9">
        <f t="shared" si="0"/>
        <v>0</v>
      </c>
      <c r="D65" s="9">
        <f t="shared" si="0"/>
        <v>0.1</v>
      </c>
      <c r="E65" s="11">
        <f t="shared" si="1"/>
        <v>0.05</v>
      </c>
      <c r="F65" s="9">
        <f t="shared" si="0"/>
        <v>0</v>
      </c>
      <c r="G65" s="9">
        <f t="shared" si="0"/>
        <v>0</v>
      </c>
    </row>
    <row r="66" spans="2:7" x14ac:dyDescent="0.25">
      <c r="B66" s="4">
        <v>56</v>
      </c>
      <c r="C66" s="9">
        <f t="shared" si="0"/>
        <v>0</v>
      </c>
      <c r="D66" s="9">
        <f t="shared" si="0"/>
        <v>0.08</v>
      </c>
      <c r="E66" s="11">
        <f t="shared" si="1"/>
        <v>0.04</v>
      </c>
      <c r="F66" s="9">
        <f t="shared" si="0"/>
        <v>0</v>
      </c>
      <c r="G66" s="9">
        <f t="shared" si="0"/>
        <v>0</v>
      </c>
    </row>
    <row r="67" spans="2:7" x14ac:dyDescent="0.25">
      <c r="B67" s="4">
        <v>57</v>
      </c>
      <c r="C67" s="9">
        <f t="shared" si="0"/>
        <v>0</v>
      </c>
      <c r="D67" s="9">
        <f t="shared" si="0"/>
        <v>0.06</v>
      </c>
      <c r="E67" s="11">
        <f t="shared" si="1"/>
        <v>0.03</v>
      </c>
      <c r="F67" s="9">
        <f t="shared" si="0"/>
        <v>0</v>
      </c>
      <c r="G67" s="9">
        <f t="shared" si="0"/>
        <v>0</v>
      </c>
    </row>
    <row r="68" spans="2:7" x14ac:dyDescent="0.25">
      <c r="B68" s="4">
        <v>58</v>
      </c>
      <c r="C68" s="9">
        <f t="shared" si="0"/>
        <v>0</v>
      </c>
      <c r="D68" s="9">
        <f t="shared" si="0"/>
        <v>0.04</v>
      </c>
      <c r="E68" s="11">
        <f t="shared" si="1"/>
        <v>0.02</v>
      </c>
      <c r="F68" s="9">
        <f t="shared" si="0"/>
        <v>0</v>
      </c>
      <c r="G68" s="9">
        <f t="shared" si="0"/>
        <v>0</v>
      </c>
    </row>
    <row r="69" spans="2:7" x14ac:dyDescent="0.25">
      <c r="B69" s="4">
        <v>59</v>
      </c>
      <c r="C69" s="9">
        <f t="shared" si="0"/>
        <v>0</v>
      </c>
      <c r="D69" s="9">
        <f t="shared" si="0"/>
        <v>0.02</v>
      </c>
      <c r="E69" s="11">
        <f t="shared" si="1"/>
        <v>0.01</v>
      </c>
      <c r="F69" s="9">
        <f t="shared" si="0"/>
        <v>0</v>
      </c>
      <c r="G69" s="9">
        <f t="shared" si="0"/>
        <v>0</v>
      </c>
    </row>
    <row r="70" spans="2:7" x14ac:dyDescent="0.25">
      <c r="B70" s="4">
        <v>60</v>
      </c>
      <c r="C70" s="9">
        <f t="shared" si="0"/>
        <v>0</v>
      </c>
      <c r="D70" s="9">
        <f t="shared" si="0"/>
        <v>0</v>
      </c>
      <c r="E70" s="11">
        <f t="shared" si="1"/>
        <v>0</v>
      </c>
      <c r="F70" s="9">
        <f t="shared" si="0"/>
        <v>0</v>
      </c>
      <c r="G70" s="9">
        <f t="shared" si="0"/>
        <v>0</v>
      </c>
    </row>
    <row r="71" spans="2:7" x14ac:dyDescent="0.25">
      <c r="B71" s="4">
        <v>61</v>
      </c>
      <c r="C71" s="9">
        <f t="shared" si="0"/>
        <v>0</v>
      </c>
      <c r="D71" s="9">
        <f t="shared" si="0"/>
        <v>0</v>
      </c>
      <c r="E71" s="11">
        <f t="shared" si="1"/>
        <v>0</v>
      </c>
      <c r="F71" s="9">
        <f t="shared" si="0"/>
        <v>0</v>
      </c>
      <c r="G71" s="9">
        <f t="shared" si="0"/>
        <v>0</v>
      </c>
    </row>
    <row r="72" spans="2:7" x14ac:dyDescent="0.25">
      <c r="B72" s="4">
        <v>62</v>
      </c>
      <c r="C72" s="9">
        <f t="shared" si="0"/>
        <v>0</v>
      </c>
      <c r="D72" s="9">
        <f t="shared" si="0"/>
        <v>0</v>
      </c>
      <c r="E72" s="11">
        <f t="shared" si="1"/>
        <v>0</v>
      </c>
      <c r="F72" s="9">
        <f t="shared" si="0"/>
        <v>0</v>
      </c>
      <c r="G72" s="9">
        <f t="shared" si="0"/>
        <v>0</v>
      </c>
    </row>
    <row r="73" spans="2:7" x14ac:dyDescent="0.25">
      <c r="B73" s="4">
        <v>63</v>
      </c>
      <c r="C73" s="9">
        <f t="shared" si="0"/>
        <v>0</v>
      </c>
      <c r="D73" s="9">
        <f t="shared" si="0"/>
        <v>0</v>
      </c>
      <c r="E73" s="11">
        <f t="shared" si="1"/>
        <v>0</v>
      </c>
      <c r="F73" s="9">
        <f t="shared" si="0"/>
        <v>0</v>
      </c>
      <c r="G73" s="9">
        <f t="shared" ref="G73:G110" si="2">ROUND(IF($B73&lt;=G$5, 1,  IF($B73&gt;=G$6, 0,  (0-1)/(G$6-G$5)*($B73-$B72)+G72)),  4)</f>
        <v>0</v>
      </c>
    </row>
    <row r="74" spans="2:7" x14ac:dyDescent="0.25">
      <c r="B74" s="4">
        <v>64</v>
      </c>
      <c r="C74" s="9">
        <f t="shared" ref="C74:G110" si="3">ROUND(IF($B74&lt;=C$5, 1,  IF($B74&gt;=C$6, 0,  (0-1)/(C$6-C$5)*($B74-$B73)+C73)),  4)</f>
        <v>0</v>
      </c>
      <c r="D74" s="9">
        <f t="shared" si="3"/>
        <v>0</v>
      </c>
      <c r="E74" s="11">
        <f t="shared" ref="E74:E110" si="4">ROUND(IF($B74&lt;E$5, 0,  IF($B74&gt;=E$6, 0, D74/2)),  4)</f>
        <v>0</v>
      </c>
      <c r="F74" s="9">
        <f t="shared" si="3"/>
        <v>0</v>
      </c>
      <c r="G74" s="9">
        <f t="shared" si="3"/>
        <v>0</v>
      </c>
    </row>
    <row r="75" spans="2:7" x14ac:dyDescent="0.25">
      <c r="B75" s="4">
        <v>65</v>
      </c>
      <c r="C75" s="9">
        <f t="shared" si="3"/>
        <v>0</v>
      </c>
      <c r="D75" s="9">
        <f t="shared" si="3"/>
        <v>0</v>
      </c>
      <c r="E75" s="11">
        <f t="shared" si="4"/>
        <v>0</v>
      </c>
      <c r="F75" s="9">
        <f t="shared" si="3"/>
        <v>0</v>
      </c>
      <c r="G75" s="9">
        <f t="shared" si="3"/>
        <v>0</v>
      </c>
    </row>
    <row r="76" spans="2:7" x14ac:dyDescent="0.25">
      <c r="B76" s="4">
        <v>66</v>
      </c>
      <c r="C76" s="9">
        <f t="shared" si="3"/>
        <v>0</v>
      </c>
      <c r="D76" s="9">
        <f t="shared" si="3"/>
        <v>0</v>
      </c>
      <c r="E76" s="11">
        <f t="shared" si="4"/>
        <v>0</v>
      </c>
      <c r="F76" s="9">
        <f t="shared" si="3"/>
        <v>0</v>
      </c>
      <c r="G76" s="9">
        <f t="shared" si="3"/>
        <v>0</v>
      </c>
    </row>
    <row r="77" spans="2:7" x14ac:dyDescent="0.25">
      <c r="B77" s="4">
        <v>67</v>
      </c>
      <c r="C77" s="9">
        <f t="shared" si="3"/>
        <v>0</v>
      </c>
      <c r="D77" s="9">
        <f t="shared" si="3"/>
        <v>0</v>
      </c>
      <c r="E77" s="11">
        <f t="shared" si="4"/>
        <v>0</v>
      </c>
      <c r="F77" s="9">
        <f t="shared" si="3"/>
        <v>0</v>
      </c>
      <c r="G77" s="9">
        <f t="shared" si="3"/>
        <v>0</v>
      </c>
    </row>
    <row r="78" spans="2:7" x14ac:dyDescent="0.25">
      <c r="B78" s="4">
        <v>68</v>
      </c>
      <c r="C78" s="9">
        <f t="shared" si="3"/>
        <v>0</v>
      </c>
      <c r="D78" s="9">
        <f t="shared" si="3"/>
        <v>0</v>
      </c>
      <c r="E78" s="11">
        <f t="shared" si="4"/>
        <v>0</v>
      </c>
      <c r="F78" s="9">
        <f t="shared" si="3"/>
        <v>0</v>
      </c>
      <c r="G78" s="9">
        <f t="shared" si="3"/>
        <v>0</v>
      </c>
    </row>
    <row r="79" spans="2:7" x14ac:dyDescent="0.25">
      <c r="B79" s="4">
        <v>69</v>
      </c>
      <c r="C79" s="9">
        <f t="shared" si="3"/>
        <v>0</v>
      </c>
      <c r="D79" s="9">
        <f t="shared" si="3"/>
        <v>0</v>
      </c>
      <c r="E79" s="11">
        <f t="shared" si="4"/>
        <v>0</v>
      </c>
      <c r="F79" s="9">
        <f t="shared" si="3"/>
        <v>0</v>
      </c>
      <c r="G79" s="9">
        <f t="shared" si="3"/>
        <v>0</v>
      </c>
    </row>
    <row r="80" spans="2:7" x14ac:dyDescent="0.25">
      <c r="B80" s="4">
        <v>70</v>
      </c>
      <c r="C80" s="9">
        <f t="shared" si="3"/>
        <v>0</v>
      </c>
      <c r="D80" s="9">
        <f t="shared" si="3"/>
        <v>0</v>
      </c>
      <c r="E80" s="11">
        <f t="shared" si="4"/>
        <v>0</v>
      </c>
      <c r="F80" s="9">
        <f t="shared" si="3"/>
        <v>0</v>
      </c>
      <c r="G80" s="9">
        <f t="shared" si="3"/>
        <v>0</v>
      </c>
    </row>
    <row r="81" spans="2:7" x14ac:dyDescent="0.25">
      <c r="B81" s="4">
        <v>71</v>
      </c>
      <c r="C81" s="9">
        <f t="shared" si="3"/>
        <v>0</v>
      </c>
      <c r="D81" s="9">
        <f t="shared" si="3"/>
        <v>0</v>
      </c>
      <c r="E81" s="11">
        <f t="shared" si="4"/>
        <v>0</v>
      </c>
      <c r="F81" s="9">
        <f t="shared" si="3"/>
        <v>0</v>
      </c>
      <c r="G81" s="9">
        <f t="shared" si="3"/>
        <v>0</v>
      </c>
    </row>
    <row r="82" spans="2:7" x14ac:dyDescent="0.25">
      <c r="B82" s="4">
        <v>72</v>
      </c>
      <c r="C82" s="9">
        <f t="shared" si="3"/>
        <v>0</v>
      </c>
      <c r="D82" s="9">
        <f t="shared" si="3"/>
        <v>0</v>
      </c>
      <c r="E82" s="11">
        <f t="shared" si="4"/>
        <v>0</v>
      </c>
      <c r="F82" s="9">
        <f t="shared" si="3"/>
        <v>0</v>
      </c>
      <c r="G82" s="9">
        <f t="shared" si="3"/>
        <v>0</v>
      </c>
    </row>
    <row r="83" spans="2:7" x14ac:dyDescent="0.25">
      <c r="B83" s="4">
        <v>73</v>
      </c>
      <c r="C83" s="9">
        <f t="shared" si="3"/>
        <v>0</v>
      </c>
      <c r="D83" s="9">
        <f t="shared" si="3"/>
        <v>0</v>
      </c>
      <c r="E83" s="11">
        <f t="shared" si="4"/>
        <v>0</v>
      </c>
      <c r="F83" s="9">
        <f t="shared" si="3"/>
        <v>0</v>
      </c>
      <c r="G83" s="9">
        <f t="shared" si="3"/>
        <v>0</v>
      </c>
    </row>
    <row r="84" spans="2:7" x14ac:dyDescent="0.25">
      <c r="B84" s="4">
        <v>74</v>
      </c>
      <c r="C84" s="9">
        <f t="shared" si="3"/>
        <v>0</v>
      </c>
      <c r="D84" s="9">
        <f t="shared" si="3"/>
        <v>0</v>
      </c>
      <c r="E84" s="11">
        <f t="shared" si="4"/>
        <v>0</v>
      </c>
      <c r="F84" s="9">
        <f t="shared" si="3"/>
        <v>0</v>
      </c>
      <c r="G84" s="9">
        <f t="shared" si="3"/>
        <v>0</v>
      </c>
    </row>
    <row r="85" spans="2:7" x14ac:dyDescent="0.25">
      <c r="B85" s="4">
        <v>75</v>
      </c>
      <c r="C85" s="9">
        <f t="shared" si="3"/>
        <v>0</v>
      </c>
      <c r="D85" s="9">
        <f t="shared" si="3"/>
        <v>0</v>
      </c>
      <c r="E85" s="11">
        <f t="shared" si="4"/>
        <v>0</v>
      </c>
      <c r="F85" s="9">
        <f t="shared" si="3"/>
        <v>0</v>
      </c>
      <c r="G85" s="9">
        <f t="shared" si="3"/>
        <v>0</v>
      </c>
    </row>
    <row r="86" spans="2:7" x14ac:dyDescent="0.25">
      <c r="B86" s="4">
        <v>76</v>
      </c>
      <c r="C86" s="9">
        <f t="shared" si="3"/>
        <v>0</v>
      </c>
      <c r="D86" s="9">
        <f t="shared" si="3"/>
        <v>0</v>
      </c>
      <c r="E86" s="11">
        <f t="shared" si="4"/>
        <v>0</v>
      </c>
      <c r="F86" s="9">
        <f t="shared" si="3"/>
        <v>0</v>
      </c>
      <c r="G86" s="9">
        <f t="shared" si="3"/>
        <v>0</v>
      </c>
    </row>
    <row r="87" spans="2:7" x14ac:dyDescent="0.25">
      <c r="B87" s="4">
        <v>77</v>
      </c>
      <c r="C87" s="9">
        <f t="shared" si="3"/>
        <v>0</v>
      </c>
      <c r="D87" s="9">
        <f t="shared" si="3"/>
        <v>0</v>
      </c>
      <c r="E87" s="11">
        <f t="shared" si="4"/>
        <v>0</v>
      </c>
      <c r="F87" s="9">
        <f t="shared" si="3"/>
        <v>0</v>
      </c>
      <c r="G87" s="9">
        <f t="shared" si="3"/>
        <v>0</v>
      </c>
    </row>
    <row r="88" spans="2:7" x14ac:dyDescent="0.25">
      <c r="B88" s="4">
        <v>78</v>
      </c>
      <c r="C88" s="9">
        <f t="shared" si="3"/>
        <v>0</v>
      </c>
      <c r="D88" s="9">
        <f t="shared" si="3"/>
        <v>0</v>
      </c>
      <c r="E88" s="11">
        <f t="shared" si="4"/>
        <v>0</v>
      </c>
      <c r="F88" s="9">
        <f t="shared" si="3"/>
        <v>0</v>
      </c>
      <c r="G88" s="9">
        <f t="shared" si="3"/>
        <v>0</v>
      </c>
    </row>
    <row r="89" spans="2:7" x14ac:dyDescent="0.25">
      <c r="B89" s="4">
        <v>79</v>
      </c>
      <c r="C89" s="9">
        <f t="shared" si="3"/>
        <v>0</v>
      </c>
      <c r="D89" s="9">
        <f t="shared" si="3"/>
        <v>0</v>
      </c>
      <c r="E89" s="11">
        <f t="shared" si="4"/>
        <v>0</v>
      </c>
      <c r="F89" s="9">
        <f t="shared" si="3"/>
        <v>0</v>
      </c>
      <c r="G89" s="9">
        <f t="shared" si="3"/>
        <v>0</v>
      </c>
    </row>
    <row r="90" spans="2:7" x14ac:dyDescent="0.25">
      <c r="B90" s="4">
        <v>80</v>
      </c>
      <c r="C90" s="9">
        <f t="shared" si="3"/>
        <v>0</v>
      </c>
      <c r="D90" s="9">
        <f t="shared" si="3"/>
        <v>0</v>
      </c>
      <c r="E90" s="11">
        <f t="shared" si="4"/>
        <v>0</v>
      </c>
      <c r="F90" s="9">
        <f t="shared" si="3"/>
        <v>0</v>
      </c>
      <c r="G90" s="9">
        <f t="shared" si="3"/>
        <v>0</v>
      </c>
    </row>
    <row r="91" spans="2:7" x14ac:dyDescent="0.25">
      <c r="B91" s="4">
        <v>81</v>
      </c>
      <c r="C91" s="9">
        <f t="shared" si="3"/>
        <v>0</v>
      </c>
      <c r="D91" s="9">
        <f t="shared" si="3"/>
        <v>0</v>
      </c>
      <c r="E91" s="11">
        <f t="shared" si="4"/>
        <v>0</v>
      </c>
      <c r="F91" s="9">
        <f t="shared" si="3"/>
        <v>0</v>
      </c>
      <c r="G91" s="9">
        <f t="shared" si="3"/>
        <v>0</v>
      </c>
    </row>
    <row r="92" spans="2:7" x14ac:dyDescent="0.25">
      <c r="B92" s="4">
        <v>82</v>
      </c>
      <c r="C92" s="9">
        <f t="shared" si="3"/>
        <v>0</v>
      </c>
      <c r="D92" s="9">
        <f t="shared" si="3"/>
        <v>0</v>
      </c>
      <c r="E92" s="11">
        <f t="shared" si="4"/>
        <v>0</v>
      </c>
      <c r="F92" s="9">
        <f t="shared" si="3"/>
        <v>0</v>
      </c>
      <c r="G92" s="9">
        <f t="shared" si="3"/>
        <v>0</v>
      </c>
    </row>
    <row r="93" spans="2:7" x14ac:dyDescent="0.25">
      <c r="B93" s="4">
        <v>83</v>
      </c>
      <c r="C93" s="9">
        <f t="shared" si="3"/>
        <v>0</v>
      </c>
      <c r="D93" s="9">
        <f t="shared" si="3"/>
        <v>0</v>
      </c>
      <c r="E93" s="11">
        <f t="shared" si="4"/>
        <v>0</v>
      </c>
      <c r="F93" s="9">
        <f t="shared" si="3"/>
        <v>0</v>
      </c>
      <c r="G93" s="9">
        <f t="shared" si="3"/>
        <v>0</v>
      </c>
    </row>
    <row r="94" spans="2:7" x14ac:dyDescent="0.25">
      <c r="B94" s="4">
        <v>84</v>
      </c>
      <c r="C94" s="9">
        <f t="shared" si="3"/>
        <v>0</v>
      </c>
      <c r="D94" s="9">
        <f t="shared" si="3"/>
        <v>0</v>
      </c>
      <c r="E94" s="11">
        <f t="shared" si="4"/>
        <v>0</v>
      </c>
      <c r="F94" s="9">
        <f t="shared" si="3"/>
        <v>0</v>
      </c>
      <c r="G94" s="9">
        <f t="shared" si="3"/>
        <v>0</v>
      </c>
    </row>
    <row r="95" spans="2:7" x14ac:dyDescent="0.25">
      <c r="B95" s="4">
        <v>85</v>
      </c>
      <c r="C95" s="9">
        <f t="shared" si="3"/>
        <v>0</v>
      </c>
      <c r="D95" s="9">
        <f t="shared" si="3"/>
        <v>0</v>
      </c>
      <c r="E95" s="11">
        <f t="shared" si="4"/>
        <v>0</v>
      </c>
      <c r="F95" s="9">
        <f t="shared" si="3"/>
        <v>0</v>
      </c>
      <c r="G95" s="9">
        <f t="shared" si="3"/>
        <v>0</v>
      </c>
    </row>
    <row r="96" spans="2:7" x14ac:dyDescent="0.25">
      <c r="B96" s="4">
        <v>86</v>
      </c>
      <c r="C96" s="9">
        <f t="shared" si="3"/>
        <v>0</v>
      </c>
      <c r="D96" s="9">
        <f t="shared" si="3"/>
        <v>0</v>
      </c>
      <c r="E96" s="11">
        <f t="shared" si="4"/>
        <v>0</v>
      </c>
      <c r="F96" s="9">
        <f t="shared" si="3"/>
        <v>0</v>
      </c>
      <c r="G96" s="9">
        <f t="shared" si="3"/>
        <v>0</v>
      </c>
    </row>
    <row r="97" spans="2:7" x14ac:dyDescent="0.25">
      <c r="B97" s="4">
        <v>87</v>
      </c>
      <c r="C97" s="9">
        <f t="shared" si="3"/>
        <v>0</v>
      </c>
      <c r="D97" s="9">
        <f t="shared" si="3"/>
        <v>0</v>
      </c>
      <c r="E97" s="11">
        <f t="shared" si="4"/>
        <v>0</v>
      </c>
      <c r="F97" s="9">
        <f t="shared" si="3"/>
        <v>0</v>
      </c>
      <c r="G97" s="9">
        <f t="shared" si="3"/>
        <v>0</v>
      </c>
    </row>
    <row r="98" spans="2:7" x14ac:dyDescent="0.25">
      <c r="B98" s="4">
        <v>88</v>
      </c>
      <c r="C98" s="9">
        <f t="shared" si="3"/>
        <v>0</v>
      </c>
      <c r="D98" s="9">
        <f t="shared" si="3"/>
        <v>0</v>
      </c>
      <c r="E98" s="11">
        <f t="shared" si="4"/>
        <v>0</v>
      </c>
      <c r="F98" s="9">
        <f t="shared" si="3"/>
        <v>0</v>
      </c>
      <c r="G98" s="9">
        <f t="shared" si="3"/>
        <v>0</v>
      </c>
    </row>
    <row r="99" spans="2:7" x14ac:dyDescent="0.25">
      <c r="B99" s="4">
        <v>89</v>
      </c>
      <c r="C99" s="9">
        <f t="shared" si="3"/>
        <v>0</v>
      </c>
      <c r="D99" s="9">
        <f t="shared" si="3"/>
        <v>0</v>
      </c>
      <c r="E99" s="11">
        <f t="shared" si="4"/>
        <v>0</v>
      </c>
      <c r="F99" s="9">
        <f t="shared" si="3"/>
        <v>0</v>
      </c>
      <c r="G99" s="9">
        <f t="shared" si="3"/>
        <v>0</v>
      </c>
    </row>
    <row r="100" spans="2:7" x14ac:dyDescent="0.25">
      <c r="B100" s="4">
        <v>90</v>
      </c>
      <c r="C100" s="9">
        <f t="shared" si="3"/>
        <v>0</v>
      </c>
      <c r="D100" s="9">
        <f t="shared" si="3"/>
        <v>0</v>
      </c>
      <c r="E100" s="11">
        <f t="shared" si="4"/>
        <v>0</v>
      </c>
      <c r="F100" s="9">
        <f t="shared" si="3"/>
        <v>0</v>
      </c>
      <c r="G100" s="9">
        <f t="shared" si="3"/>
        <v>0</v>
      </c>
    </row>
    <row r="101" spans="2:7" x14ac:dyDescent="0.25">
      <c r="B101" s="4">
        <v>91</v>
      </c>
      <c r="C101" s="9">
        <f t="shared" si="3"/>
        <v>0</v>
      </c>
      <c r="D101" s="9">
        <f t="shared" si="3"/>
        <v>0</v>
      </c>
      <c r="E101" s="11">
        <f t="shared" si="4"/>
        <v>0</v>
      </c>
      <c r="F101" s="9">
        <f t="shared" si="3"/>
        <v>0</v>
      </c>
      <c r="G101" s="9">
        <f t="shared" si="3"/>
        <v>0</v>
      </c>
    </row>
    <row r="102" spans="2:7" x14ac:dyDescent="0.25">
      <c r="B102" s="4">
        <v>92</v>
      </c>
      <c r="C102" s="9">
        <f t="shared" si="3"/>
        <v>0</v>
      </c>
      <c r="D102" s="9">
        <f t="shared" si="3"/>
        <v>0</v>
      </c>
      <c r="E102" s="11">
        <f t="shared" si="4"/>
        <v>0</v>
      </c>
      <c r="F102" s="9">
        <f t="shared" si="3"/>
        <v>0</v>
      </c>
      <c r="G102" s="9">
        <f t="shared" si="3"/>
        <v>0</v>
      </c>
    </row>
    <row r="103" spans="2:7" x14ac:dyDescent="0.25">
      <c r="B103" s="4">
        <v>93</v>
      </c>
      <c r="C103" s="9">
        <f t="shared" si="3"/>
        <v>0</v>
      </c>
      <c r="D103" s="9">
        <f t="shared" si="3"/>
        <v>0</v>
      </c>
      <c r="E103" s="11">
        <f t="shared" si="4"/>
        <v>0</v>
      </c>
      <c r="F103" s="9">
        <f t="shared" si="3"/>
        <v>0</v>
      </c>
      <c r="G103" s="9">
        <f t="shared" si="3"/>
        <v>0</v>
      </c>
    </row>
    <row r="104" spans="2:7" x14ac:dyDescent="0.25">
      <c r="B104" s="4">
        <v>94</v>
      </c>
      <c r="C104" s="9">
        <f t="shared" si="3"/>
        <v>0</v>
      </c>
      <c r="D104" s="9">
        <f t="shared" si="3"/>
        <v>0</v>
      </c>
      <c r="E104" s="11">
        <f t="shared" si="4"/>
        <v>0</v>
      </c>
      <c r="F104" s="9">
        <f t="shared" si="3"/>
        <v>0</v>
      </c>
      <c r="G104" s="9">
        <f t="shared" si="3"/>
        <v>0</v>
      </c>
    </row>
    <row r="105" spans="2:7" x14ac:dyDescent="0.25">
      <c r="B105" s="4">
        <v>95</v>
      </c>
      <c r="C105" s="9">
        <f t="shared" si="3"/>
        <v>0</v>
      </c>
      <c r="D105" s="9">
        <f t="shared" si="3"/>
        <v>0</v>
      </c>
      <c r="E105" s="11">
        <f t="shared" si="4"/>
        <v>0</v>
      </c>
      <c r="F105" s="9">
        <f t="shared" si="3"/>
        <v>0</v>
      </c>
      <c r="G105" s="9">
        <f t="shared" si="3"/>
        <v>0</v>
      </c>
    </row>
    <row r="106" spans="2:7" x14ac:dyDescent="0.25">
      <c r="B106" s="4">
        <v>96</v>
      </c>
      <c r="C106" s="9">
        <f t="shared" si="3"/>
        <v>0</v>
      </c>
      <c r="D106" s="9">
        <f t="shared" si="3"/>
        <v>0</v>
      </c>
      <c r="E106" s="11">
        <f t="shared" si="4"/>
        <v>0</v>
      </c>
      <c r="F106" s="9">
        <f t="shared" si="3"/>
        <v>0</v>
      </c>
      <c r="G106" s="9">
        <f t="shared" si="3"/>
        <v>0</v>
      </c>
    </row>
    <row r="107" spans="2:7" x14ac:dyDescent="0.25">
      <c r="B107" s="4">
        <v>97</v>
      </c>
      <c r="C107" s="9">
        <f t="shared" si="3"/>
        <v>0</v>
      </c>
      <c r="D107" s="9">
        <f t="shared" si="3"/>
        <v>0</v>
      </c>
      <c r="E107" s="11">
        <f t="shared" si="4"/>
        <v>0</v>
      </c>
      <c r="F107" s="9">
        <f t="shared" si="3"/>
        <v>0</v>
      </c>
      <c r="G107" s="9">
        <f t="shared" si="3"/>
        <v>0</v>
      </c>
    </row>
    <row r="108" spans="2:7" x14ac:dyDescent="0.25">
      <c r="B108" s="4">
        <v>98</v>
      </c>
      <c r="C108" s="9">
        <f t="shared" si="3"/>
        <v>0</v>
      </c>
      <c r="D108" s="9">
        <f t="shared" si="3"/>
        <v>0</v>
      </c>
      <c r="E108" s="11">
        <f t="shared" si="4"/>
        <v>0</v>
      </c>
      <c r="F108" s="9">
        <f t="shared" si="3"/>
        <v>0</v>
      </c>
      <c r="G108" s="9">
        <f t="shared" si="3"/>
        <v>0</v>
      </c>
    </row>
    <row r="109" spans="2:7" x14ac:dyDescent="0.25">
      <c r="B109" s="4">
        <v>99</v>
      </c>
      <c r="C109" s="9">
        <f t="shared" si="3"/>
        <v>0</v>
      </c>
      <c r="D109" s="9">
        <f t="shared" si="3"/>
        <v>0</v>
      </c>
      <c r="E109" s="11">
        <f t="shared" si="4"/>
        <v>0</v>
      </c>
      <c r="F109" s="9">
        <f t="shared" si="3"/>
        <v>0</v>
      </c>
      <c r="G109" s="9">
        <f t="shared" si="3"/>
        <v>0</v>
      </c>
    </row>
    <row r="110" spans="2:7" x14ac:dyDescent="0.25">
      <c r="B110" s="4">
        <v>100</v>
      </c>
      <c r="C110" s="9">
        <f t="shared" si="3"/>
        <v>0</v>
      </c>
      <c r="D110" s="9">
        <f t="shared" si="3"/>
        <v>0</v>
      </c>
      <c r="E110" s="11">
        <f t="shared" si="4"/>
        <v>0</v>
      </c>
      <c r="F110" s="9">
        <f t="shared" si="3"/>
        <v>0</v>
      </c>
      <c r="G110" s="9">
        <f t="shared" si="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ATODecayCurves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2015-06-05T18:17:20Z</dcterms:created>
  <dcterms:modified xsi:type="dcterms:W3CDTF">2025-04-11T17:32:18Z</dcterms:modified>
</cp:coreProperties>
</file>