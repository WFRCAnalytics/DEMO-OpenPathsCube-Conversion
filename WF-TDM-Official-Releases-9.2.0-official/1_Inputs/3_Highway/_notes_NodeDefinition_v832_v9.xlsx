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Coordination\1 - Models\1 - TDM\1 - Input Dev\3 - Highway Network\3 - Update Master Net - 2022-09-19\"/>
    </mc:Choice>
  </mc:AlternateContent>
  <xr:revisionPtr revIDLastSave="0" documentId="13_ncr:1_{41C9AB63-2C1D-4909-9265-3C7A0F67FDBE}" xr6:coauthVersionLast="47" xr6:coauthVersionMax="47" xr10:uidLastSave="{00000000-0000-0000-0000-000000000000}"/>
  <bookViews>
    <workbookView xWindow="4440" yWindow="150" windowWidth="23670" windowHeight="14730" xr2:uid="{4EC2BB68-1803-4406-A874-9C0B3B871224}"/>
  </bookViews>
  <sheets>
    <sheet name="Node_Range" sheetId="1" r:id="rId1"/>
    <sheet name="FLG_NEWNET Definition" sheetId="4" r:id="rId2"/>
  </sheets>
  <definedNames>
    <definedName name="_xlnm._FilterDatabase" localSheetId="0" hidden="1">Node_Range!$A$4:$H$3550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4" i="1" l="1"/>
  <c r="C13" i="1"/>
  <c r="O28" i="1"/>
  <c r="N28" i="1"/>
  <c r="G38" i="1" s="1"/>
  <c r="H26" i="1"/>
  <c r="G26" i="1"/>
  <c r="G20" i="1"/>
  <c r="G12" i="1"/>
  <c r="C7" i="1"/>
  <c r="N24" i="1"/>
  <c r="C22" i="1" s="1"/>
  <c r="O24" i="1"/>
  <c r="D22" i="1" s="1"/>
  <c r="C10" i="1"/>
  <c r="D10" i="1"/>
  <c r="C8" i="1"/>
  <c r="H26" i="4"/>
  <c r="I25" i="4" s="1"/>
  <c r="H20" i="4"/>
  <c r="I18" i="4" s="1"/>
  <c r="H14" i="4"/>
  <c r="H8" i="4"/>
  <c r="I7" i="4" s="1"/>
  <c r="I23" i="4" l="1"/>
  <c r="I24" i="4"/>
  <c r="I26" i="4" s="1"/>
  <c r="I6" i="4"/>
  <c r="I5" i="4"/>
  <c r="I17" i="4"/>
  <c r="I19" i="4"/>
  <c r="O29" i="1"/>
  <c r="N35" i="1"/>
  <c r="N36" i="1" s="1"/>
  <c r="O35" i="1"/>
  <c r="O36" i="1" s="1"/>
  <c r="P34" i="1"/>
  <c r="S34" i="1"/>
  <c r="S35" i="1" s="1"/>
  <c r="S36" i="1" s="1"/>
  <c r="S37" i="1" s="1"/>
  <c r="S38" i="1" s="1"/>
  <c r="S39" i="1" s="1"/>
  <c r="S40" i="1" s="1"/>
  <c r="W34" i="1"/>
  <c r="W35" i="1" s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28" i="1"/>
  <c r="W29" i="1" s="1"/>
  <c r="W30" i="1" s="1"/>
  <c r="W31" i="1" s="1"/>
  <c r="W32" i="1" s="1"/>
  <c r="S27" i="1"/>
  <c r="S28" i="1" s="1"/>
  <c r="S29" i="1" s="1"/>
  <c r="S30" i="1" s="1"/>
  <c r="S31" i="1" s="1"/>
  <c r="S32" i="1" s="1"/>
  <c r="W25" i="1"/>
  <c r="W26" i="1" s="1"/>
  <c r="S24" i="1"/>
  <c r="S25" i="1" s="1"/>
  <c r="H20" i="1"/>
  <c r="S19" i="1"/>
  <c r="W19" i="1"/>
  <c r="O8" i="1"/>
  <c r="D6" i="1" s="1"/>
  <c r="S14" i="1"/>
  <c r="W14" i="1"/>
  <c r="S13" i="1"/>
  <c r="W13" i="1"/>
  <c r="S12" i="1"/>
  <c r="W12" i="1"/>
  <c r="S11" i="1"/>
  <c r="W11" i="1"/>
  <c r="S10" i="1"/>
  <c r="W10" i="1"/>
  <c r="D8" i="1"/>
  <c r="N13" i="1" l="1"/>
  <c r="C12" i="1" s="1"/>
  <c r="G17" i="1"/>
  <c r="G18" i="1"/>
  <c r="G15" i="1"/>
  <c r="G16" i="1"/>
  <c r="G13" i="1"/>
  <c r="S20" i="1"/>
  <c r="S21" i="1" s="1"/>
  <c r="S22" i="1" s="1"/>
  <c r="N21" i="1" s="1"/>
  <c r="C19" i="1" s="1"/>
  <c r="C5" i="1"/>
  <c r="D5" i="1"/>
  <c r="H39" i="1"/>
  <c r="H17" i="1"/>
  <c r="O14" i="1"/>
  <c r="D13" i="1" s="1"/>
  <c r="N14" i="1"/>
  <c r="O15" i="1"/>
  <c r="D14" i="1" s="1"/>
  <c r="N15" i="1"/>
  <c r="C14" i="1" s="1"/>
  <c r="H14" i="1"/>
  <c r="I8" i="4"/>
  <c r="I20" i="4"/>
  <c r="P35" i="1"/>
  <c r="P36" i="1" s="1"/>
  <c r="H16" i="1"/>
  <c r="N12" i="1"/>
  <c r="C11" i="1" s="1"/>
  <c r="O16" i="1"/>
  <c r="D15" i="1" s="1"/>
  <c r="N16" i="1"/>
  <c r="C15" i="1" s="1"/>
  <c r="O7" i="1"/>
  <c r="D7" i="1" s="1"/>
  <c r="N6" i="1"/>
  <c r="O12" i="1"/>
  <c r="D11" i="1" s="1"/>
  <c r="O13" i="1"/>
  <c r="D12" i="1" s="1"/>
  <c r="H18" i="1"/>
  <c r="H15" i="1"/>
  <c r="O6" i="1"/>
  <c r="H13" i="1"/>
  <c r="H12" i="1"/>
  <c r="W20" i="1"/>
  <c r="G21" i="1" l="1"/>
  <c r="G24" i="1"/>
  <c r="G23" i="1"/>
  <c r="G22" i="1"/>
  <c r="N18" i="1"/>
  <c r="C17" i="1" s="1"/>
  <c r="W21" i="1"/>
  <c r="N19" i="1"/>
  <c r="C18" i="1" s="1"/>
  <c r="N22" i="1"/>
  <c r="C20" i="1" s="1"/>
  <c r="N20" i="1"/>
  <c r="N8" i="1" l="1"/>
  <c r="C6" i="1" s="1"/>
  <c r="W22" i="1"/>
  <c r="W23" i="1" l="1"/>
  <c r="H21" i="1" l="1"/>
  <c r="O18" i="1"/>
  <c r="D17" i="1" s="1"/>
  <c r="H22" i="1"/>
  <c r="H24" i="1"/>
  <c r="H23" i="1"/>
  <c r="O22" i="1"/>
  <c r="D20" i="1" s="1"/>
  <c r="O20" i="1"/>
  <c r="O21" i="1"/>
  <c r="D19" i="1" s="1"/>
  <c r="O19" i="1"/>
  <c r="D1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Worthen</author>
  </authors>
  <commentList>
    <comment ref="C7" authorId="0" shapeId="0" xr:uid="{17B798E7-F5D9-4A11-A3E5-89A9F291E38F}">
      <text>
        <r>
          <rPr>
            <sz val="9"/>
            <color indexed="81"/>
            <rFont val="Tahoma"/>
            <family val="2"/>
          </rPr>
          <t>No DummyZones exist in v832.  This unued TAZ range is a placeholder to keep model from crashing.</t>
        </r>
      </text>
    </comment>
  </commentList>
</comments>
</file>

<file path=xl/sharedStrings.xml><?xml version="1.0" encoding="utf-8"?>
<sst xmlns="http://schemas.openxmlformats.org/spreadsheetml/2006/main" count="304" uniqueCount="172">
  <si>
    <t>TAZ Range Summary</t>
  </si>
  <si>
    <t>v9 TAZ Range</t>
  </si>
  <si>
    <t>v8.3.2 TAZ Range</t>
  </si>
  <si>
    <t>UsedZones</t>
  </si>
  <si>
    <t>v9</t>
  </si>
  <si>
    <t>v8.3.2</t>
  </si>
  <si>
    <t>Type</t>
  </si>
  <si>
    <t>Description</t>
  </si>
  <si>
    <t>Internal Nodes</t>
  </si>
  <si>
    <t>County</t>
  </si>
  <si>
    <t>ExternalZones</t>
  </si>
  <si>
    <t>Max Used Zone</t>
  </si>
  <si>
    <t>Internal</t>
  </si>
  <si>
    <t>Box Elder</t>
  </si>
  <si>
    <t>Minimum TAZ value</t>
  </si>
  <si>
    <t>DummyZones</t>
  </si>
  <si>
    <t>Internal Used Zones</t>
  </si>
  <si>
    <t>Weber</t>
  </si>
  <si>
    <t>HwyNodes</t>
  </si>
  <si>
    <t>1 - 9,999</t>
  </si>
  <si>
    <t>Internal Unused Zones</t>
  </si>
  <si>
    <t>Davis</t>
  </si>
  <si>
    <t>Highway</t>
  </si>
  <si>
    <t>External Count</t>
  </si>
  <si>
    <t>Salt Lake</t>
  </si>
  <si>
    <t>RegionRange</t>
  </si>
  <si>
    <t>All New Used Zones</t>
  </si>
  <si>
    <t>Utah</t>
  </si>
  <si>
    <t>BoxElderRange</t>
  </si>
  <si>
    <t>Maximum TAZ value</t>
  </si>
  <si>
    <t>WeberRange</t>
  </si>
  <si>
    <t>External</t>
  </si>
  <si>
    <t>DavisRange</t>
  </si>
  <si>
    <t>SLRange</t>
  </si>
  <si>
    <t>UtahRange</t>
  </si>
  <si>
    <t>Internal TAZ</t>
  </si>
  <si>
    <t>ExtBoxElderRange</t>
  </si>
  <si>
    <t>ExtWeberRange</t>
  </si>
  <si>
    <t>External Nodes</t>
  </si>
  <si>
    <t>Location</t>
  </si>
  <si>
    <t>ExtSLRange</t>
  </si>
  <si>
    <t>FAR 1082 Bird Refuge</t>
  </si>
  <si>
    <t>ExtUtahRange</t>
  </si>
  <si>
    <t>SR 13/83 to Corinne</t>
  </si>
  <si>
    <t>FAR 1112 to Bear River</t>
  </si>
  <si>
    <t>NorthBC</t>
  </si>
  <si>
    <t>External TAZ</t>
  </si>
  <si>
    <t>I-15 to Tremonton</t>
  </si>
  <si>
    <t>SR 38 to Riverside</t>
  </si>
  <si>
    <t>10,000 - 19,999</t>
  </si>
  <si>
    <t>SR 91 to Logan</t>
  </si>
  <si>
    <t>WFRC Highway Nodes</t>
  </si>
  <si>
    <t>20,000 - 49,999</t>
  </si>
  <si>
    <t>FAR 3462 N Ogden Pass</t>
  </si>
  <si>
    <t>50,000 - 59,999</t>
  </si>
  <si>
    <t>SR 39 Ogden Canyon</t>
  </si>
  <si>
    <t>MAG Highway Nodes</t>
  </si>
  <si>
    <t>60,000 - 89,999</t>
  </si>
  <si>
    <t>I-84 to Summit</t>
  </si>
  <si>
    <t>FAR 2688 Butterfield Cyn to Tooele</t>
  </si>
  <si>
    <t>SR 201 to Tooele</t>
  </si>
  <si>
    <t>I-80 to Tooele</t>
  </si>
  <si>
    <t>SR 65 Mountain Dell Canyon</t>
  </si>
  <si>
    <t>10,000 - 49,999</t>
  </si>
  <si>
    <t>I-80 East Parley's</t>
  </si>
  <si>
    <t>10,000 - 14,999</t>
  </si>
  <si>
    <t>SR 190 Guardsman Pass</t>
  </si>
  <si>
    <t>15,000 - 19,999</t>
  </si>
  <si>
    <t>FAR 1828 Goshen Canyon</t>
  </si>
  <si>
    <t>20,000 - 24,999</t>
  </si>
  <si>
    <t>US 6 Eureka</t>
  </si>
  <si>
    <t>25,000 - 49,999</t>
  </si>
  <si>
    <t>SR 73 Rush Valley</t>
  </si>
  <si>
    <t>FAR 3108 Cascade Springs</t>
  </si>
  <si>
    <t>50,000 - 89,999</t>
  </si>
  <si>
    <t>SR 189 Provo Canyon</t>
  </si>
  <si>
    <t>50,000 - 54,999</t>
  </si>
  <si>
    <t>FAR 2865 Sixth Water / Horse Creek</t>
  </si>
  <si>
    <t>55,000 - 59,999</t>
  </si>
  <si>
    <t>FAR 2863 Sheep Creek</t>
  </si>
  <si>
    <t>60,000 - 64,999</t>
  </si>
  <si>
    <t>US 6 Price Canyon</t>
  </si>
  <si>
    <t>65,000 - 89,999</t>
  </si>
  <si>
    <t>SR 96 Scofield</t>
  </si>
  <si>
    <t>FAR 2495 Skyline Dr</t>
  </si>
  <si>
    <t>US 89 Thistle</t>
  </si>
  <si>
    <t>FAR 1822 Nebo Loop</t>
  </si>
  <si>
    <t>I-15 to Juab</t>
  </si>
  <si>
    <t>FAR 1826 South Ridge Farms</t>
  </si>
  <si>
    <t>Count</t>
  </si>
  <si>
    <t>TAZ - Common Geog (Diff # Scheme)</t>
  </si>
  <si>
    <t>TAZ - Unique to v832 (v832 # Scheme)</t>
  </si>
  <si>
    <t>TAZ - Unique to v9 (v9 # Scheme)</t>
  </si>
  <si>
    <t>90,000 - 94,999</t>
  </si>
  <si>
    <t>95,000 - 99,999</t>
  </si>
  <si>
    <t>NA</t>
  </si>
  <si>
    <t>FLG_NEWNET</t>
  </si>
  <si>
    <t>Definition</t>
  </si>
  <si>
    <t>Notes</t>
  </si>
  <si>
    <t>%</t>
  </si>
  <si>
    <t>18-19% are unique to v832 only</t>
  </si>
  <si>
    <t>34-35% are unique to v9 only</t>
  </si>
  <si>
    <t>All Transit Nodes are common to both v832 &amp; v9</t>
  </si>
  <si>
    <t>45-50% of TAZ are common to both v832 &amp; v9</t>
  </si>
  <si>
    <t>All External TAZ are unique (none are in common)</t>
  </si>
  <si>
    <t>There are 23 External TAZ in v832</t>
  </si>
  <si>
    <t>There are 29 External TAZ in v9</t>
  </si>
  <si>
    <t>All Highway Nodes in v832 are in v9</t>
  </si>
  <si>
    <t>Transit Nodes</t>
  </si>
  <si>
    <t>Highway Nodes</t>
  </si>
  <si>
    <t>Internal TAZ common to both v832 &amp; v9</t>
  </si>
  <si>
    <t>Internal TAZ unique to v832</t>
  </si>
  <si>
    <t>Internal TAZ unique to v9</t>
  </si>
  <si>
    <t>External TAZ common to both v832 &amp; v9</t>
  </si>
  <si>
    <t>External TAZ unique to v832</t>
  </si>
  <si>
    <t>External TAZ unique to v9</t>
  </si>
  <si>
    <t>No Highway Nodes are only in v832</t>
  </si>
  <si>
    <t>Transit Nodes/Links common to both v832 &amp; v9</t>
  </si>
  <si>
    <t>Transit Nodes/Links unique to v832</t>
  </si>
  <si>
    <t>Transit Nodes/Links unique to v9</t>
  </si>
  <si>
    <t>Highway Nodes/Links common to both v832 &amp; v9</t>
  </si>
  <si>
    <t>Highway Nodes/Links unique to v832</t>
  </si>
  <si>
    <t>Highway Nodes/Links unique to v9</t>
  </si>
  <si>
    <t>Less than 2% of network is unique to v9</t>
  </si>
  <si>
    <t>v832</t>
  </si>
  <si>
    <t>10,000 - 99,999</t>
  </si>
  <si>
    <t>Unused (Dummy) TAZ</t>
  </si>
  <si>
    <t>Transit - CRT</t>
  </si>
  <si>
    <t>Transit - LRT</t>
  </si>
  <si>
    <t>Highway - Freeway</t>
  </si>
  <si>
    <t>Highway - Other</t>
  </si>
  <si>
    <t>WFRC Transit</t>
  </si>
  <si>
    <t>WFRC Highway</t>
  </si>
  <si>
    <t>MAG Transit</t>
  </si>
  <si>
    <t>MAG Highway</t>
  </si>
  <si>
    <t>Highway/Transit</t>
  </si>
  <si>
    <t>TAZ (Internal/External)</t>
  </si>
  <si>
    <t>General</t>
  </si>
  <si>
    <t>Detailed</t>
  </si>
  <si>
    <t>Placeholder TAZ3</t>
  </si>
  <si>
    <t>for Merged Master Net</t>
  </si>
  <si>
    <t>TAZ Unique to v832</t>
  </si>
  <si>
    <t>TAZ Unique to v9</t>
  </si>
  <si>
    <t>900,000 + TAZID</t>
  </si>
  <si>
    <t>800,000 + TAZID</t>
  </si>
  <si>
    <t>Network Node Summary</t>
  </si>
  <si>
    <t>(Node Value in N_v9)</t>
  </si>
  <si>
    <t>(Node Value in N)</t>
  </si>
  <si>
    <t>Calculations</t>
  </si>
  <si>
    <t>Nodes</t>
  </si>
  <si>
    <t>else</t>
  </si>
  <si>
    <r>
      <rPr>
        <b/>
        <sz val="11"/>
        <color theme="1"/>
        <rFont val="Calibri"/>
        <family val="2"/>
        <scheme val="minor"/>
      </rPr>
      <t>GEOGKEY</t>
    </r>
    <r>
      <rPr>
        <sz val="11"/>
        <color theme="1"/>
        <rFont val="Calibri"/>
        <family val="2"/>
        <scheme val="minor"/>
      </rPr>
      <t xml:space="preserve">  =  INT(X_Coord) + '_' + INT(Y_Coord)</t>
    </r>
  </si>
  <si>
    <r>
      <t xml:space="preserve">    </t>
    </r>
    <r>
      <rPr>
        <b/>
        <sz val="11"/>
        <color theme="1"/>
        <rFont val="Calibri"/>
        <family val="2"/>
        <scheme val="minor"/>
      </rPr>
      <t>MAG_NODE</t>
    </r>
    <r>
      <rPr>
        <sz val="11"/>
        <color theme="1"/>
        <rFont val="Calibri"/>
        <family val="2"/>
        <scheme val="minor"/>
      </rPr>
      <t xml:space="preserve"> = 1</t>
    </r>
  </si>
  <si>
    <r>
      <t xml:space="preserve">    </t>
    </r>
    <r>
      <rPr>
        <b/>
        <sz val="11"/>
        <color theme="1"/>
        <rFont val="Calibri"/>
        <family val="2"/>
        <scheme val="minor"/>
      </rPr>
      <t>MAG_NODE</t>
    </r>
    <r>
      <rPr>
        <sz val="11"/>
        <color theme="1"/>
        <rFont val="Calibri"/>
        <family val="2"/>
        <scheme val="minor"/>
      </rPr>
      <t xml:space="preserve"> = 0</t>
    </r>
  </si>
  <si>
    <t>endif</t>
  </si>
  <si>
    <t>Links</t>
  </si>
  <si>
    <r>
      <rPr>
        <b/>
        <sz val="11"/>
        <color theme="1"/>
        <rFont val="Calibri"/>
        <family val="2"/>
        <scheme val="minor"/>
      </rPr>
      <t>LINKID</t>
    </r>
    <r>
      <rPr>
        <sz val="11"/>
        <color theme="1"/>
        <rFont val="Calibri"/>
        <family val="2"/>
        <scheme val="minor"/>
      </rPr>
      <t xml:space="preserve">  =  A_Node + '_' + B_Node</t>
    </r>
  </si>
  <si>
    <r>
      <t xml:space="preserve">    </t>
    </r>
    <r>
      <rPr>
        <b/>
        <sz val="11"/>
        <color theme="1"/>
        <rFont val="Calibri"/>
        <family val="2"/>
        <scheme val="minor"/>
      </rPr>
      <t>MAG_LINK</t>
    </r>
    <r>
      <rPr>
        <sz val="11"/>
        <color theme="1"/>
        <rFont val="Calibri"/>
        <family val="2"/>
        <scheme val="minor"/>
      </rPr>
      <t xml:space="preserve"> = 1</t>
    </r>
  </si>
  <si>
    <r>
      <t xml:space="preserve">    </t>
    </r>
    <r>
      <rPr>
        <b/>
        <sz val="11"/>
        <color theme="1"/>
        <rFont val="Calibri"/>
        <family val="2"/>
        <scheme val="minor"/>
      </rPr>
      <t>MAG_LINK</t>
    </r>
    <r>
      <rPr>
        <sz val="11"/>
        <color theme="1"/>
        <rFont val="Calibri"/>
        <family val="2"/>
        <scheme val="minor"/>
      </rPr>
      <t xml:space="preserve"> = 0</t>
    </r>
  </si>
  <si>
    <r>
      <t>if (</t>
    </r>
    <r>
      <rPr>
        <sz val="11"/>
        <color rgb="FFFF0000"/>
        <rFont val="Calibri"/>
        <family val="2"/>
        <scheme val="minor"/>
      </rPr>
      <t>li.1.A.MAG_NODE=1</t>
    </r>
    <r>
      <rPr>
        <sz val="11"/>
        <color theme="1"/>
        <rFont val="Calibri"/>
        <family val="2"/>
        <scheme val="minor"/>
      </rPr>
      <t xml:space="preserve"> &amp; </t>
    </r>
    <r>
      <rPr>
        <sz val="11"/>
        <color rgb="FFFF0000"/>
        <rFont val="Calibri"/>
        <family val="2"/>
        <scheme val="minor"/>
      </rPr>
      <t>li.1.B.MAG_NODE=1</t>
    </r>
    <r>
      <rPr>
        <sz val="11"/>
        <color theme="1"/>
        <rFont val="Calibri"/>
        <family val="2"/>
        <scheme val="minor"/>
      </rPr>
      <t>)  ;MAG_NODE=1 for both A &amp; B</t>
    </r>
  </si>
  <si>
    <r>
      <t>if (N=</t>
    </r>
    <r>
      <rPr>
        <sz val="11"/>
        <color rgb="FFFF0000"/>
        <rFont val="Calibri"/>
        <family val="2"/>
        <scheme val="minor"/>
      </rPr>
      <t>2217-3546, 3616-3629, 50000-89999. 95000-99999</t>
    </r>
    <r>
      <rPr>
        <sz val="11"/>
        <color theme="1"/>
        <rFont val="Calibri"/>
        <family val="2"/>
        <scheme val="minor"/>
      </rPr>
      <t>)  ;MAG Node ranges</t>
    </r>
  </si>
  <si>
    <t>(FLG_NEWNET = 20-21)</t>
  </si>
  <si>
    <t>(FLG_NEWNET = 10-11)</t>
  </si>
  <si>
    <t>Difference</t>
  </si>
  <si>
    <t>TAZ Summary</t>
  </si>
  <si>
    <t>TAZ Count</t>
  </si>
  <si>
    <t>General Parameters Variables</t>
  </si>
  <si>
    <t>Highway Network Node Ranges</t>
  </si>
  <si>
    <t>FLG_NEWNET - Summary</t>
  </si>
  <si>
    <t>FLG_NEWNET - Definitions</t>
  </si>
  <si>
    <t>WFRC Expanded (Donut) Area</t>
  </si>
  <si>
    <t>MAG Expanded (Donut)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</si>
</sst>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1"/>
      <color rgb="FFFFC1C1"/>
      <name val="Calibri"/>
      <family val="2"/>
      <scheme val="minor"/>
    </font>
    <font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u/>
      <sz val="18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69">
    <xf numFmtId="0" fontId="0" fillId="0" borderId="0" xfId="0"/>
    <xf numFmtId="1" fontId="3" fillId="2" borderId="0" xfId="0" applyNumberFormat="1" applyFont="1" applyFill="1"/>
    <xf numFmtId="0" fontId="3" fillId="2" borderId="0" xfId="0" applyFont="1" applyFill="1"/>
    <xf numFmtId="1" fontId="3" fillId="4" borderId="0" xfId="0" applyNumberFormat="1" applyFont="1" applyFill="1"/>
    <xf numFmtId="0" fontId="3" fillId="4" borderId="0" xfId="0" applyFont="1" applyFill="1"/>
    <xf numFmtId="1" fontId="0" fillId="2" borderId="0" xfId="0" applyNumberFormat="1" applyFill="1"/>
    <xf numFmtId="0" fontId="0" fillId="2" borderId="0" xfId="0" applyFill="1"/>
    <xf numFmtId="1" fontId="5" fillId="4" borderId="0" xfId="0" applyNumberFormat="1" applyFont="1" applyFill="1"/>
    <xf numFmtId="1" fontId="0" fillId="4" borderId="0" xfId="0" applyNumberFormat="1" applyFill="1"/>
    <xf numFmtId="0" fontId="0" fillId="4" borderId="0" xfId="0" applyFill="1"/>
    <xf numFmtId="1" fontId="6" fillId="4" borderId="0" xfId="0" applyNumberFormat="1" applyFont="1" applyFill="1" applyAlignment="1">
      <alignment horizontal="center"/>
    </xf>
    <xf numFmtId="1" fontId="2" fillId="4" borderId="0" xfId="0" applyNumberFormat="1" applyFont="1" applyFill="1" applyAlignment="1">
      <alignment horizontal="center"/>
    </xf>
    <xf numFmtId="1" fontId="4" fillId="5" borderId="0" xfId="0" applyNumberFormat="1" applyFont="1" applyFill="1" applyAlignment="1">
      <alignment horizontal="center"/>
    </xf>
    <xf numFmtId="1" fontId="7" fillId="5" borderId="0" xfId="0" applyNumberFormat="1" applyFont="1" applyFill="1" applyAlignment="1">
      <alignment horizontal="center"/>
    </xf>
    <xf numFmtId="0" fontId="7" fillId="5" borderId="0" xfId="0" applyFont="1" applyFill="1"/>
    <xf numFmtId="1" fontId="1" fillId="5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/>
    <xf numFmtId="3" fontId="4" fillId="5" borderId="0" xfId="0" applyNumberFormat="1" applyFont="1" applyFill="1" applyAlignment="1">
      <alignment horizontal="center"/>
    </xf>
    <xf numFmtId="3" fontId="1" fillId="5" borderId="0" xfId="0" quotePrefix="1" applyNumberFormat="1" applyFont="1" applyFill="1" applyAlignment="1">
      <alignment horizontal="center"/>
    </xf>
    <xf numFmtId="3" fontId="4" fillId="5" borderId="0" xfId="0" quotePrefix="1" applyNumberFormat="1" applyFont="1" applyFill="1" applyAlignment="1">
      <alignment horizontal="center"/>
    </xf>
    <xf numFmtId="3" fontId="7" fillId="4" borderId="0" xfId="0" applyNumberFormat="1" applyFont="1" applyFill="1" applyAlignment="1">
      <alignment horizontal="center"/>
    </xf>
    <xf numFmtId="1" fontId="1" fillId="5" borderId="1" xfId="0" applyNumberFormat="1" applyFont="1" applyFill="1" applyBorder="1" applyAlignment="1">
      <alignment horizontal="center"/>
    </xf>
    <xf numFmtId="0" fontId="7" fillId="5" borderId="1" xfId="0" applyFont="1" applyFill="1" applyBorder="1"/>
    <xf numFmtId="1" fontId="8" fillId="4" borderId="0" xfId="0" quotePrefix="1" applyNumberFormat="1" applyFont="1" applyFill="1" applyAlignment="1">
      <alignment horizontal="center"/>
    </xf>
    <xf numFmtId="0" fontId="1" fillId="5" borderId="0" xfId="0" applyFont="1" applyFill="1"/>
    <xf numFmtId="1" fontId="4" fillId="5" borderId="0" xfId="0" applyNumberFormat="1" applyFont="1" applyFill="1" applyAlignment="1">
      <alignment horizontal="center" wrapText="1"/>
    </xf>
    <xf numFmtId="0" fontId="9" fillId="5" borderId="0" xfId="0" applyFont="1" applyFill="1" applyAlignment="1">
      <alignment horizontal="left"/>
    </xf>
    <xf numFmtId="1" fontId="10" fillId="4" borderId="0" xfId="0" quotePrefix="1" applyNumberFormat="1" applyFont="1" applyFill="1" applyAlignment="1">
      <alignment horizontal="center"/>
    </xf>
    <xf numFmtId="1" fontId="1" fillId="5" borderId="0" xfId="0" applyNumberFormat="1" applyFont="1" applyFill="1"/>
    <xf numFmtId="0" fontId="5" fillId="4" borderId="0" xfId="0" applyFont="1" applyFill="1"/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2" fillId="4" borderId="0" xfId="0" applyFont="1" applyFill="1"/>
    <xf numFmtId="3" fontId="0" fillId="4" borderId="0" xfId="0" applyNumberFormat="1" applyFill="1" applyAlignment="1">
      <alignment horizontal="center"/>
    </xf>
    <xf numFmtId="3" fontId="1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7" fillId="4" borderId="0" xfId="0" applyFont="1" applyFill="1"/>
    <xf numFmtId="1" fontId="7" fillId="4" borderId="0" xfId="0" applyNumberFormat="1" applyFont="1" applyFill="1"/>
    <xf numFmtId="1" fontId="7" fillId="4" borderId="0" xfId="0" applyNumberFormat="1" applyFont="1" applyFill="1" applyAlignment="1">
      <alignment horizontal="center"/>
    </xf>
    <xf numFmtId="0" fontId="1" fillId="4" borderId="0" xfId="0" applyFont="1" applyFill="1"/>
    <xf numFmtId="0" fontId="5" fillId="2" borderId="0" xfId="0" applyFont="1" applyFill="1"/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12" fillId="5" borderId="0" xfId="0" applyFont="1" applyFill="1"/>
    <xf numFmtId="164" fontId="0" fillId="4" borderId="0" xfId="0" applyNumberFormat="1" applyFill="1" applyAlignment="1">
      <alignment horizontal="center"/>
    </xf>
    <xf numFmtId="164" fontId="0" fillId="5" borderId="0" xfId="1" applyNumberFormat="1" applyFont="1" applyFill="1" applyAlignment="1">
      <alignment horizontal="center"/>
    </xf>
    <xf numFmtId="0" fontId="13" fillId="5" borderId="0" xfId="0" applyFont="1" applyFill="1"/>
    <xf numFmtId="0" fontId="14" fillId="5" borderId="0" xfId="0" applyFont="1" applyFill="1"/>
    <xf numFmtId="1" fontId="0" fillId="5" borderId="0" xfId="0" applyNumberFormat="1" applyFill="1"/>
    <xf numFmtId="1" fontId="3" fillId="3" borderId="0" xfId="0" applyNumberFormat="1" applyFont="1" applyFill="1"/>
    <xf numFmtId="1" fontId="4" fillId="5" borderId="0" xfId="0" quotePrefix="1" applyNumberFormat="1" applyFont="1" applyFill="1" applyAlignment="1">
      <alignment horizontal="center"/>
    </xf>
    <xf numFmtId="0" fontId="4" fillId="5" borderId="0" xfId="0" quotePrefix="1" applyFont="1" applyFill="1" applyAlignment="1">
      <alignment horizontal="center"/>
    </xf>
    <xf numFmtId="0" fontId="1" fillId="5" borderId="0" xfId="0" quotePrefix="1" applyFont="1" applyFill="1" applyAlignment="1">
      <alignment horizontal="center"/>
    </xf>
    <xf numFmtId="1" fontId="0" fillId="4" borderId="0" xfId="0" applyNumberFormat="1" applyFill="1" applyAlignment="1">
      <alignment horizontal="center"/>
    </xf>
    <xf numFmtId="1" fontId="6" fillId="4" borderId="0" xfId="0" applyNumberFormat="1" applyFont="1" applyFill="1"/>
    <xf numFmtId="0" fontId="7" fillId="5" borderId="0" xfId="0" applyFont="1" applyFill="1" applyAlignment="1">
      <alignment horizontal="left"/>
    </xf>
    <xf numFmtId="1" fontId="6" fillId="5" borderId="0" xfId="0" applyNumberFormat="1" applyFont="1" applyFill="1"/>
    <xf numFmtId="0" fontId="16" fillId="4" borderId="0" xfId="0" applyFont="1" applyFill="1"/>
    <xf numFmtId="0" fontId="13" fillId="4" borderId="0" xfId="0" applyFont="1" applyFill="1"/>
    <xf numFmtId="0" fontId="3" fillId="3" borderId="0" xfId="0" applyFont="1" applyFill="1"/>
    <xf numFmtId="1" fontId="6" fillId="3" borderId="0" xfId="0" applyNumberFormat="1" applyFont="1" applyFill="1" applyAlignment="1">
      <alignment horizontal="center"/>
    </xf>
    <xf numFmtId="1" fontId="2" fillId="3" borderId="0" xfId="0" applyNumberFormat="1" applyFont="1" applyFill="1" applyAlignment="1">
      <alignment horizontal="center"/>
    </xf>
    <xf numFmtId="0" fontId="17" fillId="6" borderId="0" xfId="0" applyFont="1" applyFill="1"/>
    <xf numFmtId="0" fontId="1" fillId="7" borderId="0" xfId="0" quotePrefix="1" applyFont="1" applyFill="1" applyAlignment="1">
      <alignment horizontal="center"/>
    </xf>
    <xf numFmtId="1" fontId="2" fillId="4" borderId="0" xfId="0" applyNumberFormat="1" applyFont="1" applyFill="1"/>
    <xf numFmtId="1" fontId="0" fillId="3" borderId="0" xfId="0" applyNumberFormat="1" applyFill="1"/>
    <xf numFmtId="1" fontId="4" fillId="3" borderId="0" xfId="0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CC"/>
      <color rgb="FFFFC1C1"/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DADE5-37D6-44C8-B10A-E9F68EEAB826}">
  <sheetPr>
    <tabColor rgb="FF92D050"/>
  </sheetPr>
  <dimension ref="A1:X80"/>
  <sheetViews>
    <sheetView tabSelected="1" zoomScale="80" zoomScaleNormal="80" workbookViewId="0">
      <pane xSplit="1" ySplit="2" topLeftCell="B3" activePane="bottomRight" state="frozen"/>
      <selection activeCell="B3" sqref="B3"/>
      <selection pane="topRight" activeCell="B3" sqref="B3"/>
      <selection pane="bottomLeft" activeCell="B3" sqref="B3"/>
      <selection pane="bottomRight"/>
    </sheetView>
  </sheetViews>
  <sheetFormatPr defaultRowHeight="15" x14ac:dyDescent="0.25"/>
  <cols>
    <col min="1" max="1" width="4.7109375" style="5" customWidth="1"/>
    <col min="2" max="2" width="20.28515625" style="6" customWidth="1"/>
    <col min="3" max="3" width="39.42578125" style="6" bestFit="1" customWidth="1"/>
    <col min="4" max="4" width="16.5703125" style="6" customWidth="1"/>
    <col min="5" max="5" width="6.7109375" style="6" customWidth="1"/>
    <col min="6" max="6" width="30.140625" style="5" customWidth="1"/>
    <col min="7" max="7" width="21.5703125" style="5" bestFit="1" customWidth="1"/>
    <col min="8" max="8" width="21.5703125" style="5" customWidth="1"/>
    <col min="9" max="9" width="23.5703125" style="6" bestFit="1" customWidth="1"/>
    <col min="10" max="11" width="9.140625" style="6"/>
    <col min="12" max="12" width="19.28515625" style="6" customWidth="1"/>
    <col min="13" max="13" width="24.140625" style="6" bestFit="1" customWidth="1"/>
    <col min="14" max="14" width="38.42578125" style="6" bestFit="1" customWidth="1"/>
    <col min="15" max="15" width="17" style="6" customWidth="1"/>
    <col min="16" max="16" width="11.85546875" style="6" customWidth="1"/>
    <col min="17" max="17" width="9.140625" style="6"/>
    <col min="18" max="18" width="18.140625" style="5" customWidth="1"/>
    <col min="19" max="19" width="18.28515625" style="6" customWidth="1"/>
    <col min="20" max="20" width="45.7109375" style="5" bestFit="1" customWidth="1"/>
    <col min="21" max="21" width="9.140625" style="6"/>
    <col min="22" max="22" width="18.140625" style="5" customWidth="1"/>
    <col min="23" max="23" width="18.28515625" style="6" customWidth="1"/>
    <col min="24" max="24" width="45.7109375" style="5" bestFit="1" customWidth="1"/>
    <col min="25" max="16384" width="9.140625" style="6"/>
  </cols>
  <sheetData>
    <row r="1" spans="1:24" s="2" customFormat="1" ht="23.25" x14ac:dyDescent="0.35">
      <c r="A1" s="1"/>
      <c r="B1" s="64" t="s">
        <v>166</v>
      </c>
      <c r="C1" s="64"/>
      <c r="D1" s="64"/>
      <c r="F1" s="51" t="s">
        <v>167</v>
      </c>
      <c r="G1" s="51"/>
      <c r="H1" s="51"/>
      <c r="L1" s="4" t="s">
        <v>0</v>
      </c>
      <c r="M1" s="4"/>
      <c r="N1" s="4"/>
      <c r="O1" s="4"/>
      <c r="P1" s="4"/>
      <c r="R1" s="3" t="s">
        <v>2</v>
      </c>
      <c r="S1" s="4"/>
      <c r="T1" s="3"/>
      <c r="V1" s="3" t="s">
        <v>1</v>
      </c>
      <c r="W1" s="4"/>
      <c r="X1" s="3"/>
    </row>
    <row r="4" spans="1:24" x14ac:dyDescent="0.25">
      <c r="B4" s="31"/>
      <c r="C4" s="31" t="s">
        <v>124</v>
      </c>
      <c r="D4" s="31" t="s">
        <v>4</v>
      </c>
      <c r="F4" s="7" t="s">
        <v>137</v>
      </c>
      <c r="G4" s="10"/>
      <c r="H4" s="10"/>
      <c r="L4" s="30" t="s">
        <v>137</v>
      </c>
      <c r="M4" s="9"/>
      <c r="N4" s="9"/>
      <c r="O4" s="9"/>
      <c r="P4" s="9"/>
      <c r="R4" s="10" t="s">
        <v>8</v>
      </c>
      <c r="S4" s="10" t="s">
        <v>9</v>
      </c>
      <c r="T4" s="11" t="s">
        <v>7</v>
      </c>
      <c r="V4" s="10" t="s">
        <v>8</v>
      </c>
      <c r="W4" s="10" t="s">
        <v>9</v>
      </c>
      <c r="X4" s="11" t="s">
        <v>7</v>
      </c>
    </row>
    <row r="5" spans="1:24" x14ac:dyDescent="0.25">
      <c r="B5" s="50" t="s">
        <v>3</v>
      </c>
      <c r="C5" s="52">
        <f>N28</f>
        <v>2881</v>
      </c>
      <c r="D5" s="52">
        <f>O28</f>
        <v>3629</v>
      </c>
      <c r="F5" s="8"/>
      <c r="G5" s="10" t="s">
        <v>124</v>
      </c>
      <c r="H5" s="10" t="s">
        <v>4</v>
      </c>
      <c r="L5" s="10" t="s">
        <v>6</v>
      </c>
      <c r="M5" s="66" t="s">
        <v>7</v>
      </c>
      <c r="N5" s="10" t="s">
        <v>5</v>
      </c>
      <c r="O5" s="10" t="s">
        <v>4</v>
      </c>
      <c r="P5" s="21"/>
      <c r="R5" s="15">
        <v>1</v>
      </c>
      <c r="S5" s="15" t="s">
        <v>13</v>
      </c>
      <c r="T5" s="14" t="s">
        <v>14</v>
      </c>
      <c r="V5" s="15">
        <v>1</v>
      </c>
      <c r="W5" s="15" t="s">
        <v>13</v>
      </c>
      <c r="X5" s="14" t="s">
        <v>14</v>
      </c>
    </row>
    <row r="6" spans="1:24" x14ac:dyDescent="0.25">
      <c r="B6" s="50" t="s">
        <v>10</v>
      </c>
      <c r="C6" s="53" t="str">
        <f>"'" &amp; N8 &amp; "'"</f>
        <v>'136-140, 421-423, 1782-1788, 2874-2881'</v>
      </c>
      <c r="D6" s="53" t="str">
        <f>"'" &amp; O8 &amp; "'"</f>
        <v>'3601-3629'</v>
      </c>
      <c r="F6" s="17" t="s">
        <v>136</v>
      </c>
      <c r="G6" s="16" t="s">
        <v>19</v>
      </c>
      <c r="H6" s="16" t="s">
        <v>19</v>
      </c>
      <c r="L6" s="13" t="s">
        <v>12</v>
      </c>
      <c r="M6" s="14" t="s">
        <v>16</v>
      </c>
      <c r="N6" s="12" t="str">
        <f>MIN($R$5:$R$14) &amp; "-" &amp; MAX($R$5:$R$14)</f>
        <v>1-2873</v>
      </c>
      <c r="O6" s="12" t="str">
        <f>MIN($V$5:$V$14) &amp; "-" &amp; MAX($V$5:$V$14)</f>
        <v>1-3546</v>
      </c>
      <c r="P6" s="21"/>
      <c r="R6" s="15">
        <v>141</v>
      </c>
      <c r="S6" s="15" t="s">
        <v>17</v>
      </c>
      <c r="T6" s="14" t="s">
        <v>14</v>
      </c>
      <c r="V6" s="15">
        <v>154</v>
      </c>
      <c r="W6" s="15" t="s">
        <v>17</v>
      </c>
      <c r="X6" s="14" t="s">
        <v>14</v>
      </c>
    </row>
    <row r="7" spans="1:24" x14ac:dyDescent="0.25">
      <c r="B7" s="50" t="s">
        <v>15</v>
      </c>
      <c r="C7" s="65" t="str">
        <f>"'2882-3400'"</f>
        <v>'2882-3400'</v>
      </c>
      <c r="D7" s="53" t="str">
        <f>"'" &amp; O7 &amp; "'"</f>
        <v>'3547-3600'</v>
      </c>
      <c r="F7" s="17" t="s">
        <v>135</v>
      </c>
      <c r="G7" s="16" t="s">
        <v>125</v>
      </c>
      <c r="H7" s="16" t="s">
        <v>125</v>
      </c>
      <c r="L7" s="13" t="s">
        <v>12</v>
      </c>
      <c r="M7" s="14" t="s">
        <v>20</v>
      </c>
      <c r="N7" s="15" t="s">
        <v>95</v>
      </c>
      <c r="O7" s="12" t="str">
        <f>MAX($V$5:$V$14)+1 &amp; "-" &amp; MIN($V$18:$V$46)-1</f>
        <v>3547-3600</v>
      </c>
      <c r="P7" s="21"/>
      <c r="R7" s="15">
        <v>424</v>
      </c>
      <c r="S7" s="15" t="s">
        <v>21</v>
      </c>
      <c r="T7" s="14" t="s">
        <v>14</v>
      </c>
      <c r="V7" s="15">
        <v>582</v>
      </c>
      <c r="W7" s="15" t="s">
        <v>21</v>
      </c>
      <c r="X7" s="14" t="s">
        <v>14</v>
      </c>
    </row>
    <row r="8" spans="1:24" x14ac:dyDescent="0.25">
      <c r="B8" s="50" t="s">
        <v>18</v>
      </c>
      <c r="C8" s="54" t="str">
        <f>"'10000-999999'"</f>
        <v>'10000-999999'</v>
      </c>
      <c r="D8" s="54" t="str">
        <f>"'10000-999999'"</f>
        <v>'10000-999999'</v>
      </c>
      <c r="L8" s="13" t="s">
        <v>31</v>
      </c>
      <c r="M8" s="14" t="s">
        <v>38</v>
      </c>
      <c r="N8" s="26" t="str">
        <f>N18 &amp; ", " &amp; N19 &amp; ", " &amp; N21 &amp; ", " &amp; N22</f>
        <v>136-140, 421-423, 1782-1788, 2874-2881</v>
      </c>
      <c r="O8" s="12" t="str">
        <f>MIN($V$18:$V$46) &amp; "-" &amp; MAX($V$18:$V$46)</f>
        <v>3601-3629</v>
      </c>
      <c r="P8" s="21"/>
      <c r="R8" s="15">
        <v>655</v>
      </c>
      <c r="S8" s="15" t="s">
        <v>24</v>
      </c>
      <c r="T8" s="14" t="s">
        <v>14</v>
      </c>
      <c r="V8" s="15">
        <v>906</v>
      </c>
      <c r="W8" s="15" t="s">
        <v>24</v>
      </c>
      <c r="X8" s="14" t="s">
        <v>14</v>
      </c>
    </row>
    <row r="9" spans="1:24" x14ac:dyDescent="0.25">
      <c r="B9" s="8"/>
      <c r="C9" s="55"/>
      <c r="D9" s="55"/>
      <c r="L9" s="9"/>
      <c r="M9" s="9"/>
      <c r="N9" s="9"/>
      <c r="O9" s="9"/>
      <c r="P9" s="21"/>
      <c r="R9" s="22">
        <v>1789</v>
      </c>
      <c r="S9" s="22" t="s">
        <v>27</v>
      </c>
      <c r="T9" s="23" t="s">
        <v>14</v>
      </c>
      <c r="V9" s="22">
        <v>2217</v>
      </c>
      <c r="W9" s="22" t="s">
        <v>27</v>
      </c>
      <c r="X9" s="23" t="s">
        <v>14</v>
      </c>
    </row>
    <row r="10" spans="1:24" x14ac:dyDescent="0.25">
      <c r="B10" s="50" t="s">
        <v>25</v>
      </c>
      <c r="C10" s="52" t="str">
        <f>"'" &amp; MIN($R$5:$R$14) &amp; "-" &amp; MAX($R$18:$R$40) &amp; "'"</f>
        <v>'1-2881'</v>
      </c>
      <c r="D10" s="52" t="str">
        <f>"'" &amp; MIN($V$5:$V$14) &amp; "-" &amp; MAX($V$18:$V$46) &amp; "'"</f>
        <v>'1-3629'</v>
      </c>
      <c r="F10" s="7" t="s">
        <v>145</v>
      </c>
      <c r="G10" s="8"/>
      <c r="H10" s="8"/>
      <c r="I10" s="9"/>
      <c r="L10" s="30" t="s">
        <v>164</v>
      </c>
      <c r="M10" s="9"/>
      <c r="N10" s="9"/>
      <c r="O10" s="9"/>
      <c r="P10" s="21"/>
      <c r="R10" s="15">
        <v>135</v>
      </c>
      <c r="S10" s="12" t="str">
        <f>S5</f>
        <v>Box Elder</v>
      </c>
      <c r="T10" s="14" t="s">
        <v>29</v>
      </c>
      <c r="V10" s="15">
        <v>153</v>
      </c>
      <c r="W10" s="12" t="str">
        <f>W5</f>
        <v>Box Elder</v>
      </c>
      <c r="X10" s="14" t="s">
        <v>29</v>
      </c>
    </row>
    <row r="11" spans="1:24" x14ac:dyDescent="0.25">
      <c r="B11" s="50" t="s">
        <v>28</v>
      </c>
      <c r="C11" s="53" t="str">
        <f t="shared" ref="C11:D15" si="0">"'" &amp; N12 &amp; "'"</f>
        <v>'1-135'</v>
      </c>
      <c r="D11" s="53" t="str">
        <f t="shared" si="0"/>
        <v>'1-153'</v>
      </c>
      <c r="F11" s="8"/>
      <c r="G11" s="10" t="s">
        <v>124</v>
      </c>
      <c r="H11" s="10" t="s">
        <v>4</v>
      </c>
      <c r="I11" s="9"/>
      <c r="L11" s="10" t="s">
        <v>6</v>
      </c>
      <c r="M11" s="66" t="s">
        <v>7</v>
      </c>
      <c r="N11" s="10" t="s">
        <v>5</v>
      </c>
      <c r="O11" s="10" t="s">
        <v>4</v>
      </c>
      <c r="P11" s="21"/>
      <c r="R11" s="15">
        <v>420</v>
      </c>
      <c r="S11" s="12" t="str">
        <f>S6</f>
        <v>Weber</v>
      </c>
      <c r="T11" s="14" t="s">
        <v>29</v>
      </c>
      <c r="V11" s="15">
        <v>581</v>
      </c>
      <c r="W11" s="12" t="str">
        <f>W6</f>
        <v>Weber</v>
      </c>
      <c r="X11" s="14" t="s">
        <v>29</v>
      </c>
    </row>
    <row r="12" spans="1:24" x14ac:dyDescent="0.25">
      <c r="B12" s="50" t="s">
        <v>30</v>
      </c>
      <c r="C12" s="53" t="str">
        <f t="shared" si="0"/>
        <v>'141-420'</v>
      </c>
      <c r="D12" s="53" t="str">
        <f t="shared" si="0"/>
        <v>'154-581'</v>
      </c>
      <c r="F12" s="56" t="s">
        <v>35</v>
      </c>
      <c r="G12" s="24" t="str">
        <f>MIN($R$5:$R$14) &amp; " - " &amp; MAX($R$5:$R$14)</f>
        <v>1 - 2873</v>
      </c>
      <c r="H12" s="24" t="str">
        <f>MIN($V$5:$V$14) &amp; " - " &amp; MAX($V$5:$V$14)</f>
        <v>1 - 3546</v>
      </c>
      <c r="I12" s="9"/>
      <c r="L12" s="13" t="s">
        <v>12</v>
      </c>
      <c r="M12" s="14" t="s">
        <v>13</v>
      </c>
      <c r="N12" s="12" t="str">
        <f>_xlfn.MINIFS($R$5:$R$14,  $S$5:$S$14, $M12) &amp; "-" &amp; _xlfn.MAXIFS($R$5:$R$14,  $S$5:$S$14, $M12)</f>
        <v>1-135</v>
      </c>
      <c r="O12" s="12" t="str">
        <f>_xlfn.MINIFS($V$5:$V$14,  $W$5:$W$14, $M12) &amp; "-" &amp; _xlfn.MAXIFS($V$5:$V$14,  $W$5:$W$14, $M12)</f>
        <v>1-153</v>
      </c>
      <c r="P12" s="21"/>
      <c r="R12" s="15">
        <v>654</v>
      </c>
      <c r="S12" s="12" t="str">
        <f>S7</f>
        <v>Davis</v>
      </c>
      <c r="T12" s="14" t="s">
        <v>29</v>
      </c>
      <c r="V12" s="15">
        <v>905</v>
      </c>
      <c r="W12" s="12" t="str">
        <f>W7</f>
        <v>Davis</v>
      </c>
      <c r="X12" s="14" t="s">
        <v>29</v>
      </c>
    </row>
    <row r="13" spans="1:24" x14ac:dyDescent="0.25">
      <c r="B13" s="50" t="s">
        <v>32</v>
      </c>
      <c r="C13" s="53" t="str">
        <f>"'" &amp; N14 &amp; "'"</f>
        <v>'424-654'</v>
      </c>
      <c r="D13" s="53" t="str">
        <f t="shared" si="0"/>
        <v>'582-905'</v>
      </c>
      <c r="F13" s="57" t="s">
        <v>13</v>
      </c>
      <c r="G13" s="12" t="str">
        <f>_xlfn.MINIFS($R$5:$R$14,  $S$5:$S$14, $F13) &amp; " - " &amp; _xlfn.MAXIFS($R$5:$R$14,  $S$5:$S$14, $F13)</f>
        <v>1 - 135</v>
      </c>
      <c r="H13" s="12" t="str">
        <f t="shared" ref="H13:H17" si="1">_xlfn.MINIFS($V$5:$V$14,  $W$5:$W$14, $F13) &amp; " - " &amp; _xlfn.MAXIFS($V$5:$V$14,  $W$5:$W$14, $F13)</f>
        <v>1 - 153</v>
      </c>
      <c r="I13" s="9"/>
      <c r="L13" s="13" t="s">
        <v>12</v>
      </c>
      <c r="M13" s="14" t="s">
        <v>17</v>
      </c>
      <c r="N13" s="12" t="str">
        <f>_xlfn.MINIFS($R$5:$R$14,  $S$5:$S$14, $M13) &amp; "-" &amp; _xlfn.MAXIFS($R$5:$R$14,  $S$5:$S$14, $M13)</f>
        <v>141-420</v>
      </c>
      <c r="O13" s="12" t="str">
        <f>_xlfn.MINIFS($V$5:$V$14,  $W$5:$W$14, $M13) &amp; "-" &amp; _xlfn.MAXIFS($V$5:$V$14,  $W$5:$W$14, $M13)</f>
        <v>154-581</v>
      </c>
      <c r="P13" s="21"/>
      <c r="R13" s="15">
        <v>1781</v>
      </c>
      <c r="S13" s="12" t="str">
        <f>S8</f>
        <v>Salt Lake</v>
      </c>
      <c r="T13" s="14" t="s">
        <v>29</v>
      </c>
      <c r="V13" s="15">
        <v>2216</v>
      </c>
      <c r="W13" s="12" t="str">
        <f>W8</f>
        <v>Salt Lake</v>
      </c>
      <c r="X13" s="14" t="s">
        <v>29</v>
      </c>
    </row>
    <row r="14" spans="1:24" x14ac:dyDescent="0.25">
      <c r="B14" s="50" t="s">
        <v>33</v>
      </c>
      <c r="C14" s="53" t="str">
        <f t="shared" si="0"/>
        <v>'655-1781'</v>
      </c>
      <c r="D14" s="53" t="str">
        <f t="shared" si="0"/>
        <v>'906-2216'</v>
      </c>
      <c r="F14" s="57" t="s">
        <v>17</v>
      </c>
      <c r="G14" s="12" t="str">
        <f>_xlfn.MINIFS($R$5:$R$14,  $S$5:$S$14, $F14) &amp; " - " &amp; _xlfn.MAXIFS($R$5:$R$14,  $S$5:$S$14, $F14)</f>
        <v>141 - 420</v>
      </c>
      <c r="H14" s="12" t="str">
        <f t="shared" si="1"/>
        <v>154 - 581</v>
      </c>
      <c r="I14" s="9"/>
      <c r="L14" s="13" t="s">
        <v>12</v>
      </c>
      <c r="M14" s="14" t="s">
        <v>21</v>
      </c>
      <c r="N14" s="12" t="str">
        <f>_xlfn.MINIFS($R$5:$R$14,  $S$5:$S$14, $M14) &amp; "-" &amp; _xlfn.MAXIFS($R$5:$R$14,  $S$5:$S$14, $M14)</f>
        <v>424-654</v>
      </c>
      <c r="O14" s="12" t="str">
        <f>_xlfn.MINIFS($V$5:$V$14,  $W$5:$W$14, $M14) &amp; "-" &amp; _xlfn.MAXIFS($V$5:$V$14,  $W$5:$W$14, $M14)</f>
        <v>582-905</v>
      </c>
      <c r="P14" s="21"/>
      <c r="R14" s="15">
        <v>2873</v>
      </c>
      <c r="S14" s="12" t="str">
        <f>S9</f>
        <v>Utah</v>
      </c>
      <c r="T14" s="14" t="s">
        <v>29</v>
      </c>
      <c r="V14" s="15">
        <v>3546</v>
      </c>
      <c r="W14" s="12" t="str">
        <f>W9</f>
        <v>Utah</v>
      </c>
      <c r="X14" s="14" t="s">
        <v>29</v>
      </c>
    </row>
    <row r="15" spans="1:24" x14ac:dyDescent="0.25">
      <c r="B15" s="50" t="s">
        <v>34</v>
      </c>
      <c r="C15" s="53" t="str">
        <f t="shared" si="0"/>
        <v>'1789-2873'</v>
      </c>
      <c r="D15" s="53" t="str">
        <f t="shared" si="0"/>
        <v>'2217-3546'</v>
      </c>
      <c r="F15" s="57" t="s">
        <v>21</v>
      </c>
      <c r="G15" s="12" t="str">
        <f t="shared" ref="G15:G18" si="2">_xlfn.MINIFS($R$5:$R$14,  $S$5:$S$14, $F15) &amp; " - " &amp; _xlfn.MAXIFS($R$5:$R$14,  $S$5:$S$14, $F15)</f>
        <v>424 - 654</v>
      </c>
      <c r="H15" s="12" t="str">
        <f t="shared" si="1"/>
        <v>582 - 905</v>
      </c>
      <c r="I15" s="9"/>
      <c r="L15" s="13" t="s">
        <v>12</v>
      </c>
      <c r="M15" s="14" t="s">
        <v>24</v>
      </c>
      <c r="N15" s="12" t="str">
        <f>_xlfn.MINIFS($R$5:$R$14,  $S$5:$S$14, $M15) &amp; "-" &amp; _xlfn.MAXIFS($R$5:$R$14,  $S$5:$S$14, $M15)</f>
        <v>655-1781</v>
      </c>
      <c r="O15" s="12" t="str">
        <f>_xlfn.MINIFS($V$5:$V$14,  $W$5:$W$14, $M15) &amp; "-" &amp; _xlfn.MAXIFS($V$5:$V$14,  $W$5:$W$14, $M15)</f>
        <v>906-2216</v>
      </c>
      <c r="P15" s="21"/>
    </row>
    <row r="16" spans="1:24" x14ac:dyDescent="0.25">
      <c r="B16" s="8"/>
      <c r="C16" s="55"/>
      <c r="D16" s="55"/>
      <c r="F16" s="57" t="s">
        <v>24</v>
      </c>
      <c r="G16" s="12" t="str">
        <f t="shared" si="2"/>
        <v>655 - 1781</v>
      </c>
      <c r="H16" s="12" t="str">
        <f t="shared" si="1"/>
        <v>906 - 2216</v>
      </c>
      <c r="I16" s="9"/>
      <c r="L16" s="13" t="s">
        <v>12</v>
      </c>
      <c r="M16" s="14" t="s">
        <v>27</v>
      </c>
      <c r="N16" s="12" t="str">
        <f>_xlfn.MINIFS($R$5:$R$14,  $S$5:$S$14, $M16) &amp; "-" &amp; _xlfn.MAXIFS($R$5:$R$14,  $S$5:$S$14, $M16)</f>
        <v>1789-2873</v>
      </c>
      <c r="O16" s="12" t="str">
        <f>_xlfn.MINIFS($V$5:$V$14,  $W$5:$W$14, $M16) &amp; "-" &amp; _xlfn.MAXIFS($V$5:$V$14,  $W$5:$W$14, $M16)</f>
        <v>2217-3546</v>
      </c>
      <c r="P16" s="21"/>
    </row>
    <row r="17" spans="2:24" x14ac:dyDescent="0.25">
      <c r="B17" s="50" t="s">
        <v>36</v>
      </c>
      <c r="C17" s="53" t="str">
        <f>"'" &amp; N18 &amp; "'"</f>
        <v>'136-140'</v>
      </c>
      <c r="D17" s="53" t="str">
        <f>"'" &amp; O18 &amp; "'"</f>
        <v>'3601-3606'</v>
      </c>
      <c r="F17" s="57" t="s">
        <v>27</v>
      </c>
      <c r="G17" s="12" t="str">
        <f t="shared" si="2"/>
        <v>1789 - 2873</v>
      </c>
      <c r="H17" s="12" t="str">
        <f t="shared" si="1"/>
        <v>2217 - 3546</v>
      </c>
      <c r="I17" s="9"/>
      <c r="L17" s="39"/>
      <c r="M17" s="37"/>
      <c r="N17" s="39"/>
      <c r="O17" s="39"/>
      <c r="P17" s="21"/>
      <c r="R17" s="62" t="s">
        <v>38</v>
      </c>
      <c r="S17" s="62" t="s">
        <v>9</v>
      </c>
      <c r="T17" s="63" t="s">
        <v>39</v>
      </c>
      <c r="V17" s="62" t="s">
        <v>38</v>
      </c>
      <c r="W17" s="62" t="s">
        <v>9</v>
      </c>
      <c r="X17" s="63" t="s">
        <v>39</v>
      </c>
    </row>
    <row r="18" spans="2:24" x14ac:dyDescent="0.25">
      <c r="B18" s="50" t="s">
        <v>37</v>
      </c>
      <c r="C18" s="53" t="str">
        <f>"'" &amp; N19 &amp; "'"</f>
        <v>'421-423'</v>
      </c>
      <c r="D18" s="53" t="str">
        <f>"'" &amp; O19 &amp; "'"</f>
        <v>'3607-3609'</v>
      </c>
      <c r="F18" s="57" t="s">
        <v>126</v>
      </c>
      <c r="G18" s="12" t="str">
        <f t="shared" si="2"/>
        <v>0 - 0</v>
      </c>
      <c r="H18" s="12" t="str">
        <f>MAX($V$5:$V$14)+1 &amp; " - " &amp; MIN($V$18:$V$46)-1</f>
        <v>3547 - 3600</v>
      </c>
      <c r="I18" s="9"/>
      <c r="L18" s="13" t="s">
        <v>31</v>
      </c>
      <c r="M18" s="14" t="s">
        <v>13</v>
      </c>
      <c r="N18" s="12" t="str">
        <f>_xlfn.MINIFS($R$18:$R$40,  $S$18:$S$40, $M18) &amp; "-" &amp; _xlfn.MAXIFS($R$18:$R$40,  $S$18:$S$40, $M18)</f>
        <v>136-140</v>
      </c>
      <c r="O18" s="12" t="str">
        <f>_xlfn.MINIFS($V$18:$V$46,  $W$18:$W$46, $M18) &amp; "-" &amp; _xlfn.MAXIFS($V$18:$V$46,  $W$18:$W$46, $M18)</f>
        <v>3601-3606</v>
      </c>
      <c r="P18" s="21"/>
      <c r="R18" s="15">
        <v>136</v>
      </c>
      <c r="S18" s="15" t="s">
        <v>13</v>
      </c>
      <c r="T18" s="25"/>
      <c r="V18" s="15">
        <v>3601</v>
      </c>
      <c r="W18" s="15" t="s">
        <v>13</v>
      </c>
      <c r="X18" s="25" t="s">
        <v>41</v>
      </c>
    </row>
    <row r="19" spans="2:24" x14ac:dyDescent="0.25">
      <c r="B19" s="50" t="s">
        <v>40</v>
      </c>
      <c r="C19" s="53" t="str">
        <f>"'" &amp; N21 &amp; "'"</f>
        <v>'1782-1788'</v>
      </c>
      <c r="D19" s="53" t="str">
        <f>"'" &amp; O21 &amp; "'"</f>
        <v>'3610-3615'</v>
      </c>
      <c r="F19" s="8"/>
      <c r="G19" s="8"/>
      <c r="H19" s="8"/>
      <c r="I19" s="9"/>
      <c r="L19" s="13" t="s">
        <v>31</v>
      </c>
      <c r="M19" s="14" t="s">
        <v>17</v>
      </c>
      <c r="N19" s="12" t="str">
        <f>_xlfn.MINIFS($R$18:$R$40,  $S$18:$S$40, $M19) &amp; "-" &amp; _xlfn.MAXIFS($R$18:$R$40,  $S$18:$S$40, $M19)</f>
        <v>421-423</v>
      </c>
      <c r="O19" s="12" t="str">
        <f>_xlfn.MINIFS($V$18:$V$46,  $W$18:$W$46, $M19) &amp; "-" &amp; _xlfn.MAXIFS($V$18:$V$46,  $W$18:$W$46, $M19)</f>
        <v>3607-3609</v>
      </c>
      <c r="P19" s="21"/>
      <c r="R19" s="15">
        <v>137</v>
      </c>
      <c r="S19" s="12" t="str">
        <f>S18</f>
        <v>Box Elder</v>
      </c>
      <c r="T19" s="25"/>
      <c r="V19" s="15">
        <v>3602</v>
      </c>
      <c r="W19" s="12" t="str">
        <f>W18</f>
        <v>Box Elder</v>
      </c>
      <c r="X19" s="25" t="s">
        <v>43</v>
      </c>
    </row>
    <row r="20" spans="2:24" x14ac:dyDescent="0.25">
      <c r="B20" s="50" t="s">
        <v>42</v>
      </c>
      <c r="C20" s="53" t="str">
        <f>"'" &amp; N22 &amp; "'"</f>
        <v>'2874-2881'</v>
      </c>
      <c r="D20" s="53" t="str">
        <f>"'" &amp; O22 &amp; "'"</f>
        <v>'3616-3629'</v>
      </c>
      <c r="F20" s="56" t="s">
        <v>46</v>
      </c>
      <c r="G20" s="24" t="str">
        <f>MIN($R$18:$R$40) &amp; " - " &amp; MAX($R$18:$R$40)</f>
        <v>136 - 2881</v>
      </c>
      <c r="H20" s="24" t="str">
        <f>MIN($V$18:$V$46) &amp; " - " &amp; MAX($V$18:$V$46)</f>
        <v>3601 - 3629</v>
      </c>
      <c r="I20" s="9"/>
      <c r="L20" s="13" t="s">
        <v>31</v>
      </c>
      <c r="M20" s="14" t="s">
        <v>21</v>
      </c>
      <c r="N20" s="12" t="str">
        <f>_xlfn.MINIFS($R$18:$R$40,  $S$18:$S$40, $M20) &amp; "-" &amp; _xlfn.MAXIFS($R$18:$R$40,  $S$18:$S$40, $M20)</f>
        <v>0-0</v>
      </c>
      <c r="O20" s="12" t="str">
        <f>_xlfn.MINIFS($V$18:$V$46,  $W$18:$W$46, $M20) &amp; "-" &amp; _xlfn.MAXIFS($V$18:$V$46,  $W$18:$W$46, $M20)</f>
        <v>0-0</v>
      </c>
      <c r="P20" s="21"/>
      <c r="R20" s="15">
        <v>138</v>
      </c>
      <c r="S20" s="12" t="str">
        <f>S19</f>
        <v>Box Elder</v>
      </c>
      <c r="T20" s="25"/>
      <c r="V20" s="15">
        <v>3603</v>
      </c>
      <c r="W20" s="12" t="str">
        <f>W19</f>
        <v>Box Elder</v>
      </c>
      <c r="X20" s="25" t="s">
        <v>44</v>
      </c>
    </row>
    <row r="21" spans="2:24" x14ac:dyDescent="0.25">
      <c r="B21" s="8"/>
      <c r="C21" s="55"/>
      <c r="D21" s="55"/>
      <c r="F21" s="57" t="s">
        <v>13</v>
      </c>
      <c r="G21" s="12" t="str">
        <f>_xlfn.MINIFS($R$18:$R$40,  $S$18:$S$40, $F21) &amp; " - " &amp; _xlfn.MAXIFS($R$18:$R$40,  $S$18:$S$40, $F21)</f>
        <v>136 - 140</v>
      </c>
      <c r="H21" s="12" t="str">
        <f t="shared" ref="H21:H24" si="3">_xlfn.MINIFS($V$18:$V$46,  $W$18:$W$46, $F21) &amp; " - " &amp; _xlfn.MAXIFS($V$18:$V$46,  $W$18:$W$46, $F21)</f>
        <v>3601 - 3606</v>
      </c>
      <c r="I21" s="9"/>
      <c r="L21" s="13" t="s">
        <v>31</v>
      </c>
      <c r="M21" s="14" t="s">
        <v>24</v>
      </c>
      <c r="N21" s="12" t="str">
        <f>_xlfn.MINIFS($R$18:$R$40,  $S$18:$S$40, $M21) &amp; "-" &amp; _xlfn.MAXIFS($R$18:$R$40,  $S$18:$S$40, $M21)</f>
        <v>1782-1788</v>
      </c>
      <c r="O21" s="12" t="str">
        <f>_xlfn.MINIFS($V$18:$V$46,  $W$18:$W$46, $M21) &amp; "-" &amp; _xlfn.MAXIFS($V$18:$V$46,  $W$18:$W$46, $M21)</f>
        <v>3610-3615</v>
      </c>
      <c r="P21" s="21"/>
      <c r="R21" s="15">
        <v>139</v>
      </c>
      <c r="S21" s="12" t="str">
        <f>S20</f>
        <v>Box Elder</v>
      </c>
      <c r="T21" s="25"/>
      <c r="V21" s="15">
        <v>3604</v>
      </c>
      <c r="W21" s="12" t="str">
        <f>W20</f>
        <v>Box Elder</v>
      </c>
      <c r="X21" s="25" t="s">
        <v>47</v>
      </c>
    </row>
    <row r="22" spans="2:24" x14ac:dyDescent="0.25">
      <c r="B22" s="50" t="s">
        <v>45</v>
      </c>
      <c r="C22" s="53" t="str">
        <f>"'" &amp; N24 &amp; "'"</f>
        <v>'138-140'</v>
      </c>
      <c r="D22" s="53" t="str">
        <f>"'" &amp; O24 &amp; "'"</f>
        <v>'3602-3604'</v>
      </c>
      <c r="F22" s="57" t="s">
        <v>17</v>
      </c>
      <c r="G22" s="12" t="str">
        <f t="shared" ref="G22:G24" si="4">_xlfn.MINIFS($R$18:$R$40,  $S$18:$S$40, $F22) &amp; " - " &amp; _xlfn.MAXIFS($R$18:$R$40,  $S$18:$S$40, $F22)</f>
        <v>421 - 423</v>
      </c>
      <c r="H22" s="12" t="str">
        <f t="shared" si="3"/>
        <v>3607 - 3609</v>
      </c>
      <c r="I22" s="9"/>
      <c r="L22" s="13" t="s">
        <v>31</v>
      </c>
      <c r="M22" s="14" t="s">
        <v>27</v>
      </c>
      <c r="N22" s="12" t="str">
        <f>_xlfn.MINIFS($R$18:$R$40,  $S$18:$S$40, $M22) &amp; "-" &amp; _xlfn.MAXIFS($R$18:$R$40,  $S$18:$S$40, $M22)</f>
        <v>2874-2881</v>
      </c>
      <c r="O22" s="12" t="str">
        <f>_xlfn.MINIFS($V$18:$V$46,  $W$18:$W$46, $M22) &amp; "-" &amp; _xlfn.MAXIFS($V$18:$V$46,  $W$18:$W$46, $M22)</f>
        <v>3616-3629</v>
      </c>
      <c r="P22" s="21"/>
      <c r="R22" s="15">
        <v>140</v>
      </c>
      <c r="S22" s="12" t="str">
        <f>S21</f>
        <v>Box Elder</v>
      </c>
      <c r="T22" s="25"/>
      <c r="V22" s="15">
        <v>3605</v>
      </c>
      <c r="W22" s="12" t="str">
        <f>W21</f>
        <v>Box Elder</v>
      </c>
      <c r="X22" s="25" t="s">
        <v>48</v>
      </c>
    </row>
    <row r="23" spans="2:24" x14ac:dyDescent="0.25">
      <c r="F23" s="57" t="s">
        <v>24</v>
      </c>
      <c r="G23" s="12" t="str">
        <f t="shared" si="4"/>
        <v>1782 - 1788</v>
      </c>
      <c r="H23" s="12" t="str">
        <f t="shared" si="3"/>
        <v>3610 - 3615</v>
      </c>
      <c r="I23" s="9"/>
      <c r="L23" s="39"/>
      <c r="M23" s="37"/>
      <c r="N23" s="39"/>
      <c r="O23" s="39"/>
      <c r="P23" s="21"/>
      <c r="R23" s="15">
        <v>421</v>
      </c>
      <c r="S23" s="15" t="s">
        <v>17</v>
      </c>
      <c r="T23" s="27"/>
      <c r="V23" s="15">
        <v>3606</v>
      </c>
      <c r="W23" s="12" t="str">
        <f>W22</f>
        <v>Box Elder</v>
      </c>
      <c r="X23" s="25" t="s">
        <v>50</v>
      </c>
    </row>
    <row r="24" spans="2:24" x14ac:dyDescent="0.25">
      <c r="F24" s="57" t="s">
        <v>27</v>
      </c>
      <c r="G24" s="12" t="str">
        <f t="shared" si="4"/>
        <v>2874 - 2881</v>
      </c>
      <c r="H24" s="12" t="str">
        <f t="shared" si="3"/>
        <v>3616 - 3629</v>
      </c>
      <c r="I24" s="9"/>
      <c r="L24" s="13" t="s">
        <v>31</v>
      </c>
      <c r="M24" s="50" t="s">
        <v>45</v>
      </c>
      <c r="N24" s="54" t="str">
        <f>"138-140"</f>
        <v>138-140</v>
      </c>
      <c r="O24" s="54" t="str">
        <f>"3602-3604"</f>
        <v>3602-3604</v>
      </c>
      <c r="P24" s="21"/>
      <c r="R24" s="15">
        <v>422</v>
      </c>
      <c r="S24" s="12" t="str">
        <f>S23</f>
        <v>Weber</v>
      </c>
      <c r="T24" s="27"/>
      <c r="V24" s="15">
        <v>3607</v>
      </c>
      <c r="W24" s="15" t="s">
        <v>17</v>
      </c>
      <c r="X24" s="27" t="s">
        <v>53</v>
      </c>
    </row>
    <row r="25" spans="2:24" x14ac:dyDescent="0.25">
      <c r="F25" s="8"/>
      <c r="G25" s="8"/>
      <c r="H25" s="8"/>
      <c r="I25" s="9"/>
      <c r="L25" s="9"/>
      <c r="M25" s="8"/>
      <c r="N25" s="38"/>
      <c r="O25" s="37"/>
      <c r="P25" s="21"/>
      <c r="R25" s="15">
        <v>423</v>
      </c>
      <c r="S25" s="12" t="str">
        <f>S24</f>
        <v>Weber</v>
      </c>
      <c r="T25" s="27"/>
      <c r="V25" s="15">
        <v>3608</v>
      </c>
      <c r="W25" s="12" t="str">
        <f>W24</f>
        <v>Weber</v>
      </c>
      <c r="X25" s="27" t="s">
        <v>55</v>
      </c>
    </row>
    <row r="26" spans="2:24" x14ac:dyDescent="0.25">
      <c r="F26" s="58" t="s">
        <v>139</v>
      </c>
      <c r="G26" s="12" t="str">
        <f>MAX($R$18:$R$40) + 1  &amp;  " - 9999"</f>
        <v>2882 - 9999</v>
      </c>
      <c r="H26" s="12" t="str">
        <f>MAX($V$18:$V$46) + 1  &amp;  " - 9999"</f>
        <v>3630 - 9999</v>
      </c>
      <c r="I26" s="9"/>
      <c r="L26" s="30" t="s">
        <v>164</v>
      </c>
      <c r="M26" s="9"/>
      <c r="N26" s="9"/>
      <c r="O26" s="9"/>
      <c r="P26" s="21"/>
      <c r="R26" s="15">
        <v>1782</v>
      </c>
      <c r="S26" s="15" t="s">
        <v>24</v>
      </c>
      <c r="T26" s="27"/>
      <c r="V26" s="15">
        <v>3609</v>
      </c>
      <c r="W26" s="12" t="str">
        <f>W25</f>
        <v>Weber</v>
      </c>
      <c r="X26" s="27" t="s">
        <v>58</v>
      </c>
    </row>
    <row r="27" spans="2:24" x14ac:dyDescent="0.25">
      <c r="F27" s="8"/>
      <c r="G27" s="8"/>
      <c r="H27" s="8"/>
      <c r="I27" s="9"/>
      <c r="L27" s="10"/>
      <c r="M27" s="11"/>
      <c r="N27" s="10" t="s">
        <v>5</v>
      </c>
      <c r="O27" s="10" t="s">
        <v>4</v>
      </c>
      <c r="P27" s="21"/>
      <c r="R27" s="15">
        <v>1783</v>
      </c>
      <c r="S27" s="12" t="str">
        <f t="shared" ref="S27:S32" si="5">S26</f>
        <v>Salt Lake</v>
      </c>
      <c r="T27" s="27"/>
      <c r="V27" s="15">
        <v>3610</v>
      </c>
      <c r="W27" s="15" t="s">
        <v>24</v>
      </c>
      <c r="X27" s="27" t="s">
        <v>59</v>
      </c>
    </row>
    <row r="28" spans="2:24" x14ac:dyDescent="0.25">
      <c r="F28" s="33" t="s">
        <v>22</v>
      </c>
      <c r="G28" s="9"/>
      <c r="H28" s="9"/>
      <c r="I28" s="9"/>
      <c r="L28" s="9"/>
      <c r="M28" s="67" t="s">
        <v>11</v>
      </c>
      <c r="N28" s="68">
        <f>MAX($R$5:$R$40)</f>
        <v>2881</v>
      </c>
      <c r="O28" s="68">
        <f>MAX($V$5:$V$46)</f>
        <v>3629</v>
      </c>
      <c r="P28" s="21"/>
      <c r="R28" s="15">
        <v>1784</v>
      </c>
      <c r="S28" s="12" t="str">
        <f t="shared" si="5"/>
        <v>Salt Lake</v>
      </c>
      <c r="T28" s="27"/>
      <c r="V28" s="15">
        <v>3611</v>
      </c>
      <c r="W28" s="12" t="str">
        <f>W27</f>
        <v>Salt Lake</v>
      </c>
      <c r="X28" s="27" t="s">
        <v>60</v>
      </c>
    </row>
    <row r="29" spans="2:24" x14ac:dyDescent="0.25">
      <c r="F29" s="14" t="s">
        <v>131</v>
      </c>
      <c r="G29" s="16" t="s">
        <v>49</v>
      </c>
      <c r="H29" s="16" t="s">
        <v>49</v>
      </c>
      <c r="I29" s="9"/>
      <c r="L29" s="9"/>
      <c r="M29" s="8" t="s">
        <v>20</v>
      </c>
      <c r="N29" s="19">
        <v>0</v>
      </c>
      <c r="O29" s="18">
        <f>MIN($V$18:$V$46)-1 - MAX($V$5:$V$14)</f>
        <v>54</v>
      </c>
      <c r="P29" s="21"/>
      <c r="R29" s="15">
        <v>1785</v>
      </c>
      <c r="S29" s="12" t="str">
        <f t="shared" si="5"/>
        <v>Salt Lake</v>
      </c>
      <c r="T29" s="27"/>
      <c r="V29" s="15">
        <v>3612</v>
      </c>
      <c r="W29" s="12" t="str">
        <f>W28</f>
        <v>Salt Lake</v>
      </c>
      <c r="X29" s="27" t="s">
        <v>61</v>
      </c>
    </row>
    <row r="30" spans="2:24" x14ac:dyDescent="0.25">
      <c r="F30" s="14" t="s">
        <v>132</v>
      </c>
      <c r="G30" s="16" t="s">
        <v>52</v>
      </c>
      <c r="H30" s="16" t="s">
        <v>52</v>
      </c>
      <c r="I30" s="9"/>
      <c r="L30" s="9"/>
      <c r="M30" s="9"/>
      <c r="N30" s="9"/>
      <c r="O30" s="9"/>
      <c r="P30" s="21"/>
      <c r="R30" s="15">
        <v>1786</v>
      </c>
      <c r="S30" s="12" t="str">
        <f t="shared" si="5"/>
        <v>Salt Lake</v>
      </c>
      <c r="T30" s="27"/>
      <c r="V30" s="15">
        <v>3613</v>
      </c>
      <c r="W30" s="12" t="str">
        <f>W29</f>
        <v>Salt Lake</v>
      </c>
      <c r="X30" s="27" t="s">
        <v>62</v>
      </c>
    </row>
    <row r="31" spans="2:24" x14ac:dyDescent="0.25">
      <c r="F31" s="14" t="s">
        <v>133</v>
      </c>
      <c r="G31" s="16" t="s">
        <v>54</v>
      </c>
      <c r="H31" s="16" t="s">
        <v>54</v>
      </c>
      <c r="I31" s="9"/>
      <c r="R31" s="15">
        <v>1787</v>
      </c>
      <c r="S31" s="12" t="str">
        <f t="shared" si="5"/>
        <v>Salt Lake</v>
      </c>
      <c r="T31" s="27"/>
      <c r="V31" s="15">
        <v>3614</v>
      </c>
      <c r="W31" s="12" t="str">
        <f>W30</f>
        <v>Salt Lake</v>
      </c>
      <c r="X31" s="27" t="s">
        <v>64</v>
      </c>
    </row>
    <row r="32" spans="2:24" x14ac:dyDescent="0.25">
      <c r="F32" s="14" t="s">
        <v>134</v>
      </c>
      <c r="G32" s="16" t="s">
        <v>57</v>
      </c>
      <c r="H32" s="16" t="s">
        <v>57</v>
      </c>
      <c r="I32" s="9"/>
      <c r="R32" s="15">
        <v>1788</v>
      </c>
      <c r="S32" s="12" t="str">
        <f t="shared" si="5"/>
        <v>Salt Lake</v>
      </c>
      <c r="T32" s="27"/>
      <c r="V32" s="15">
        <v>3615</v>
      </c>
      <c r="W32" s="12" t="str">
        <f>W31</f>
        <v>Salt Lake</v>
      </c>
      <c r="X32" s="27" t="s">
        <v>66</v>
      </c>
    </row>
    <row r="33" spans="6:24" x14ac:dyDescent="0.25">
      <c r="F33" s="37"/>
      <c r="G33" s="40"/>
      <c r="H33" s="40"/>
      <c r="I33" s="9"/>
      <c r="L33" s="30" t="s">
        <v>165</v>
      </c>
      <c r="M33" s="10"/>
      <c r="N33" s="10" t="s">
        <v>5</v>
      </c>
      <c r="O33" s="10" t="s">
        <v>4</v>
      </c>
      <c r="P33" s="10" t="s">
        <v>163</v>
      </c>
      <c r="R33" s="15">
        <v>2874</v>
      </c>
      <c r="S33" s="15" t="s">
        <v>27</v>
      </c>
      <c r="T33" s="27"/>
      <c r="V33" s="15">
        <v>3616</v>
      </c>
      <c r="W33" s="15" t="s">
        <v>27</v>
      </c>
      <c r="X33" s="27" t="s">
        <v>68</v>
      </c>
    </row>
    <row r="34" spans="6:24" x14ac:dyDescent="0.25">
      <c r="F34" s="14" t="s">
        <v>170</v>
      </c>
      <c r="G34" s="16" t="s">
        <v>93</v>
      </c>
      <c r="H34" s="16" t="s">
        <v>93</v>
      </c>
      <c r="I34" s="9"/>
      <c r="L34" s="9"/>
      <c r="M34" s="8" t="s">
        <v>16</v>
      </c>
      <c r="N34" s="19">
        <v>2858</v>
      </c>
      <c r="O34" s="19">
        <v>3546</v>
      </c>
      <c r="P34" s="21">
        <f>O34 - N34</f>
        <v>688</v>
      </c>
      <c r="R34" s="15">
        <v>2875</v>
      </c>
      <c r="S34" s="12" t="str">
        <f t="shared" ref="S34:S40" si="6">S33</f>
        <v>Utah</v>
      </c>
      <c r="T34" s="27"/>
      <c r="V34" s="15">
        <v>3617</v>
      </c>
      <c r="W34" s="12" t="str">
        <f t="shared" ref="W34:W44" si="7">W33</f>
        <v>Utah</v>
      </c>
      <c r="X34" s="27" t="s">
        <v>70</v>
      </c>
    </row>
    <row r="35" spans="6:24" x14ac:dyDescent="0.25">
      <c r="F35" s="14" t="s">
        <v>171</v>
      </c>
      <c r="G35" s="16" t="s">
        <v>94</v>
      </c>
      <c r="H35" s="16" t="s">
        <v>94</v>
      </c>
      <c r="I35" s="9"/>
      <c r="L35" s="9"/>
      <c r="M35" s="8" t="s">
        <v>23</v>
      </c>
      <c r="N35" s="20">
        <f>COUNT($R$18:$R$40)</f>
        <v>23</v>
      </c>
      <c r="O35" s="20">
        <f>COUNT($V$18:$V$46)</f>
        <v>29</v>
      </c>
      <c r="P35" s="21">
        <f>O35 - N35</f>
        <v>6</v>
      </c>
      <c r="R35" s="15">
        <v>2876</v>
      </c>
      <c r="S35" s="12" t="str">
        <f t="shared" si="6"/>
        <v>Utah</v>
      </c>
      <c r="T35" s="27"/>
      <c r="V35" s="15">
        <v>3618</v>
      </c>
      <c r="W35" s="12" t="str">
        <f t="shared" si="7"/>
        <v>Utah</v>
      </c>
      <c r="X35" s="27" t="s">
        <v>72</v>
      </c>
    </row>
    <row r="36" spans="6:24" x14ac:dyDescent="0.25">
      <c r="F36" s="8"/>
      <c r="G36" s="8"/>
      <c r="H36" s="8"/>
      <c r="I36" s="9"/>
      <c r="L36" s="9"/>
      <c r="M36" s="8" t="s">
        <v>26</v>
      </c>
      <c r="N36" s="21">
        <f>SUM(N34:N35)</f>
        <v>2881</v>
      </c>
      <c r="O36" s="21">
        <f>SUM(O34:O35)</f>
        <v>3575</v>
      </c>
      <c r="P36" s="21">
        <f t="shared" ref="P36" si="8">SUM(P34:P35)</f>
        <v>694</v>
      </c>
      <c r="R36" s="15">
        <v>2877</v>
      </c>
      <c r="S36" s="12" t="str">
        <f t="shared" si="6"/>
        <v>Utah</v>
      </c>
      <c r="T36" s="27"/>
      <c r="V36" s="15">
        <v>3619</v>
      </c>
      <c r="W36" s="12" t="str">
        <f t="shared" si="7"/>
        <v>Utah</v>
      </c>
      <c r="X36" s="27" t="s">
        <v>73</v>
      </c>
    </row>
    <row r="37" spans="6:24" x14ac:dyDescent="0.25">
      <c r="F37" s="33" t="s">
        <v>140</v>
      </c>
      <c r="G37" s="59" t="s">
        <v>147</v>
      </c>
      <c r="H37" s="59" t="s">
        <v>146</v>
      </c>
      <c r="I37" s="9"/>
      <c r="R37" s="15">
        <v>2878</v>
      </c>
      <c r="S37" s="12" t="str">
        <f t="shared" si="6"/>
        <v>Utah</v>
      </c>
      <c r="T37" s="27"/>
      <c r="V37" s="15">
        <v>3620</v>
      </c>
      <c r="W37" s="12" t="str">
        <f t="shared" si="7"/>
        <v>Utah</v>
      </c>
      <c r="X37" s="27" t="s">
        <v>75</v>
      </c>
    </row>
    <row r="38" spans="6:24" x14ac:dyDescent="0.25">
      <c r="F38" s="14" t="s">
        <v>141</v>
      </c>
      <c r="G38" s="12" t="str">
        <f>"1 - " &amp; N28</f>
        <v>1 - 2881</v>
      </c>
      <c r="H38" s="16" t="s">
        <v>144</v>
      </c>
      <c r="I38" s="60" t="s">
        <v>162</v>
      </c>
      <c r="R38" s="15">
        <v>2879</v>
      </c>
      <c r="S38" s="12" t="str">
        <f t="shared" si="6"/>
        <v>Utah</v>
      </c>
      <c r="T38" s="27"/>
      <c r="V38" s="15">
        <v>3621</v>
      </c>
      <c r="W38" s="12" t="str">
        <f t="shared" si="7"/>
        <v>Utah</v>
      </c>
      <c r="X38" s="27" t="s">
        <v>77</v>
      </c>
    </row>
    <row r="39" spans="6:24" x14ac:dyDescent="0.25">
      <c r="F39" s="14" t="s">
        <v>142</v>
      </c>
      <c r="G39" s="16" t="s">
        <v>143</v>
      </c>
      <c r="H39" s="12" t="str">
        <f>"1 - " &amp; O28</f>
        <v>1 - 3629</v>
      </c>
      <c r="I39" s="60" t="s">
        <v>161</v>
      </c>
      <c r="R39" s="15">
        <v>2880</v>
      </c>
      <c r="S39" s="12" t="str">
        <f t="shared" si="6"/>
        <v>Utah</v>
      </c>
      <c r="T39" s="27"/>
      <c r="V39" s="15">
        <v>3622</v>
      </c>
      <c r="W39" s="12" t="str">
        <f t="shared" si="7"/>
        <v>Utah</v>
      </c>
      <c r="X39" s="27" t="s">
        <v>79</v>
      </c>
    </row>
    <row r="40" spans="6:24" x14ac:dyDescent="0.25">
      <c r="R40" s="15">
        <v>2881</v>
      </c>
      <c r="S40" s="12" t="str">
        <f t="shared" si="6"/>
        <v>Utah</v>
      </c>
      <c r="T40" s="27"/>
      <c r="V40" s="15">
        <v>3623</v>
      </c>
      <c r="W40" s="12" t="str">
        <f t="shared" si="7"/>
        <v>Utah</v>
      </c>
      <c r="X40" s="27" t="s">
        <v>81</v>
      </c>
    </row>
    <row r="41" spans="6:24" x14ac:dyDescent="0.25">
      <c r="S41" s="5"/>
      <c r="V41" s="15">
        <v>3624</v>
      </c>
      <c r="W41" s="12" t="str">
        <f t="shared" si="7"/>
        <v>Utah</v>
      </c>
      <c r="X41" s="27" t="s">
        <v>83</v>
      </c>
    </row>
    <row r="42" spans="6:24" x14ac:dyDescent="0.25">
      <c r="F42" s="7" t="s">
        <v>138</v>
      </c>
      <c r="G42" s="8"/>
      <c r="H42" s="8"/>
      <c r="S42" s="5"/>
      <c r="V42" s="15">
        <v>3625</v>
      </c>
      <c r="W42" s="12" t="str">
        <f t="shared" si="7"/>
        <v>Utah</v>
      </c>
      <c r="X42" s="27" t="s">
        <v>84</v>
      </c>
    </row>
    <row r="43" spans="6:24" x14ac:dyDescent="0.25">
      <c r="F43" s="8"/>
      <c r="G43" s="10" t="s">
        <v>124</v>
      </c>
      <c r="H43" s="10" t="s">
        <v>4</v>
      </c>
      <c r="S43" s="5"/>
      <c r="V43" s="15">
        <v>3626</v>
      </c>
      <c r="W43" s="12" t="str">
        <f t="shared" si="7"/>
        <v>Utah</v>
      </c>
      <c r="X43" s="27" t="s">
        <v>85</v>
      </c>
    </row>
    <row r="44" spans="6:24" x14ac:dyDescent="0.25">
      <c r="F44" s="56" t="s">
        <v>51</v>
      </c>
      <c r="G44" s="28" t="s">
        <v>63</v>
      </c>
      <c r="H44" s="28" t="s">
        <v>63</v>
      </c>
      <c r="S44" s="5"/>
      <c r="V44" s="15">
        <v>3627</v>
      </c>
      <c r="W44" s="12" t="str">
        <f t="shared" si="7"/>
        <v>Utah</v>
      </c>
      <c r="X44" s="27" t="s">
        <v>86</v>
      </c>
    </row>
    <row r="45" spans="6:24" x14ac:dyDescent="0.25">
      <c r="F45" s="17" t="s">
        <v>127</v>
      </c>
      <c r="G45" s="16" t="s">
        <v>65</v>
      </c>
      <c r="H45" s="16" t="s">
        <v>65</v>
      </c>
      <c r="S45" s="5"/>
      <c r="V45" s="15">
        <v>3628</v>
      </c>
      <c r="W45" s="12" t="str">
        <f>W44</f>
        <v>Utah</v>
      </c>
      <c r="X45" s="27" t="s">
        <v>87</v>
      </c>
    </row>
    <row r="46" spans="6:24" x14ac:dyDescent="0.25">
      <c r="F46" s="17" t="s">
        <v>128</v>
      </c>
      <c r="G46" s="16" t="s">
        <v>67</v>
      </c>
      <c r="H46" s="16" t="s">
        <v>67</v>
      </c>
      <c r="V46" s="15">
        <v>3629</v>
      </c>
      <c r="W46" s="12" t="str">
        <f>W45</f>
        <v>Utah</v>
      </c>
      <c r="X46" s="29" t="s">
        <v>88</v>
      </c>
    </row>
    <row r="47" spans="6:24" x14ac:dyDescent="0.25">
      <c r="F47" s="17" t="s">
        <v>129</v>
      </c>
      <c r="G47" s="16" t="s">
        <v>69</v>
      </c>
      <c r="H47" s="16" t="s">
        <v>69</v>
      </c>
    </row>
    <row r="48" spans="6:24" x14ac:dyDescent="0.25">
      <c r="F48" s="17" t="s">
        <v>130</v>
      </c>
      <c r="G48" s="16" t="s">
        <v>71</v>
      </c>
      <c r="H48" s="16" t="s">
        <v>71</v>
      </c>
    </row>
    <row r="49" spans="6:24" x14ac:dyDescent="0.25">
      <c r="F49" s="8"/>
      <c r="G49" s="8"/>
      <c r="H49" s="8"/>
    </row>
    <row r="50" spans="6:24" x14ac:dyDescent="0.25">
      <c r="F50" s="56" t="s">
        <v>56</v>
      </c>
      <c r="G50" s="28" t="s">
        <v>74</v>
      </c>
      <c r="H50" s="28" t="s">
        <v>74</v>
      </c>
    </row>
    <row r="51" spans="6:24" x14ac:dyDescent="0.25">
      <c r="F51" s="17" t="s">
        <v>127</v>
      </c>
      <c r="G51" s="16" t="s">
        <v>76</v>
      </c>
      <c r="H51" s="16" t="s">
        <v>76</v>
      </c>
      <c r="V51" s="6"/>
      <c r="X51" s="6"/>
    </row>
    <row r="52" spans="6:24" x14ac:dyDescent="0.25">
      <c r="F52" s="17" t="s">
        <v>128</v>
      </c>
      <c r="G52" s="16" t="s">
        <v>78</v>
      </c>
      <c r="H52" s="16" t="s">
        <v>78</v>
      </c>
      <c r="V52" s="6"/>
      <c r="X52" s="6"/>
    </row>
    <row r="53" spans="6:24" x14ac:dyDescent="0.25">
      <c r="F53" s="17" t="s">
        <v>129</v>
      </c>
      <c r="G53" s="16" t="s">
        <v>80</v>
      </c>
      <c r="H53" s="16" t="s">
        <v>80</v>
      </c>
      <c r="V53" s="6"/>
      <c r="X53" s="6"/>
    </row>
    <row r="54" spans="6:24" x14ac:dyDescent="0.25">
      <c r="F54" s="17" t="s">
        <v>130</v>
      </c>
      <c r="G54" s="16" t="s">
        <v>82</v>
      </c>
      <c r="H54" s="16" t="s">
        <v>82</v>
      </c>
      <c r="V54" s="6"/>
      <c r="X54" s="6"/>
    </row>
    <row r="55" spans="6:24" x14ac:dyDescent="0.25">
      <c r="V55" s="6"/>
      <c r="X55" s="6"/>
    </row>
    <row r="56" spans="6:24" x14ac:dyDescent="0.25">
      <c r="V56" s="6"/>
      <c r="X56" s="6"/>
    </row>
    <row r="57" spans="6:24" x14ac:dyDescent="0.25">
      <c r="V57" s="6"/>
      <c r="X57" s="6"/>
    </row>
    <row r="58" spans="6:24" x14ac:dyDescent="0.25">
      <c r="V58" s="6"/>
      <c r="X58" s="6"/>
    </row>
    <row r="59" spans="6:24" x14ac:dyDescent="0.25">
      <c r="V59" s="6"/>
      <c r="X59" s="6"/>
    </row>
    <row r="60" spans="6:24" x14ac:dyDescent="0.25">
      <c r="V60" s="6"/>
      <c r="X60" s="6"/>
    </row>
    <row r="61" spans="6:24" x14ac:dyDescent="0.25">
      <c r="V61" s="6"/>
      <c r="X61" s="6"/>
    </row>
    <row r="62" spans="6:24" x14ac:dyDescent="0.25">
      <c r="V62" s="6"/>
      <c r="X62" s="6"/>
    </row>
    <row r="63" spans="6:24" x14ac:dyDescent="0.25">
      <c r="V63" s="6"/>
      <c r="X63" s="6"/>
    </row>
    <row r="64" spans="6:24" x14ac:dyDescent="0.25">
      <c r="V64" s="6"/>
      <c r="X64" s="6"/>
    </row>
    <row r="65" spans="22:24" x14ac:dyDescent="0.25">
      <c r="V65" s="6"/>
      <c r="X65" s="6"/>
    </row>
    <row r="66" spans="22:24" x14ac:dyDescent="0.25">
      <c r="V66" s="6"/>
      <c r="X66" s="6"/>
    </row>
    <row r="67" spans="22:24" x14ac:dyDescent="0.25">
      <c r="V67" s="6"/>
      <c r="X67" s="6"/>
    </row>
    <row r="68" spans="22:24" x14ac:dyDescent="0.25">
      <c r="V68" s="6"/>
      <c r="X68" s="6"/>
    </row>
    <row r="69" spans="22:24" x14ac:dyDescent="0.25">
      <c r="V69" s="6"/>
      <c r="X69" s="6"/>
    </row>
    <row r="70" spans="22:24" x14ac:dyDescent="0.25">
      <c r="V70" s="6"/>
      <c r="X70" s="6"/>
    </row>
    <row r="71" spans="22:24" x14ac:dyDescent="0.25">
      <c r="V71" s="6"/>
      <c r="X71" s="6"/>
    </row>
    <row r="72" spans="22:24" x14ac:dyDescent="0.25">
      <c r="V72" s="6"/>
      <c r="X72" s="6"/>
    </row>
    <row r="73" spans="22:24" x14ac:dyDescent="0.25">
      <c r="V73" s="6"/>
      <c r="X73" s="6"/>
    </row>
    <row r="74" spans="22:24" x14ac:dyDescent="0.25">
      <c r="V74" s="6"/>
      <c r="X74" s="6"/>
    </row>
    <row r="75" spans="22:24" x14ac:dyDescent="0.25">
      <c r="V75" s="6"/>
      <c r="X75" s="6"/>
    </row>
    <row r="76" spans="22:24" x14ac:dyDescent="0.25">
      <c r="V76" s="6"/>
      <c r="X76" s="6"/>
    </row>
    <row r="77" spans="22:24" x14ac:dyDescent="0.25">
      <c r="V77" s="6"/>
      <c r="X77" s="6"/>
    </row>
    <row r="78" spans="22:24" x14ac:dyDescent="0.25">
      <c r="V78" s="6"/>
      <c r="X78" s="6"/>
    </row>
    <row r="79" spans="22:24" x14ac:dyDescent="0.25">
      <c r="V79" s="6"/>
      <c r="X79" s="6"/>
    </row>
    <row r="80" spans="22:24" x14ac:dyDescent="0.25">
      <c r="V80" s="6"/>
      <c r="X80" s="6"/>
    </row>
  </sheetData>
  <pageMargins left="0.7" right="0.7" top="0.75" bottom="0.75" header="0.3" footer="0.3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26EAA-0199-410F-920F-8E2E500BE1E6}">
  <sheetPr>
    <tabColor rgb="FF92D050"/>
  </sheetPr>
  <dimension ref="B1:L35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4.7109375" style="6" customWidth="1"/>
    <col min="2" max="2" width="14" style="42" customWidth="1"/>
    <col min="3" max="3" width="48.85546875" style="6" customWidth="1"/>
    <col min="4" max="4" width="47.140625" style="6" bestFit="1" customWidth="1"/>
    <col min="5" max="5" width="6.7109375" style="6" customWidth="1"/>
    <col min="6" max="6" width="10.28515625" style="6" customWidth="1"/>
    <col min="7" max="7" width="37.42578125" style="6" bestFit="1" customWidth="1"/>
    <col min="8" max="8" width="13" style="6" customWidth="1"/>
    <col min="9" max="10" width="9.140625" style="6"/>
    <col min="11" max="11" width="58.7109375" style="6" customWidth="1"/>
    <col min="12" max="12" width="19" style="6" customWidth="1"/>
    <col min="13" max="16384" width="9.140625" style="6"/>
  </cols>
  <sheetData>
    <row r="1" spans="2:12" s="2" customFormat="1" ht="23.25" x14ac:dyDescent="0.35">
      <c r="B1" s="61" t="s">
        <v>169</v>
      </c>
      <c r="C1" s="61"/>
      <c r="D1" s="61"/>
      <c r="F1" s="3" t="s">
        <v>168</v>
      </c>
      <c r="G1" s="3"/>
      <c r="H1" s="3"/>
      <c r="I1" s="3"/>
      <c r="K1" s="4" t="s">
        <v>148</v>
      </c>
      <c r="L1" s="4"/>
    </row>
    <row r="4" spans="2:12" x14ac:dyDescent="0.25">
      <c r="B4" s="31" t="s">
        <v>96</v>
      </c>
      <c r="C4" s="31" t="s">
        <v>97</v>
      </c>
      <c r="D4" s="31" t="s">
        <v>98</v>
      </c>
      <c r="F4" s="30" t="s">
        <v>35</v>
      </c>
      <c r="G4" s="33"/>
      <c r="H4" s="31" t="s">
        <v>89</v>
      </c>
      <c r="I4" s="31" t="s">
        <v>99</v>
      </c>
      <c r="K4" s="41" t="s">
        <v>149</v>
      </c>
    </row>
    <row r="5" spans="2:12" x14ac:dyDescent="0.25">
      <c r="B5" s="36">
        <v>0</v>
      </c>
      <c r="C5" s="17" t="s">
        <v>110</v>
      </c>
      <c r="D5" s="48" t="s">
        <v>103</v>
      </c>
      <c r="F5" s="32">
        <v>0</v>
      </c>
      <c r="G5" s="17" t="s">
        <v>90</v>
      </c>
      <c r="H5" s="35">
        <v>2052</v>
      </c>
      <c r="I5" s="47">
        <f>H5 / H8</f>
        <v>0.47161572052401746</v>
      </c>
      <c r="K5" s="17" t="s">
        <v>151</v>
      </c>
      <c r="L5" s="17"/>
    </row>
    <row r="6" spans="2:12" x14ac:dyDescent="0.25">
      <c r="B6" s="36">
        <v>10</v>
      </c>
      <c r="C6" s="17" t="s">
        <v>111</v>
      </c>
      <c r="D6" s="48" t="s">
        <v>100</v>
      </c>
      <c r="F6" s="32">
        <v>10</v>
      </c>
      <c r="G6" s="17" t="s">
        <v>91</v>
      </c>
      <c r="H6" s="35">
        <v>806</v>
      </c>
      <c r="I6" s="47">
        <f>H6 / H8</f>
        <v>0.18524477131693864</v>
      </c>
      <c r="K6" s="17"/>
      <c r="L6" s="17"/>
    </row>
    <row r="7" spans="2:12" x14ac:dyDescent="0.25">
      <c r="B7" s="36">
        <v>20</v>
      </c>
      <c r="C7" s="17" t="s">
        <v>112</v>
      </c>
      <c r="D7" s="48" t="s">
        <v>101</v>
      </c>
      <c r="F7" s="32">
        <v>20</v>
      </c>
      <c r="G7" s="17" t="s">
        <v>92</v>
      </c>
      <c r="H7" s="35">
        <v>1493</v>
      </c>
      <c r="I7" s="47">
        <f>H7 / H8</f>
        <v>0.34313950815904387</v>
      </c>
      <c r="K7" s="17" t="s">
        <v>160</v>
      </c>
      <c r="L7" s="17"/>
    </row>
    <row r="8" spans="2:12" x14ac:dyDescent="0.25">
      <c r="B8" s="32"/>
      <c r="C8" s="9"/>
      <c r="D8" s="9"/>
      <c r="F8" s="9"/>
      <c r="G8" s="9"/>
      <c r="H8" s="34">
        <f>SUM(H5:H7)</f>
        <v>4351</v>
      </c>
      <c r="I8" s="46">
        <f>SUM(I5:I7)</f>
        <v>1</v>
      </c>
      <c r="K8" s="17" t="s">
        <v>152</v>
      </c>
      <c r="L8" s="17"/>
    </row>
    <row r="9" spans="2:12" x14ac:dyDescent="0.25">
      <c r="B9" s="44">
        <v>1</v>
      </c>
      <c r="C9" s="45" t="s">
        <v>113</v>
      </c>
      <c r="D9" s="49" t="s">
        <v>104</v>
      </c>
      <c r="F9" s="9"/>
      <c r="G9" s="9"/>
      <c r="H9" s="9"/>
      <c r="I9" s="9"/>
      <c r="K9" s="17" t="s">
        <v>150</v>
      </c>
      <c r="L9" s="17"/>
    </row>
    <row r="10" spans="2:12" x14ac:dyDescent="0.25">
      <c r="B10" s="36">
        <v>11</v>
      </c>
      <c r="C10" s="17" t="s">
        <v>114</v>
      </c>
      <c r="D10" s="48" t="s">
        <v>105</v>
      </c>
      <c r="F10" s="30" t="s">
        <v>46</v>
      </c>
      <c r="G10" s="33"/>
      <c r="H10" s="31" t="s">
        <v>89</v>
      </c>
      <c r="I10" s="31" t="s">
        <v>99</v>
      </c>
      <c r="K10" s="17" t="s">
        <v>153</v>
      </c>
      <c r="L10" s="17"/>
    </row>
    <row r="11" spans="2:12" x14ac:dyDescent="0.25">
      <c r="B11" s="36">
        <v>21</v>
      </c>
      <c r="C11" s="17" t="s">
        <v>115</v>
      </c>
      <c r="D11" s="48" t="s">
        <v>106</v>
      </c>
      <c r="F11" s="32">
        <v>0</v>
      </c>
      <c r="G11" s="17" t="s">
        <v>90</v>
      </c>
      <c r="H11" s="35">
        <v>0</v>
      </c>
      <c r="I11" s="47">
        <v>0</v>
      </c>
      <c r="K11" s="17" t="s">
        <v>154</v>
      </c>
      <c r="L11" s="17"/>
    </row>
    <row r="12" spans="2:12" x14ac:dyDescent="0.25">
      <c r="B12" s="32"/>
      <c r="C12" s="9"/>
      <c r="D12" s="9"/>
      <c r="F12" s="32">
        <v>10</v>
      </c>
      <c r="G12" s="17" t="s">
        <v>91</v>
      </c>
      <c r="H12" s="35">
        <v>23</v>
      </c>
      <c r="I12" s="47">
        <v>1</v>
      </c>
    </row>
    <row r="13" spans="2:12" x14ac:dyDescent="0.25">
      <c r="B13" s="36">
        <v>2</v>
      </c>
      <c r="C13" s="14" t="s">
        <v>117</v>
      </c>
      <c r="D13" s="48" t="s">
        <v>102</v>
      </c>
      <c r="F13" s="32">
        <v>20</v>
      </c>
      <c r="G13" s="17" t="s">
        <v>92</v>
      </c>
      <c r="H13" s="35">
        <v>29</v>
      </c>
      <c r="I13" s="47">
        <v>1</v>
      </c>
    </row>
    <row r="14" spans="2:12" x14ac:dyDescent="0.25">
      <c r="B14" s="44">
        <v>12</v>
      </c>
      <c r="C14" s="45" t="s">
        <v>118</v>
      </c>
      <c r="D14" s="49"/>
      <c r="F14" s="9"/>
      <c r="G14" s="9"/>
      <c r="H14" s="34">
        <f>SUM(H11:H13)</f>
        <v>52</v>
      </c>
      <c r="I14" s="46"/>
      <c r="K14" s="41" t="s">
        <v>155</v>
      </c>
    </row>
    <row r="15" spans="2:12" x14ac:dyDescent="0.25">
      <c r="B15" s="44">
        <v>22</v>
      </c>
      <c r="C15" s="45" t="s">
        <v>119</v>
      </c>
      <c r="D15" s="49"/>
      <c r="F15" s="9"/>
      <c r="G15" s="9"/>
      <c r="H15" s="9"/>
      <c r="I15" s="9"/>
      <c r="K15" s="17" t="s">
        <v>156</v>
      </c>
      <c r="L15" s="17"/>
    </row>
    <row r="16" spans="2:12" x14ac:dyDescent="0.25">
      <c r="B16" s="32"/>
      <c r="C16" s="9"/>
      <c r="D16" s="9"/>
      <c r="F16" s="30" t="s">
        <v>108</v>
      </c>
      <c r="G16" s="33"/>
      <c r="H16" s="31" t="s">
        <v>89</v>
      </c>
      <c r="I16" s="31" t="s">
        <v>99</v>
      </c>
      <c r="K16" s="17"/>
      <c r="L16" s="17"/>
    </row>
    <row r="17" spans="2:12" x14ac:dyDescent="0.25">
      <c r="B17" s="36">
        <v>3</v>
      </c>
      <c r="C17" s="17" t="s">
        <v>120</v>
      </c>
      <c r="D17" s="48" t="s">
        <v>107</v>
      </c>
      <c r="F17" s="32">
        <v>0</v>
      </c>
      <c r="G17" s="17" t="s">
        <v>90</v>
      </c>
      <c r="H17" s="35">
        <v>533</v>
      </c>
      <c r="I17" s="47">
        <f>H17 / H20</f>
        <v>1</v>
      </c>
      <c r="K17" s="17" t="s">
        <v>159</v>
      </c>
      <c r="L17" s="17"/>
    </row>
    <row r="18" spans="2:12" x14ac:dyDescent="0.25">
      <c r="B18" s="44">
        <v>13</v>
      </c>
      <c r="C18" s="45" t="s">
        <v>121</v>
      </c>
      <c r="D18" s="49" t="s">
        <v>116</v>
      </c>
      <c r="F18" s="32">
        <v>10</v>
      </c>
      <c r="G18" s="17" t="s">
        <v>91</v>
      </c>
      <c r="H18" s="35">
        <v>0</v>
      </c>
      <c r="I18" s="47">
        <f>H18 / H20</f>
        <v>0</v>
      </c>
      <c r="K18" s="17" t="s">
        <v>157</v>
      </c>
      <c r="L18" s="17"/>
    </row>
    <row r="19" spans="2:12" x14ac:dyDescent="0.25">
      <c r="B19" s="36">
        <v>23</v>
      </c>
      <c r="C19" s="17" t="s">
        <v>122</v>
      </c>
      <c r="D19" s="48" t="s">
        <v>123</v>
      </c>
      <c r="F19" s="32">
        <v>20</v>
      </c>
      <c r="G19" s="17" t="s">
        <v>92</v>
      </c>
      <c r="H19" s="35">
        <v>0</v>
      </c>
      <c r="I19" s="47">
        <f>H19 / H20</f>
        <v>0</v>
      </c>
      <c r="K19" s="17" t="s">
        <v>150</v>
      </c>
      <c r="L19" s="17"/>
    </row>
    <row r="20" spans="2:12" x14ac:dyDescent="0.25">
      <c r="B20" s="43"/>
      <c r="F20" s="9"/>
      <c r="G20" s="9"/>
      <c r="H20" s="34">
        <f>SUM(H17:H19)</f>
        <v>533</v>
      </c>
      <c r="I20" s="46">
        <f>SUM(I17:I19)</f>
        <v>1</v>
      </c>
      <c r="K20" s="17" t="s">
        <v>158</v>
      </c>
      <c r="L20" s="17"/>
    </row>
    <row r="21" spans="2:12" x14ac:dyDescent="0.25">
      <c r="C21" s="42"/>
      <c r="D21" s="42"/>
      <c r="F21" s="9"/>
      <c r="G21" s="9"/>
      <c r="H21" s="9"/>
      <c r="I21" s="9"/>
      <c r="K21" s="17" t="s">
        <v>154</v>
      </c>
      <c r="L21" s="17"/>
    </row>
    <row r="22" spans="2:12" x14ac:dyDescent="0.25">
      <c r="F22" s="30" t="s">
        <v>109</v>
      </c>
      <c r="G22" s="33"/>
      <c r="H22" s="31" t="s">
        <v>89</v>
      </c>
      <c r="I22" s="31" t="s">
        <v>99</v>
      </c>
    </row>
    <row r="23" spans="2:12" x14ac:dyDescent="0.25">
      <c r="F23" s="32">
        <v>0</v>
      </c>
      <c r="G23" s="17" t="s">
        <v>90</v>
      </c>
      <c r="H23" s="35">
        <v>16941</v>
      </c>
      <c r="I23" s="47">
        <f>H23 / H26</f>
        <v>0.98787101288704882</v>
      </c>
    </row>
    <row r="24" spans="2:12" x14ac:dyDescent="0.25">
      <c r="F24" s="32">
        <v>10</v>
      </c>
      <c r="G24" s="17" t="s">
        <v>91</v>
      </c>
      <c r="H24" s="35">
        <v>0</v>
      </c>
      <c r="I24" s="47">
        <f>H24 / H26</f>
        <v>0</v>
      </c>
    </row>
    <row r="25" spans="2:12" x14ac:dyDescent="0.25">
      <c r="F25" s="32">
        <v>20</v>
      </c>
      <c r="G25" s="17" t="s">
        <v>92</v>
      </c>
      <c r="H25" s="35">
        <v>208</v>
      </c>
      <c r="I25" s="47">
        <f>H25 / H26</f>
        <v>1.2128987112951193E-2</v>
      </c>
    </row>
    <row r="26" spans="2:12" x14ac:dyDescent="0.25">
      <c r="C26" s="42"/>
      <c r="D26" s="42"/>
      <c r="F26" s="9"/>
      <c r="G26" s="9"/>
      <c r="H26" s="34">
        <f>SUM(H23:H25)</f>
        <v>17149</v>
      </c>
      <c r="I26" s="46">
        <f>SUM(I23:I25)</f>
        <v>1</v>
      </c>
    </row>
    <row r="27" spans="2:12" x14ac:dyDescent="0.25">
      <c r="C27" s="42"/>
      <c r="D27" s="42"/>
    </row>
    <row r="28" spans="2:12" x14ac:dyDescent="0.25">
      <c r="C28" s="42"/>
      <c r="D28" s="42"/>
    </row>
    <row r="29" spans="2:12" x14ac:dyDescent="0.25">
      <c r="C29" s="42"/>
      <c r="D29" s="42"/>
    </row>
    <row r="30" spans="2:12" x14ac:dyDescent="0.25">
      <c r="C30" s="42"/>
      <c r="D30" s="42"/>
    </row>
    <row r="31" spans="2:12" x14ac:dyDescent="0.25">
      <c r="C31" s="42"/>
      <c r="D31" s="42"/>
    </row>
    <row r="32" spans="2:12" x14ac:dyDescent="0.25">
      <c r="C32" s="42"/>
      <c r="D32" s="42"/>
    </row>
    <row r="33" spans="3:4" x14ac:dyDescent="0.25">
      <c r="C33" s="42"/>
      <c r="D33" s="42"/>
    </row>
    <row r="34" spans="3:4" x14ac:dyDescent="0.25">
      <c r="C34" s="42"/>
      <c r="D34" s="42"/>
    </row>
    <row r="35" spans="3:4" x14ac:dyDescent="0.25">
      <c r="C35" s="42"/>
      <c r="D35" s="42"/>
    </row>
  </sheetData>
  <sortState xmlns:xlrd2="http://schemas.microsoft.com/office/spreadsheetml/2017/richdata2" ref="B24:C33">
    <sortCondition ref="B25:B33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Node_Range</vt:lpstr>
      <vt:lpstr>FLG_NEWNET 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Worthen</dc:creator>
  <cp:lastModifiedBy>Chad Worthen</cp:lastModifiedBy>
  <dcterms:created xsi:type="dcterms:W3CDTF">2022-05-17T15:53:34Z</dcterms:created>
  <dcterms:modified xsi:type="dcterms:W3CDTF">2022-09-23T15:42:41Z</dcterms:modified>
</cp:coreProperties>
</file>