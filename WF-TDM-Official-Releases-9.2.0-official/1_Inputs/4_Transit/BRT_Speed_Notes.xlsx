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A:\1 - TDM\3 - Model Dev\1 - Official Release\v8.3.2\WF TDM v8.3.2 - 2022-09-21\1_Inputs\4_Transit\"/>
    </mc:Choice>
  </mc:AlternateContent>
  <bookViews>
    <workbookView xWindow="0" yWindow="0" windowWidth="17505" windowHeight="105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G6" i="1" s="1"/>
  <c r="E5" i="1"/>
  <c r="G5" i="1" s="1"/>
  <c r="E4" i="1"/>
  <c r="G4" i="1" s="1"/>
  <c r="G3" i="1"/>
  <c r="H3" i="1" s="1"/>
  <c r="E3" i="1"/>
  <c r="H5" i="1" l="1"/>
  <c r="I5" i="1"/>
  <c r="H4" i="1"/>
  <c r="I4" i="1"/>
  <c r="H6" i="1"/>
  <c r="I6" i="1"/>
  <c r="I3" i="1"/>
</calcChain>
</file>

<file path=xl/sharedStrings.xml><?xml version="1.0" encoding="utf-8"?>
<sst xmlns="http://schemas.openxmlformats.org/spreadsheetml/2006/main" count="16" uniqueCount="16">
  <si>
    <t>Line</t>
  </si>
  <si>
    <t>Section</t>
  </si>
  <si>
    <t>Distance</t>
  </si>
  <si>
    <t>Speed</t>
  </si>
  <si>
    <t>BFRFTHLWA_S</t>
  </si>
  <si>
    <t>Hours</t>
  </si>
  <si>
    <t>StGrid_2</t>
  </si>
  <si>
    <t>South Temple to 5400 S</t>
  </si>
  <si>
    <t>BRT47S_S</t>
  </si>
  <si>
    <t>Redwood Rd to E Atherton Dr</t>
  </si>
  <si>
    <t>*Travel Times taken from Google Map on a Friday afternoon at 3:30 pm</t>
  </si>
  <si>
    <t>*Travel Time (minutes)</t>
  </si>
  <si>
    <t>200 So_2</t>
  </si>
  <si>
    <t>400 W to 700 E</t>
  </si>
  <si>
    <t>Used on the line</t>
  </si>
  <si>
    <t>Mario Cappechi Dr to I-215/I-80 Ramps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</si>
</sst>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9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9"/>
  <sheetViews>
    <sheetView tabSelected="1" workbookViewId="0">
      <selection activeCell="A7" sqref="A7:XFD7"/>
    </sheetView>
  </sheetViews>
  <sheetFormatPr defaultRowHeight="15" x14ac:dyDescent="0.25"/>
  <cols>
    <col min="1" max="1" width="3.28515625" customWidth="1"/>
    <col min="2" max="2" width="16.42578125" customWidth="1"/>
    <col min="3" max="3" width="35.42578125" bestFit="1" customWidth="1"/>
    <col min="4" max="4" width="21.85546875" bestFit="1" customWidth="1"/>
    <col min="5" max="5" width="9.28515625" customWidth="1"/>
  </cols>
  <sheetData>
    <row r="2" spans="2:9" x14ac:dyDescent="0.25">
      <c r="B2" t="s">
        <v>0</v>
      </c>
      <c r="C2" t="s">
        <v>1</v>
      </c>
      <c r="D2" t="s">
        <v>11</v>
      </c>
      <c r="E2" t="s">
        <v>5</v>
      </c>
      <c r="F2" t="s">
        <v>2</v>
      </c>
      <c r="G2" t="s">
        <v>3</v>
      </c>
      <c r="H2" s="2">
        <v>0.85</v>
      </c>
      <c r="I2" s="2">
        <v>0.95</v>
      </c>
    </row>
    <row r="3" spans="2:9" x14ac:dyDescent="0.25">
      <c r="B3" t="s">
        <v>4</v>
      </c>
      <c r="C3" t="s">
        <v>15</v>
      </c>
      <c r="D3">
        <v>10</v>
      </c>
      <c r="E3" s="1">
        <f>D3/60</f>
        <v>0.16666666666666666</v>
      </c>
      <c r="F3">
        <v>4.2</v>
      </c>
      <c r="G3" s="3">
        <f>F3/E3</f>
        <v>25.200000000000003</v>
      </c>
      <c r="H3" s="4">
        <f>G3*0.85</f>
        <v>21.42</v>
      </c>
      <c r="I3" s="3">
        <f>G3*0.95</f>
        <v>23.94</v>
      </c>
    </row>
    <row r="4" spans="2:9" x14ac:dyDescent="0.25">
      <c r="B4" t="s">
        <v>12</v>
      </c>
      <c r="C4" t="s">
        <v>13</v>
      </c>
      <c r="D4">
        <v>8</v>
      </c>
      <c r="E4" s="1">
        <f>D4/60</f>
        <v>0.13333333333333333</v>
      </c>
      <c r="F4">
        <v>1.7</v>
      </c>
      <c r="G4" s="3">
        <f>F4/E4</f>
        <v>12.75</v>
      </c>
      <c r="H4" s="4">
        <f>G4*0.85</f>
        <v>10.8375</v>
      </c>
      <c r="I4" s="3">
        <f>G4*0.95</f>
        <v>12.112499999999999</v>
      </c>
    </row>
    <row r="5" spans="2:9" x14ac:dyDescent="0.25">
      <c r="B5" t="s">
        <v>6</v>
      </c>
      <c r="C5" t="s">
        <v>7</v>
      </c>
      <c r="D5">
        <v>21</v>
      </c>
      <c r="E5" s="1">
        <f>D5/60</f>
        <v>0.35</v>
      </c>
      <c r="F5">
        <v>7.8</v>
      </c>
      <c r="G5" s="3">
        <f>F5/E5</f>
        <v>22.285714285714288</v>
      </c>
      <c r="H5" s="4">
        <f>G5*0.85</f>
        <v>18.942857142857143</v>
      </c>
      <c r="I5" s="3">
        <f>G5*0.95</f>
        <v>21.171428571428574</v>
      </c>
    </row>
    <row r="6" spans="2:9" x14ac:dyDescent="0.25">
      <c r="B6" t="s">
        <v>8</v>
      </c>
      <c r="C6" t="s">
        <v>9</v>
      </c>
      <c r="D6">
        <v>2</v>
      </c>
      <c r="E6" s="1">
        <f>D6/60</f>
        <v>3.3333333333333333E-2</v>
      </c>
      <c r="F6">
        <v>1.4</v>
      </c>
      <c r="G6" s="3">
        <f>F6/E6</f>
        <v>42</v>
      </c>
      <c r="H6" s="4">
        <f>G6*0.85</f>
        <v>35.699999999999996</v>
      </c>
      <c r="I6" s="3">
        <f>G6*0.95</f>
        <v>39.9</v>
      </c>
    </row>
    <row r="8" spans="2:9" x14ac:dyDescent="0.25">
      <c r="B8" t="s">
        <v>10</v>
      </c>
    </row>
    <row r="9" spans="2:9" x14ac:dyDescent="0.25">
      <c r="B9" s="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Suzie Swim</dc:creator>
  <cp:lastModifiedBy>Suzie Swim</cp:lastModifiedBy>
  <dcterms:created xsi:type="dcterms:W3CDTF">2018-05-11T21:12:51Z</dcterms:created>
  <dcterms:modified xsi:type="dcterms:W3CDTF">2022-09-27T23:34:11Z</dcterms:modified>
</cp:coreProperties>
</file>